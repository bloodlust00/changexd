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E10DEA00-B21D-44A9-B356-25FB7EA4A10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MED Study Format" sheetId="3" r:id="rId1"/>
    <sheet name="Core Operations Sheet" sheetId="1" r:id="rId2"/>
    <sheet name="NS Operations" sheetId="2" r:id="rId3"/>
    <sheet name="Work Study" sheetId="4" r:id="rId4"/>
    <sheet name="Analytics" sheetId="5" r:id="rId5"/>
    <sheet name="Internal &amp; External" sheetId="9" r:id="rId6"/>
    <sheet name="Sheet1" sheetId="8" r:id="rId7"/>
  </sheets>
  <definedNames>
    <definedName name="_xlnm._FilterDatabase" localSheetId="1" hidden="1">'Core Operations Sheet'!$N$23:$N$23</definedName>
    <definedName name="_xlnm._FilterDatabase" localSheetId="5" hidden="1">'Internal &amp; External'!$E$7:$I$7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8" l="1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4"/>
  <c r="I3" i="4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N13" i="1"/>
  <c r="N8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I6" i="1"/>
  <c r="I4" i="4" l="1"/>
  <c r="I6" i="4"/>
</calcChain>
</file>

<file path=xl/sharedStrings.xml><?xml version="1.0" encoding="utf-8"?>
<sst xmlns="http://schemas.openxmlformats.org/spreadsheetml/2006/main" count="25162" uniqueCount="3437">
  <si>
    <t>Field</t>
  </si>
  <si>
    <t>Details</t>
  </si>
  <si>
    <t>Operation Name</t>
  </si>
  <si>
    <t>Tape Attach at Neck Band</t>
  </si>
  <si>
    <t>Factory / Unit</t>
  </si>
  <si>
    <t>Garment Unit 1</t>
  </si>
  <si>
    <t>Line No.</t>
  </si>
  <si>
    <t>Line 5</t>
  </si>
  <si>
    <t>Workstation No.</t>
  </si>
  <si>
    <t>WS-12</t>
  </si>
  <si>
    <t>Machine Type</t>
  </si>
  <si>
    <t>(SNLS / OL / FL / BT etc.)</t>
  </si>
  <si>
    <t>SNLS</t>
  </si>
  <si>
    <t>Style From → To</t>
  </si>
  <si>
    <t>Style A → Style B</t>
  </si>
  <si>
    <t>Operator Name</t>
  </si>
  <si>
    <t>Ravi Kumar</t>
  </si>
  <si>
    <t>Date</t>
  </si>
  <si>
    <t>Observer</t>
  </si>
  <si>
    <t>Pallavi Yadav</t>
  </si>
  <si>
    <t>Activity Type</t>
  </si>
  <si>
    <t>No. of Activities</t>
  </si>
  <si>
    <t>Total Time</t>
  </si>
  <si>
    <t>Total Time (sec)</t>
  </si>
  <si>
    <t>Internal Activities</t>
  </si>
  <si>
    <t>External Activities</t>
  </si>
  <si>
    <t>Total Changeover Time</t>
  </si>
  <si>
    <t>Activity</t>
  </si>
  <si>
    <t>Current Category</t>
  </si>
  <si>
    <t>Can be Converted? (Yes/No)</t>
  </si>
  <si>
    <t>Proposed Category</t>
  </si>
  <si>
    <t>Remarks</t>
  </si>
  <si>
    <t>Guide setup</t>
  </si>
  <si>
    <t>Internal</t>
  </si>
  <si>
    <t>Yes</t>
  </si>
  <si>
    <t>External</t>
  </si>
  <si>
    <t>Pre-set on standby machine</t>
  </si>
  <si>
    <t>Thread matching</t>
  </si>
  <si>
    <t>Issue thread kit beforehand</t>
  </si>
  <si>
    <t>Thread kit prepared in advance</t>
  </si>
  <si>
    <t>Tape roll loading</t>
  </si>
  <si>
    <t>Keep tape ready before changeover</t>
  </si>
  <si>
    <t>Machine cleaning</t>
  </si>
  <si>
    <t>No</t>
  </si>
  <si>
    <t>Essential before next style</t>
  </si>
  <si>
    <t>Needle change</t>
  </si>
  <si>
    <t>Safety-critical task</t>
  </si>
  <si>
    <t>Folder alignment</t>
  </si>
  <si>
    <t>Use fixed guide for faster setup</t>
  </si>
  <si>
    <t>Trial stitching</t>
  </si>
  <si>
    <t>Quality verification required</t>
  </si>
  <si>
    <t>Tool collection</t>
  </si>
  <si>
    <t>-</t>
  </si>
  <si>
    <t>Done before machine stops</t>
  </si>
  <si>
    <t>Material fetching</t>
  </si>
  <si>
    <t>Prepared in advance</t>
  </si>
  <si>
    <t>Loss Type</t>
  </si>
  <si>
    <t>Description</t>
  </si>
  <si>
    <t>Waiting Loss</t>
  </si>
  <si>
    <t>Operator waits for tape and thread supply</t>
  </si>
  <si>
    <t>Motion Loss</t>
  </si>
  <si>
    <t>Unnecessary movement to fetch tools and materials</t>
  </si>
  <si>
    <t>Searching Loss</t>
  </si>
  <si>
    <t>Time spent locating correct tape and thread</t>
  </si>
  <si>
    <t>Adjustment Loss</t>
  </si>
  <si>
    <t>Repeated folder and tape alignment trials</t>
  </si>
  <si>
    <t>Skill Dependency</t>
  </si>
  <si>
    <t>Setup depends on experienced operator</t>
  </si>
  <si>
    <t>Area</t>
  </si>
  <si>
    <t>Recommendation</t>
  </si>
  <si>
    <t>Tools</t>
  </si>
  <si>
    <t>Shadow board / tool kit</t>
  </si>
  <si>
    <t>Shadow board with labeled tools</t>
  </si>
  <si>
    <t>Machine Setting</t>
  </si>
  <si>
    <t>Fixed gauge / stopper</t>
  </si>
  <si>
    <t>Use fixed gauge and stopper for folder</t>
  </si>
  <si>
    <t>Method</t>
  </si>
  <si>
    <t>Standard sequence defined</t>
  </si>
  <si>
    <t>Define standard changeover sequence (SOP)</t>
  </si>
  <si>
    <t>Responsibility</t>
  </si>
  <si>
    <t>Operator / Mechanic</t>
  </si>
  <si>
    <t>Operator + Line Mechanic</t>
  </si>
  <si>
    <t>Documentation</t>
  </si>
  <si>
    <t>SOP / Visual aid</t>
  </si>
  <si>
    <t>Visual SOP near workstation</t>
  </si>
  <si>
    <t>Parameter</t>
  </si>
  <si>
    <t>Before SMED</t>
  </si>
  <si>
    <t>After SMED</t>
  </si>
  <si>
    <t>Before SMED (sec)</t>
  </si>
  <si>
    <t>After SMED (sec)</t>
  </si>
  <si>
    <t>Internal Time</t>
  </si>
  <si>
    <t>External Time</t>
  </si>
  <si>
    <t>% Reduction</t>
  </si>
  <si>
    <t>Operation code</t>
  </si>
  <si>
    <t>SL NO</t>
  </si>
  <si>
    <t>Operation name</t>
  </si>
  <si>
    <t>Section</t>
  </si>
  <si>
    <t xml:space="preserve"> SMV</t>
  </si>
  <si>
    <t>Target /Hour</t>
  </si>
  <si>
    <t>S &amp; N/S</t>
  </si>
  <si>
    <t>Category</t>
  </si>
  <si>
    <t>Operations Summary</t>
  </si>
  <si>
    <t>CL01</t>
  </si>
  <si>
    <t>BONE PATCH IRON</t>
  </si>
  <si>
    <t>COLLAR</t>
  </si>
  <si>
    <t>S</t>
  </si>
  <si>
    <t>N</t>
  </si>
  <si>
    <t>Standard Operations</t>
  </si>
  <si>
    <t>CL02</t>
  </si>
  <si>
    <t>TAPE ATTACH AT NECK BAND</t>
  </si>
  <si>
    <t>NS</t>
  </si>
  <si>
    <t>M</t>
  </si>
  <si>
    <t>Non Standard Operations</t>
  </si>
  <si>
    <t>CL03</t>
  </si>
  <si>
    <t>NECK BAND FUSING ATTACH</t>
  </si>
  <si>
    <t>Total</t>
  </si>
  <si>
    <t>CL04</t>
  </si>
  <si>
    <t>NECK BAND FUSING IRON</t>
  </si>
  <si>
    <t>CL05</t>
  </si>
  <si>
    <t>NECK BAND HEM</t>
  </si>
  <si>
    <t>Machinist Vs Non Machenist</t>
  </si>
  <si>
    <t>CL06</t>
  </si>
  <si>
    <t>DETACHABLE BONE PATCH READY</t>
  </si>
  <si>
    <t>Machenist</t>
  </si>
  <si>
    <t>CL07</t>
  </si>
  <si>
    <t>FIXED BONE PATCH ATTACH</t>
  </si>
  <si>
    <t>Non Machenist</t>
  </si>
  <si>
    <t>CL08</t>
  </si>
  <si>
    <t>COLLAR LINNING ATTACH</t>
  </si>
  <si>
    <t>CL09</t>
  </si>
  <si>
    <t>COLLAR RUN - FUSIBLE</t>
  </si>
  <si>
    <t>CL10</t>
  </si>
  <si>
    <t>COLLAR RUN - NON FUSIBLE</t>
  </si>
  <si>
    <t>Core Focus for Changeover</t>
  </si>
  <si>
    <t>CL11</t>
  </si>
  <si>
    <t>COLLAR TRIM &amp; TURN</t>
  </si>
  <si>
    <t>CL12</t>
  </si>
  <si>
    <t>COLLAR BLOCKING</t>
  </si>
  <si>
    <t>CL13</t>
  </si>
  <si>
    <t>COLLAR TOP STITCH</t>
  </si>
  <si>
    <t>CL14</t>
  </si>
  <si>
    <t>COLLAR BOTTOM TRIM</t>
  </si>
  <si>
    <t>CL15</t>
  </si>
  <si>
    <t>COLLAR DUMMY STITCH</t>
  </si>
  <si>
    <t>CL16</t>
  </si>
  <si>
    <t>BAND SET - NON FUSIBLE</t>
  </si>
  <si>
    <t>CL17</t>
  </si>
  <si>
    <t>BAND SET - FUSIBLE</t>
  </si>
  <si>
    <t>CL18</t>
  </si>
  <si>
    <t>NECK BAND SHAPE CUT,TURN NECK COLLAR</t>
  </si>
  <si>
    <t>CL19</t>
  </si>
  <si>
    <t>NECK BAND TOP EDGE STITCH</t>
  </si>
  <si>
    <t>CL20</t>
  </si>
  <si>
    <t>BAND TOP DECO STITCH</t>
  </si>
  <si>
    <t>CL21</t>
  </si>
  <si>
    <t>READY COLLAR IRON</t>
  </si>
  <si>
    <t>CL22</t>
  </si>
  <si>
    <t>COLLAR READY TRIMMING</t>
  </si>
  <si>
    <t>CL23</t>
  </si>
  <si>
    <t>READY COLLAR NOTCH</t>
  </si>
  <si>
    <t>CL24</t>
  </si>
  <si>
    <t>N/B LABEL ATTACH</t>
  </si>
  <si>
    <t>CL25</t>
  </si>
  <si>
    <t>COLLAR BUTTON HOLE/SEW</t>
  </si>
  <si>
    <t>CL26</t>
  </si>
  <si>
    <t>COLLAR BUTTON SEWING</t>
  </si>
  <si>
    <t>CL27</t>
  </si>
  <si>
    <t>COLLAR LOOP ATTACH</t>
  </si>
  <si>
    <t>CL28</t>
  </si>
  <si>
    <t>MOON PATCH IRON</t>
  </si>
  <si>
    <t>CL29</t>
  </si>
  <si>
    <t>MOON PATCH ATTACH</t>
  </si>
  <si>
    <t>CL30</t>
  </si>
  <si>
    <t>COLLAR BUTTON DOWN</t>
  </si>
  <si>
    <t>CL31</t>
  </si>
  <si>
    <t>EXAM COLLAR</t>
  </si>
  <si>
    <t>CL32</t>
  </si>
  <si>
    <t>NECK BAND TOP (FULL)</t>
  </si>
  <si>
    <t>CL33</t>
  </si>
  <si>
    <t>NECK BAND ATTACH</t>
  </si>
  <si>
    <t>CL34</t>
  </si>
  <si>
    <t>LABEL IRON</t>
  </si>
  <si>
    <t>CL35</t>
  </si>
  <si>
    <t xml:space="preserve">TAPE READY </t>
  </si>
  <si>
    <t>CL36</t>
  </si>
  <si>
    <t xml:space="preserve">COLLAR PLEAT </t>
  </si>
  <si>
    <t>CL37</t>
  </si>
  <si>
    <t>COLLAR LINE MATCH</t>
  </si>
  <si>
    <t>CL38</t>
  </si>
  <si>
    <t>COLLAR LOOP FINISH</t>
  </si>
  <si>
    <t>CL39</t>
  </si>
  <si>
    <t xml:space="preserve">NECK BAND HEM WITH TAPE </t>
  </si>
  <si>
    <t>CL40</t>
  </si>
  <si>
    <t>COLLAR RAW EDGE TRIMMING</t>
  </si>
  <si>
    <t>CL41</t>
  </si>
  <si>
    <t>NECK BAND RAW EDGE TRIMMING</t>
  </si>
  <si>
    <t>CL42</t>
  </si>
  <si>
    <t>NECK BAND PIPING ATTACH</t>
  </si>
  <si>
    <t>CL43</t>
  </si>
  <si>
    <t>NECK BAND HEM WITH PIPING</t>
  </si>
  <si>
    <t>CL44</t>
  </si>
  <si>
    <t>COLLAR BUTTON DOWN HOLE</t>
  </si>
  <si>
    <t>CL45</t>
  </si>
  <si>
    <t>PICK ATTACH</t>
  </si>
  <si>
    <t>CL46</t>
  </si>
  <si>
    <t>SIDE COLLAR RUN(BLUFF COLLAR)</t>
  </si>
  <si>
    <t>CL47</t>
  </si>
  <si>
    <t>SIDE EDGE STITCH COLLAR (BLUFF)</t>
  </si>
  <si>
    <t>CL48</t>
  </si>
  <si>
    <t>TOP COLLAR RUN</t>
  </si>
  <si>
    <t>CL49</t>
  </si>
  <si>
    <t>BLUFF STITCH</t>
  </si>
  <si>
    <t>TCL01</t>
  </si>
  <si>
    <t>TCL05</t>
  </si>
  <si>
    <t>TCL06</t>
  </si>
  <si>
    <t>TCL07</t>
  </si>
  <si>
    <t>FINISH BONE PATCH ATTACH</t>
  </si>
  <si>
    <t>TCL08</t>
  </si>
  <si>
    <t>TCL15</t>
  </si>
  <si>
    <t>TCL19</t>
  </si>
  <si>
    <t>TCL25</t>
  </si>
  <si>
    <t>PCL08</t>
  </si>
  <si>
    <t>PCL09</t>
  </si>
  <si>
    <t>COLLAR RUN - LINE MATCHING</t>
  </si>
  <si>
    <t>PCL12</t>
  </si>
  <si>
    <t>PCL02</t>
  </si>
  <si>
    <t>PCL05</t>
  </si>
  <si>
    <t>CU01</t>
  </si>
  <si>
    <t>CUFF HEM IRON</t>
  </si>
  <si>
    <t>CUFF</t>
  </si>
  <si>
    <t>CU02</t>
  </si>
  <si>
    <t>CUFF TACKING</t>
  </si>
  <si>
    <t>CU03</t>
  </si>
  <si>
    <t>CUFF RUN - Round shape</t>
  </si>
  <si>
    <t>CU04</t>
  </si>
  <si>
    <t>RUN CUFF (Non Fused)</t>
  </si>
  <si>
    <t>CU05</t>
  </si>
  <si>
    <t>CUFF Trimming - Round shape</t>
  </si>
  <si>
    <t>CU06</t>
  </si>
  <si>
    <t>CUFF TURN - MANUAL</t>
  </si>
  <si>
    <t>CU07</t>
  </si>
  <si>
    <t>CUFF BLOCKING</t>
  </si>
  <si>
    <t>CU08</t>
  </si>
  <si>
    <t>CUFF READY IRON</t>
  </si>
  <si>
    <t>CU09</t>
  </si>
  <si>
    <t>CUFF TOP STITCH-Round</t>
  </si>
  <si>
    <t>CU10</t>
  </si>
  <si>
    <t>CUFF BUTTON HOLE (2 HOLE IN SHIRT)</t>
  </si>
  <si>
    <t>CU11</t>
  </si>
  <si>
    <t>DOUBLE CUFF BUTTON HOLE(12 HOLE IN SHIRT)</t>
  </si>
  <si>
    <t>CU12</t>
  </si>
  <si>
    <t>CUFF BUTTON SEWING (2 BUTTON IN SHIRT)</t>
  </si>
  <si>
    <t>CU13</t>
  </si>
  <si>
    <t>CUFF FUSING ATTACH</t>
  </si>
  <si>
    <t>CU14</t>
  </si>
  <si>
    <t>CUFF HEM</t>
  </si>
  <si>
    <t>CU15</t>
  </si>
  <si>
    <t>CUFF TAPE ATTACH AT HEM</t>
  </si>
  <si>
    <t>CU16</t>
  </si>
  <si>
    <t>EXAM CUFF</t>
  </si>
  <si>
    <t>CU17</t>
  </si>
  <si>
    <t>CUFF RUN WITH PATTERN</t>
  </si>
  <si>
    <t>CU18</t>
  </si>
  <si>
    <t>CUFF BUTTON HOLE-DOUBLE (4 HOLE IN SHIRT)</t>
  </si>
  <si>
    <t>CU19</t>
  </si>
  <si>
    <t>CUFF BUTTON SEW-DOUBLE (4 BUTTON IN SHIRT)</t>
  </si>
  <si>
    <t>CU20</t>
  </si>
  <si>
    <t>CUFF DUMMY STITCH</t>
  </si>
  <si>
    <t>CU21</t>
  </si>
  <si>
    <t>SPLIT CUFF ATTACH WITH TAPE</t>
  </si>
  <si>
    <t>CU22</t>
  </si>
  <si>
    <t>READY CUFF PRESSING</t>
  </si>
  <si>
    <t>CU23</t>
  </si>
  <si>
    <t>CUFF DECORATIVE STITCH</t>
  </si>
  <si>
    <t>CU24</t>
  </si>
  <si>
    <t>CUFF TAPE ATTACH AT CENTER</t>
  </si>
  <si>
    <t>CU25</t>
  </si>
  <si>
    <t>CUFF LOGO BUTTON ATTACH</t>
  </si>
  <si>
    <t>CU26</t>
  </si>
  <si>
    <t>OPEN CUFF IRON</t>
  </si>
  <si>
    <t>TCU13</t>
  </si>
  <si>
    <t>TCU03</t>
  </si>
  <si>
    <t>TCU05</t>
  </si>
  <si>
    <t>TCU06</t>
  </si>
  <si>
    <t>TCU07</t>
  </si>
  <si>
    <t>TCU08</t>
  </si>
  <si>
    <t>TCU09</t>
  </si>
  <si>
    <t>CUFF TOP STITCH (fused)</t>
  </si>
  <si>
    <t>TCU18</t>
  </si>
  <si>
    <t>CUFF BUTTON HOLE (cuff X 4)</t>
  </si>
  <si>
    <t>PCU13</t>
  </si>
  <si>
    <t>PCU14</t>
  </si>
  <si>
    <t>PCU10</t>
  </si>
  <si>
    <t>PCU12</t>
  </si>
  <si>
    <t>PCU15</t>
  </si>
  <si>
    <t>CUFF EDGE STITCH</t>
  </si>
  <si>
    <t>BA01</t>
  </si>
  <si>
    <t>BACK DART</t>
  </si>
  <si>
    <t>BACK</t>
  </si>
  <si>
    <t>BA02</t>
  </si>
  <si>
    <t>BACK PLEAT</t>
  </si>
  <si>
    <t>BA03</t>
  </si>
  <si>
    <t>PATCH IRON</t>
  </si>
  <si>
    <t>BA04</t>
  </si>
  <si>
    <t>SPLIT YOKE IRON</t>
  </si>
  <si>
    <t>BA05</t>
  </si>
  <si>
    <t>SPLIT YOKE</t>
  </si>
  <si>
    <t>BA06</t>
  </si>
  <si>
    <t>PATCH ATTACH</t>
  </si>
  <si>
    <t>BA07</t>
  </si>
  <si>
    <t xml:space="preserve">MAIN LABEL : TWO SIDES </t>
  </si>
  <si>
    <t>BA08</t>
  </si>
  <si>
    <t xml:space="preserve">PREMUIM LABEL </t>
  </si>
  <si>
    <t>BA09</t>
  </si>
  <si>
    <t xml:space="preserve">SIZE LABEL </t>
  </si>
  <si>
    <t>BA10</t>
  </si>
  <si>
    <t>YOKE ATTACH</t>
  </si>
  <si>
    <t>BA11</t>
  </si>
  <si>
    <t>YOKE TOP STITCH</t>
  </si>
  <si>
    <t>BA12</t>
  </si>
  <si>
    <t>BACK BOTTOM HEM</t>
  </si>
  <si>
    <t>BA13</t>
  </si>
  <si>
    <t>GUSSET EDGE STITCH</t>
  </si>
  <si>
    <t>BA14</t>
  </si>
  <si>
    <t>BACK LOOP READY</t>
  </si>
  <si>
    <t>BA15</t>
  </si>
  <si>
    <t>BACK LOOP ATTACH</t>
  </si>
  <si>
    <t>BA16</t>
  </si>
  <si>
    <t>BACK OVER LOCK</t>
  </si>
  <si>
    <t>BA17</t>
  </si>
  <si>
    <t>BACK TAPE ATTACH</t>
  </si>
  <si>
    <t>BA18</t>
  </si>
  <si>
    <t>PINTAK TACKING</t>
  </si>
  <si>
    <t>BA19</t>
  </si>
  <si>
    <t xml:space="preserve">EXAM BACK </t>
  </si>
  <si>
    <t>BA20</t>
  </si>
  <si>
    <t>PINTAK BAR TACK</t>
  </si>
  <si>
    <t>BA21</t>
  </si>
  <si>
    <t>YOKE PINTACK</t>
  </si>
  <si>
    <t>BA22</t>
  </si>
  <si>
    <t>PINTAK IRON</t>
  </si>
  <si>
    <t>BA23</t>
  </si>
  <si>
    <t xml:space="preserve">MAIN LABEL: FOUR SIDES </t>
  </si>
  <si>
    <t>BA24</t>
  </si>
  <si>
    <t>SPLIT YOKE ATTACH (DOUBLE)</t>
  </si>
  <si>
    <t>BA25</t>
  </si>
  <si>
    <t>YOKE ATTACH (CHECKS)</t>
  </si>
  <si>
    <t>BA26</t>
  </si>
  <si>
    <t>BACK DART EDGE STITCH</t>
  </si>
  <si>
    <t>BA27</t>
  </si>
  <si>
    <t>GUSSEST TACK AT BOTTOM</t>
  </si>
  <si>
    <t>BA28</t>
  </si>
  <si>
    <t>BACK BOTTOM HEM WITH GUSSET</t>
  </si>
  <si>
    <t>BA29</t>
  </si>
  <si>
    <t>MAIN LABEL ATTACH WITH SIZE LABEL</t>
  </si>
  <si>
    <t>BA30</t>
  </si>
  <si>
    <t>YOKE ATTACH WITH TAPE</t>
  </si>
  <si>
    <t>BA31</t>
  </si>
  <si>
    <t>PIPING ATTACH AT BOTTOM HEM</t>
  </si>
  <si>
    <t>BA32</t>
  </si>
  <si>
    <t>PIPING FINISH AT BOTTOM HEM</t>
  </si>
  <si>
    <t>BA33</t>
  </si>
  <si>
    <t xml:space="preserve">Back French fell -1 </t>
  </si>
  <si>
    <t>BA34</t>
  </si>
  <si>
    <t>Back Fench fell - 2</t>
  </si>
  <si>
    <t>BA35</t>
  </si>
  <si>
    <t>BACK SLIT</t>
  </si>
  <si>
    <t>BA36</t>
  </si>
  <si>
    <t>BACK SLIT BOTTOM HEM</t>
  </si>
  <si>
    <t>BA37</t>
  </si>
  <si>
    <t>PREMIUM LABEL FOUR SIDES</t>
  </si>
  <si>
    <t>BA38</t>
  </si>
  <si>
    <t>WASH CARE LABLE ATTACH</t>
  </si>
  <si>
    <t>BA39</t>
  </si>
  <si>
    <t>V-LABEL PATCH ATTACH</t>
  </si>
  <si>
    <t>BA40</t>
  </si>
  <si>
    <t>V-LABEL PATCH IRON</t>
  </si>
  <si>
    <t>BA41</t>
  </si>
  <si>
    <t>YOKE ATTACH OVER LOCK</t>
  </si>
  <si>
    <t>BA42</t>
  </si>
  <si>
    <t>V' PATCH</t>
  </si>
  <si>
    <t>BA43</t>
  </si>
  <si>
    <t>YOKE ATTACH MANUAL</t>
  </si>
  <si>
    <t>BA44</t>
  </si>
  <si>
    <t>YOKE CENTER TACKING</t>
  </si>
  <si>
    <t>BA57</t>
  </si>
  <si>
    <t>MAIN LABEL, PREMIUM LABEL &amp; SIZE LABEL(PATTERN SEWER)</t>
  </si>
  <si>
    <t>BA58</t>
  </si>
  <si>
    <t>MAIN LABEL-2 SIDE (PATTERN SEWER)</t>
  </si>
  <si>
    <t>TBA02</t>
  </si>
  <si>
    <t>BACK PLEAT(TACK)</t>
  </si>
  <si>
    <t>TBA04</t>
  </si>
  <si>
    <t>TBA05</t>
  </si>
  <si>
    <t>Split yoke attach-inner and outer</t>
  </si>
  <si>
    <t>TBA07</t>
  </si>
  <si>
    <t>PBA24</t>
  </si>
  <si>
    <t>PBA02</t>
  </si>
  <si>
    <t>FR01</t>
  </si>
  <si>
    <t>FRONT PLACKET ATTACH</t>
  </si>
  <si>
    <t>FRONT</t>
  </si>
  <si>
    <t>FR02</t>
  </si>
  <si>
    <t>FRONT PLACKET TRIMMING</t>
  </si>
  <si>
    <t>FR03</t>
  </si>
  <si>
    <t>FRONT PLACKET PRESSING</t>
  </si>
  <si>
    <t>FR04</t>
  </si>
  <si>
    <t>FR05</t>
  </si>
  <si>
    <t>BUTTON PLACKET HEM</t>
  </si>
  <si>
    <t>FR06</t>
  </si>
  <si>
    <t>BUTTON PLACKET HEM - DNLS</t>
  </si>
  <si>
    <t>FR07</t>
  </si>
  <si>
    <t>FRONT NECK STITCH</t>
  </si>
  <si>
    <t>FR08</t>
  </si>
  <si>
    <t>FRONT BOTTOM LABLE ATTACH</t>
  </si>
  <si>
    <t>FR09</t>
  </si>
  <si>
    <t>POCKET IRONING</t>
  </si>
  <si>
    <t>FR10</t>
  </si>
  <si>
    <t>POCKET HEM IRONING</t>
  </si>
  <si>
    <t>FR11</t>
  </si>
  <si>
    <t>POCKET HEM</t>
  </si>
  <si>
    <t>FR12</t>
  </si>
  <si>
    <t>POCKET ATTACH-Round Shape</t>
  </si>
  <si>
    <t>FR13</t>
  </si>
  <si>
    <t>FRONT BUTTON HOLE</t>
  </si>
  <si>
    <t>FR14</t>
  </si>
  <si>
    <t>FRONT BUTTON SEWING (AUTO FEEDER)</t>
  </si>
  <si>
    <t>FR15</t>
  </si>
  <si>
    <t>FRONT EXTRA BUTTON HOLE</t>
  </si>
  <si>
    <t>FR16</t>
  </si>
  <si>
    <t>FRONT EXTRA BUTTON SEWING (Manual)</t>
  </si>
  <si>
    <t>FR17</t>
  </si>
  <si>
    <t>FRONT BAR TACK</t>
  </si>
  <si>
    <t>FR18</t>
  </si>
  <si>
    <t>FRONT OVER LOCK</t>
  </si>
  <si>
    <t>FR19</t>
  </si>
  <si>
    <t>RIGHT &amp; LEFT PANNEL ATTACH</t>
  </si>
  <si>
    <t>FR20</t>
  </si>
  <si>
    <t>RIGHT &amp; LEFT PANNEL TOP STITCH</t>
  </si>
  <si>
    <t>FR21</t>
  </si>
  <si>
    <t>RIGHT &amp; LEFT PANNEL IRON</t>
  </si>
  <si>
    <t>FR22</t>
  </si>
  <si>
    <t>FRONT PLACKET IRONING</t>
  </si>
  <si>
    <t>FR23</t>
  </si>
  <si>
    <t>EXAM FRONT</t>
  </si>
  <si>
    <t>FR24</t>
  </si>
  <si>
    <t>FRONT NECK TRIMMING</t>
  </si>
  <si>
    <t>FR25</t>
  </si>
  <si>
    <t>FRENCH PLACKET SELF FOLD IRONING</t>
  </si>
  <si>
    <t>FR26</t>
  </si>
  <si>
    <t>FRONT BUTTON SEWING (MANUAL)</t>
  </si>
  <si>
    <t>FR27</t>
  </si>
  <si>
    <t>FRONT DART</t>
  </si>
  <si>
    <t>FR28</t>
  </si>
  <si>
    <t>BUTTON HOLE MARKING</t>
  </si>
  <si>
    <t>FR29</t>
  </si>
  <si>
    <t>FRONT BOTTOM WITH GUSSET</t>
  </si>
  <si>
    <t>FR30</t>
  </si>
  <si>
    <t>FRONT CENTER STITCH</t>
  </si>
  <si>
    <t>FR31</t>
  </si>
  <si>
    <t>FRONT SNAPE BUTTON</t>
  </si>
  <si>
    <t>FR32</t>
  </si>
  <si>
    <t>Button hole front X 7</t>
  </si>
  <si>
    <t>FR33</t>
  </si>
  <si>
    <t>Button sew front X 7</t>
  </si>
  <si>
    <t>FR34</t>
  </si>
  <si>
    <t>FRONT PLACKET V SHAPE IRON</t>
  </si>
  <si>
    <t>FR35</t>
  </si>
  <si>
    <t>BUTTON PLACKET HEM WITH TAPE</t>
  </si>
  <si>
    <t>FR36</t>
  </si>
  <si>
    <t>FRONT BOTTOM SERGING</t>
  </si>
  <si>
    <t>FR37</t>
  </si>
  <si>
    <t>POCKET MARKING</t>
  </si>
  <si>
    <t>FR38</t>
  </si>
  <si>
    <t>FLAP RUN</t>
  </si>
  <si>
    <t>FR39</t>
  </si>
  <si>
    <t>FLAP TRIMMING</t>
  </si>
  <si>
    <t>FR40</t>
  </si>
  <si>
    <t>FLAP TURNING</t>
  </si>
  <si>
    <t>FR41</t>
  </si>
  <si>
    <t>FLAP IRONING</t>
  </si>
  <si>
    <t>FR42</t>
  </si>
  <si>
    <t>FLAP TOP STITCH</t>
  </si>
  <si>
    <t>FR43</t>
  </si>
  <si>
    <t>FLAP ATTACH</t>
  </si>
  <si>
    <t>FR44</t>
  </si>
  <si>
    <t>FLAP FINISH</t>
  </si>
  <si>
    <t>FR45</t>
  </si>
  <si>
    <t>FRONT PLACKET ATTACH - DNLS</t>
  </si>
  <si>
    <t>FR46</t>
  </si>
  <si>
    <t>FRONT PLACKET AUTO FOLD IRONING</t>
  </si>
  <si>
    <t>FR47</t>
  </si>
  <si>
    <t>POCKET IRONING MACHINE</t>
  </si>
  <si>
    <t>FR48</t>
  </si>
  <si>
    <t>GUSSET IRONING MACHINE</t>
  </si>
  <si>
    <t>FR49</t>
  </si>
  <si>
    <t xml:space="preserve">LEFT FRONT HEM </t>
  </si>
  <si>
    <t>FR50</t>
  </si>
  <si>
    <t>LEFT FRONT PLACKET MANUAL ATTACH</t>
  </si>
  <si>
    <t>FR51</t>
  </si>
  <si>
    <t>FRONT SLIT BOTTOM HEM</t>
  </si>
  <si>
    <t>FR52</t>
  </si>
  <si>
    <t>FRONT SINGLE PANEL PLACKET ATTACH</t>
  </si>
  <si>
    <t>FR53</t>
  </si>
  <si>
    <t>FRONT SINGLE PANEL PLACKET HEM</t>
  </si>
  <si>
    <t>FR54</t>
  </si>
  <si>
    <t xml:space="preserve">FRONT SLIT </t>
  </si>
  <si>
    <t>FR55</t>
  </si>
  <si>
    <t>FRONT BUTTON SEW - 8</t>
  </si>
  <si>
    <t>FR56</t>
  </si>
  <si>
    <t>FRONT BUTTON HOLE -8</t>
  </si>
  <si>
    <t>FR57</t>
  </si>
  <si>
    <t>RFID LABEL ATTACH</t>
  </si>
  <si>
    <t>FR58</t>
  </si>
  <si>
    <t>FRONT PLACKET FINISHING-DILLARD</t>
  </si>
  <si>
    <t>FR59</t>
  </si>
  <si>
    <t>FRONT PLACKET TACKING-DILLARD</t>
  </si>
  <si>
    <t>FR61</t>
  </si>
  <si>
    <t>MANUAL JET SEW</t>
  </si>
  <si>
    <t>FR63</t>
  </si>
  <si>
    <t>WASH CARE LABLE READY</t>
  </si>
  <si>
    <t>FR65</t>
  </si>
  <si>
    <t>FRONT LOGO BADGE ATTACH</t>
  </si>
  <si>
    <t>FR66</t>
  </si>
  <si>
    <t>FRONT HORIZONTAL BUTTON HOLE</t>
  </si>
  <si>
    <t>FR67</t>
  </si>
  <si>
    <t>BADGE MARKING</t>
  </si>
  <si>
    <t>PFR01</t>
  </si>
  <si>
    <t>PFR05</t>
  </si>
  <si>
    <t>PFR11</t>
  </si>
  <si>
    <t>PFR09</t>
  </si>
  <si>
    <t>PFR12</t>
  </si>
  <si>
    <t>PFR13</t>
  </si>
  <si>
    <t>PFR16</t>
  </si>
  <si>
    <t>PFR04</t>
  </si>
  <si>
    <t>PFR29</t>
  </si>
  <si>
    <t>TFR04</t>
  </si>
  <si>
    <t>TFR25</t>
  </si>
  <si>
    <t>TFR01</t>
  </si>
  <si>
    <t>RIGHT FRONT IRON</t>
  </si>
  <si>
    <t>TFR02</t>
  </si>
  <si>
    <t>RIGHT PATTI ATTACH AT EDGE</t>
  </si>
  <si>
    <t>TFR03</t>
  </si>
  <si>
    <t>RIGHT PANNEL TURN &amp; IRON</t>
  </si>
  <si>
    <t>TFR05</t>
  </si>
  <si>
    <t>RIGHT PANEL FINISH</t>
  </si>
  <si>
    <t>TFR06</t>
  </si>
  <si>
    <t>RIGHT PANEL FINAL IRON</t>
  </si>
  <si>
    <t>SH01</t>
  </si>
  <si>
    <t>Fly ironing(Left &amp; Right side)</t>
  </si>
  <si>
    <t>SH02</t>
  </si>
  <si>
    <t>Right ply finishing</t>
  </si>
  <si>
    <t>SH03</t>
  </si>
  <si>
    <t>J Stitch inner attach</t>
  </si>
  <si>
    <t>SH04</t>
  </si>
  <si>
    <t>Left &amp; Right fly joint</t>
  </si>
  <si>
    <t>SH05</t>
  </si>
  <si>
    <t>Front rise attach</t>
  </si>
  <si>
    <t>SH06</t>
  </si>
  <si>
    <t>Front rise finishing</t>
  </si>
  <si>
    <t>SH07</t>
  </si>
  <si>
    <t>J stitch marking</t>
  </si>
  <si>
    <t>SH08</t>
  </si>
  <si>
    <t>J stitch finishing</t>
  </si>
  <si>
    <t>SH09</t>
  </si>
  <si>
    <t>J stitch final finishing</t>
  </si>
  <si>
    <t>SH10</t>
  </si>
  <si>
    <t>Button hole</t>
  </si>
  <si>
    <t>SH11</t>
  </si>
  <si>
    <t>Button sewing</t>
  </si>
  <si>
    <t>SL01</t>
  </si>
  <si>
    <t>SLEEVE OVERLOCK</t>
  </si>
  <si>
    <t>SLEEVE</t>
  </si>
  <si>
    <t>SL02</t>
  </si>
  <si>
    <t>SLEEVE UNDER PLACKET - UHS</t>
  </si>
  <si>
    <t>SL03</t>
  </si>
  <si>
    <t>TAPE ATTACH AT SLEEVE UNDER PLACKET</t>
  </si>
  <si>
    <t>SL04</t>
  </si>
  <si>
    <t>ROLLING PLACKET</t>
  </si>
  <si>
    <t>SL05</t>
  </si>
  <si>
    <t>SLEEVE UNDER PLACKET TACKING - UHS</t>
  </si>
  <si>
    <t>SL06</t>
  </si>
  <si>
    <t>SLEEVE PLACKET PRESSING</t>
  </si>
  <si>
    <t>SL07</t>
  </si>
  <si>
    <t>SLEEVE BOX - UHS</t>
  </si>
  <si>
    <t>SL08</t>
  </si>
  <si>
    <t>SLEEVE PLEET &amp; TRIMING</t>
  </si>
  <si>
    <t>SL09</t>
  </si>
  <si>
    <t>SLEEVE BUTTON HOLE - UHS</t>
  </si>
  <si>
    <t>SL10</t>
  </si>
  <si>
    <t>SLEEVE BUTTON SEWING -UHS</t>
  </si>
  <si>
    <t>SL11</t>
  </si>
  <si>
    <t>SLEEVE BAR TACK</t>
  </si>
  <si>
    <t>SL12</t>
  </si>
  <si>
    <t>TAB IRONING IN FUSING MACHINE</t>
  </si>
  <si>
    <t>SL13</t>
  </si>
  <si>
    <t>SLEEVE HEM IRONING</t>
  </si>
  <si>
    <t>SL14</t>
  </si>
  <si>
    <t>TAB READY</t>
  </si>
  <si>
    <t>SL15</t>
  </si>
  <si>
    <t>TAB ATTACH</t>
  </si>
  <si>
    <t>SL16</t>
  </si>
  <si>
    <t>SLV ELBOW PATCH IRON</t>
  </si>
  <si>
    <t>SL17</t>
  </si>
  <si>
    <t>SLV ELBOW PATCH ATTACH</t>
  </si>
  <si>
    <t>SL18</t>
  </si>
  <si>
    <t>EXAM SLEEVE</t>
  </si>
  <si>
    <t>SL19</t>
  </si>
  <si>
    <t>SLEEVE HEM</t>
  </si>
  <si>
    <t>SL20</t>
  </si>
  <si>
    <t>SLEEVE OVER LOCK TACKING</t>
  </si>
  <si>
    <t>SL21</t>
  </si>
  <si>
    <t>SLEEVE BOX DOUBLE BAR-UHS</t>
  </si>
  <si>
    <t>SL22</t>
  </si>
  <si>
    <t>SLEEVE  PLEAT - UHS</t>
  </si>
  <si>
    <t>SL23</t>
  </si>
  <si>
    <t>SLEEVE  TRIMMING</t>
  </si>
  <si>
    <t>SL24</t>
  </si>
  <si>
    <t>Sleeve French Fell 1</t>
  </si>
  <si>
    <t>SL25</t>
  </si>
  <si>
    <t>Sleeve French Fell 2</t>
  </si>
  <si>
    <t>SL26</t>
  </si>
  <si>
    <t>Sew pleats on SleeveX1</t>
  </si>
  <si>
    <t>SL27</t>
  </si>
  <si>
    <t>TAPE ATTACH AT SLEEVE PLACKET</t>
  </si>
  <si>
    <t>SL28</t>
  </si>
  <si>
    <t>SLEEVE SERGING</t>
  </si>
  <si>
    <t>SL29</t>
  </si>
  <si>
    <t>SLEEVE CROWN HEM</t>
  </si>
  <si>
    <t>SL30</t>
  </si>
  <si>
    <t>SLEEVE CONCEALED PLACKET</t>
  </si>
  <si>
    <t>SL31</t>
  </si>
  <si>
    <t>SLEEVE  PLACKET LABLE ATTACH</t>
  </si>
  <si>
    <t>TSL02</t>
  </si>
  <si>
    <t>SLEEVE SMALL PLACKET SELF FOLD</t>
  </si>
  <si>
    <t>TSL06</t>
  </si>
  <si>
    <t>TSL07</t>
  </si>
  <si>
    <t>TSL08</t>
  </si>
  <si>
    <t>Sew pleats on SleeveX3</t>
  </si>
  <si>
    <t>TSL09</t>
  </si>
  <si>
    <t>TSL10</t>
  </si>
  <si>
    <t>PSL02</t>
  </si>
  <si>
    <t>PSL07</t>
  </si>
  <si>
    <t>PSL22</t>
  </si>
  <si>
    <t>PSL23</t>
  </si>
  <si>
    <t>SLEEVE DUMMY STITCH</t>
  </si>
  <si>
    <t>AS01</t>
  </si>
  <si>
    <t>SHOULDER JOIN</t>
  </si>
  <si>
    <t>ASSEMBLY</t>
  </si>
  <si>
    <t>AS02</t>
  </si>
  <si>
    <t xml:space="preserve">T/S SHOULDER </t>
  </si>
  <si>
    <t>AS03</t>
  </si>
  <si>
    <t>COLLAR ATTACH</t>
  </si>
  <si>
    <t>AS04</t>
  </si>
  <si>
    <t>COLLAR FINISH</t>
  </si>
  <si>
    <t>AS05</t>
  </si>
  <si>
    <t>SLEEVE ATTACH</t>
  </si>
  <si>
    <t>AS06</t>
  </si>
  <si>
    <t>SLEEVE TOP</t>
  </si>
  <si>
    <t>AS07</t>
  </si>
  <si>
    <t>SIDE SEAM</t>
  </si>
  <si>
    <t>AS08</t>
  </si>
  <si>
    <t>CUFF ATTACH</t>
  </si>
  <si>
    <t>AS09</t>
  </si>
  <si>
    <t>BOTTOM SERGING</t>
  </si>
  <si>
    <t>AS10</t>
  </si>
  <si>
    <t>BOTTOM HEM</t>
  </si>
  <si>
    <t>AS11</t>
  </si>
  <si>
    <t>GUSSET IRON</t>
  </si>
  <si>
    <t>AS12</t>
  </si>
  <si>
    <t>GUSSET ATTACH</t>
  </si>
  <si>
    <t>AS13</t>
  </si>
  <si>
    <t>GUSSET FINISH</t>
  </si>
  <si>
    <t>AS14</t>
  </si>
  <si>
    <t>BUTTON DOWN</t>
  </si>
  <si>
    <t>AS15</t>
  </si>
  <si>
    <t>DECORATIVE STITCH</t>
  </si>
  <si>
    <t>AS16</t>
  </si>
  <si>
    <t>AS17</t>
  </si>
  <si>
    <t>FRENCH FELL 1</t>
  </si>
  <si>
    <t>AS18</t>
  </si>
  <si>
    <t>FRENCH FELL 2</t>
  </si>
  <si>
    <t>AS19</t>
  </si>
  <si>
    <t>SLEEVE LINE MATCH</t>
  </si>
  <si>
    <t>AS20</t>
  </si>
  <si>
    <t>WRAPPING</t>
  </si>
  <si>
    <t>AS21</t>
  </si>
  <si>
    <t>EXAM ASSEMBLY</t>
  </si>
  <si>
    <t>AS22</t>
  </si>
  <si>
    <t>MANUAL SHOULDER JOIN</t>
  </si>
  <si>
    <t>AS23</t>
  </si>
  <si>
    <t>SIDE OVER LOCK</t>
  </si>
  <si>
    <t>AS24</t>
  </si>
  <si>
    <t>COLLAR TAPE FINISH</t>
  </si>
  <si>
    <t>AS25</t>
  </si>
  <si>
    <t>JOIN SHOULDER OVER LOCK</t>
  </si>
  <si>
    <t>AS26</t>
  </si>
  <si>
    <t>JOIN SHOULDER PRESSING</t>
  </si>
  <si>
    <t>AS27</t>
  </si>
  <si>
    <t>SLEEVE ATTACH OVER LOCK</t>
  </si>
  <si>
    <t>AS28</t>
  </si>
  <si>
    <t>ARM HOLE PRESSING</t>
  </si>
  <si>
    <t>AS29</t>
  </si>
  <si>
    <t>SIDE SEAM OVER LOCK</t>
  </si>
  <si>
    <t>AS30</t>
  </si>
  <si>
    <t>SIDE SEAM PRESSING</t>
  </si>
  <si>
    <t>AS31</t>
  </si>
  <si>
    <t>GUSSEST BARTACK</t>
  </si>
  <si>
    <t>AS32</t>
  </si>
  <si>
    <t xml:space="preserve">SIDE SEAM SERGING </t>
  </si>
  <si>
    <t>AS33</t>
  </si>
  <si>
    <t>COLLAR BARTACK</t>
  </si>
  <si>
    <t>AS34</t>
  </si>
  <si>
    <t>COLLAR TACKING FOR BARTACK</t>
  </si>
  <si>
    <t>AS35</t>
  </si>
  <si>
    <t>SHOULDER JOIN WITH TAPE</t>
  </si>
  <si>
    <t>AS36</t>
  </si>
  <si>
    <t>SLEEVE ATTACH WITH TAPE</t>
  </si>
  <si>
    <t>AS37</t>
  </si>
  <si>
    <t>SIDE SEAM WITH TAPE</t>
  </si>
  <si>
    <t>AS38</t>
  </si>
  <si>
    <t>FRENCH FELL 1 WITH TAPE</t>
  </si>
  <si>
    <t>AS39</t>
  </si>
  <si>
    <t>FRENCH FELL 2 WITH TAPE</t>
  </si>
  <si>
    <t>AS40</t>
  </si>
  <si>
    <t>SLEEVE ATTACH - DNLS</t>
  </si>
  <si>
    <t>AS41</t>
  </si>
  <si>
    <t>SLEEVE TOP - DNLS</t>
  </si>
  <si>
    <t>AS42</t>
  </si>
  <si>
    <t>BOTTOM HEM - CHAIN STITCH</t>
  </si>
  <si>
    <t>AS43</t>
  </si>
  <si>
    <t>SET COLLAR WITH FRONT PLACKET TACKING</t>
  </si>
  <si>
    <t>AS44</t>
  </si>
  <si>
    <t>FRONT PLACKET FINISH</t>
  </si>
  <si>
    <t>AS45</t>
  </si>
  <si>
    <t>FRENCH FELL-1 WITH SLIT</t>
  </si>
  <si>
    <t>AS46</t>
  </si>
  <si>
    <t>FRENCH FELL-2 WITH SLIT</t>
  </si>
  <si>
    <t>AS47</t>
  </si>
  <si>
    <t>FRONT PLACKET WITH COLLAR IRON</t>
  </si>
  <si>
    <t>AS48</t>
  </si>
  <si>
    <t>TOP STITCH ALL AROUND FRONT &amp; COLLAR</t>
  </si>
  <si>
    <t>AS49</t>
  </si>
  <si>
    <t>EXTRA BUTTON (3 BUTTON)</t>
  </si>
  <si>
    <t>AS50</t>
  </si>
  <si>
    <t>SLIT TAPE ATTACH</t>
  </si>
  <si>
    <t>AS51</t>
  </si>
  <si>
    <t>EXTRA BUTTON</t>
  </si>
  <si>
    <t>HBAS04</t>
  </si>
  <si>
    <t>HBAS05</t>
  </si>
  <si>
    <t>HBAS07</t>
  </si>
  <si>
    <t>TAS10</t>
  </si>
  <si>
    <t>TAS01</t>
  </si>
  <si>
    <t>TAS03</t>
  </si>
  <si>
    <t>TAS04</t>
  </si>
  <si>
    <t>TAS05</t>
  </si>
  <si>
    <t>SLEEVE ATTACH - SNLS</t>
  </si>
  <si>
    <t>TAS08</t>
  </si>
  <si>
    <t>TAS19</t>
  </si>
  <si>
    <t>TAS06</t>
  </si>
  <si>
    <t>PAS03</t>
  </si>
  <si>
    <t>PAS06</t>
  </si>
  <si>
    <t>PAS17</t>
  </si>
  <si>
    <t>PAS08</t>
  </si>
  <si>
    <t>PAS12</t>
  </si>
  <si>
    <t>FH</t>
  </si>
  <si>
    <t>FEEDING HELPER</t>
  </si>
  <si>
    <t>ALL</t>
  </si>
  <si>
    <t>HE</t>
  </si>
  <si>
    <t>PARRING</t>
  </si>
  <si>
    <t>HL</t>
  </si>
  <si>
    <t>HANGER LOADING</t>
  </si>
  <si>
    <t>CL</t>
  </si>
  <si>
    <t>CUTTING LOADING</t>
  </si>
  <si>
    <t>SHHL</t>
  </si>
  <si>
    <t>Hanger loading</t>
  </si>
  <si>
    <t>SH12</t>
  </si>
  <si>
    <t>Back panel attach - FF1</t>
  </si>
  <si>
    <t>SH13</t>
  </si>
  <si>
    <t>Back panel top stitch</t>
  </si>
  <si>
    <t>SH14</t>
  </si>
  <si>
    <t>Waist band size wise ready trimming</t>
  </si>
  <si>
    <t>SH15</t>
  </si>
  <si>
    <t>Waist band ready for size</t>
  </si>
  <si>
    <t>SH16</t>
  </si>
  <si>
    <t>Elastic tacking ( 4 Tacking)</t>
  </si>
  <si>
    <t>SH17</t>
  </si>
  <si>
    <t>Waist band finishing ironing</t>
  </si>
  <si>
    <t>SH18</t>
  </si>
  <si>
    <t>Waist band mouth closing</t>
  </si>
  <si>
    <t>SH19</t>
  </si>
  <si>
    <t>Fly Top finishing with Waist band ( Square shape)</t>
  </si>
  <si>
    <t>SH20</t>
  </si>
  <si>
    <t>Waist band finishing</t>
  </si>
  <si>
    <t>SH21</t>
  </si>
  <si>
    <t>In seam attach - FF1</t>
  </si>
  <si>
    <t>SH22</t>
  </si>
  <si>
    <t>In seam top stitch - FF2</t>
  </si>
  <si>
    <t>SH23</t>
  </si>
  <si>
    <t>Bottom hem (If folder available)</t>
  </si>
  <si>
    <t>SH24</t>
  </si>
  <si>
    <t>MAIN LABEL ATTACH</t>
  </si>
  <si>
    <t>SH25</t>
  </si>
  <si>
    <t>SIZE LABEL ATTACH</t>
  </si>
  <si>
    <t>MS01</t>
  </si>
  <si>
    <t>MESH ATTACH</t>
  </si>
  <si>
    <t>MASK</t>
  </si>
  <si>
    <t>MS02</t>
  </si>
  <si>
    <t>MESH CREASING</t>
  </si>
  <si>
    <t>MS03</t>
  </si>
  <si>
    <t>INNER PANNAL ATTACH</t>
  </si>
  <si>
    <t>MS04</t>
  </si>
  <si>
    <t>PLEAT MAKING</t>
  </si>
  <si>
    <t>MS05</t>
  </si>
  <si>
    <t>NOSE CLIP READY</t>
  </si>
  <si>
    <t>MS06</t>
  </si>
  <si>
    <t>NOSE CLIP MARKING</t>
  </si>
  <si>
    <t>MS07</t>
  </si>
  <si>
    <t>NOSE CLIP ATTACH</t>
  </si>
  <si>
    <t>MS08</t>
  </si>
  <si>
    <t>MESH TO LINNING ATTACH</t>
  </si>
  <si>
    <t>MS09</t>
  </si>
  <si>
    <t>MESH TO KNIT ATTACH</t>
  </si>
  <si>
    <t>MS10</t>
  </si>
  <si>
    <t>ELASTIC MARKING</t>
  </si>
  <si>
    <t>MS11</t>
  </si>
  <si>
    <t>ELASTIC ATTACH</t>
  </si>
  <si>
    <t>MS12</t>
  </si>
  <si>
    <t>LABEL ATTACH</t>
  </si>
  <si>
    <t>MS14</t>
  </si>
  <si>
    <t>BINDING ATTACH</t>
  </si>
  <si>
    <t>MS15</t>
  </si>
  <si>
    <t>TACK AT THE END OF BINDING</t>
  </si>
  <si>
    <t>KCL01</t>
  </si>
  <si>
    <t>KCL17</t>
  </si>
  <si>
    <t>KCL25</t>
  </si>
  <si>
    <t>KCL26</t>
  </si>
  <si>
    <t>KCU03</t>
  </si>
  <si>
    <t>KCU05</t>
  </si>
  <si>
    <t>KCU06</t>
  </si>
  <si>
    <t>KCU08</t>
  </si>
  <si>
    <t>KCU09</t>
  </si>
  <si>
    <t>CUFF TOP STITCH</t>
  </si>
  <si>
    <t>KCU10</t>
  </si>
  <si>
    <t>KCU12</t>
  </si>
  <si>
    <t>KBA07</t>
  </si>
  <si>
    <t>KBA09</t>
  </si>
  <si>
    <t>KBA10</t>
  </si>
  <si>
    <t>KFR09</t>
  </si>
  <si>
    <t>KFR11</t>
  </si>
  <si>
    <t>KFR12</t>
  </si>
  <si>
    <t>POCKET ATTACH</t>
  </si>
  <si>
    <t>KFR13</t>
  </si>
  <si>
    <t>KFR14</t>
  </si>
  <si>
    <t>POCKET ATTACH WITH TAPE</t>
  </si>
  <si>
    <t>KFR08</t>
  </si>
  <si>
    <t>KFR16</t>
  </si>
  <si>
    <t>KSL02</t>
  </si>
  <si>
    <t>KSL03</t>
  </si>
  <si>
    <t>KSL05</t>
  </si>
  <si>
    <t>KSL06</t>
  </si>
  <si>
    <t>KSL07</t>
  </si>
  <si>
    <t>SLEEVE BOX WITH TAPE (KNITED)</t>
  </si>
  <si>
    <t>KAS35</t>
  </si>
  <si>
    <t>KAS26</t>
  </si>
  <si>
    <t>KAS03</t>
  </si>
  <si>
    <t>KAS04</t>
  </si>
  <si>
    <t>KAS36</t>
  </si>
  <si>
    <t>KAS50</t>
  </si>
  <si>
    <t>SLEEVE TOP WITH TAPE</t>
  </si>
  <si>
    <t>KAS37</t>
  </si>
  <si>
    <t>KAS30</t>
  </si>
  <si>
    <t>KAS08</t>
  </si>
  <si>
    <t>KAS09</t>
  </si>
  <si>
    <t>KAS10</t>
  </si>
  <si>
    <t>OPTAFH</t>
  </si>
  <si>
    <t>OPTCUT FEEDING HELPER</t>
  </si>
  <si>
    <t>FHA</t>
  </si>
  <si>
    <t>FEEDING HELPER ASSM</t>
  </si>
  <si>
    <t>Tape attach folder</t>
  </si>
  <si>
    <t>Button Sew</t>
  </si>
  <si>
    <t>Manual</t>
  </si>
  <si>
    <t>Piping folder</t>
  </si>
  <si>
    <t>Button Hole</t>
  </si>
  <si>
    <t>DNLS</t>
  </si>
  <si>
    <t>Over Lock</t>
  </si>
  <si>
    <t>tape attach folder</t>
  </si>
  <si>
    <t>Bartack</t>
  </si>
  <si>
    <t>Snap button M/c</t>
  </si>
  <si>
    <t>Pattern Sewer</t>
  </si>
  <si>
    <t>over Lock</t>
  </si>
  <si>
    <t>Average Time Sec</t>
  </si>
  <si>
    <t>Average Time Min</t>
  </si>
  <si>
    <t>Average  Time for internal activity</t>
  </si>
  <si>
    <t>Average  Time for External activity</t>
  </si>
  <si>
    <t xml:space="preserve">Operation Name </t>
  </si>
  <si>
    <t>Factory 4</t>
  </si>
  <si>
    <t>Line 8</t>
  </si>
  <si>
    <t>710B18632-710953355</t>
  </si>
  <si>
    <t>Rekha K</t>
  </si>
  <si>
    <t>Neck Band Fusing Attach</t>
  </si>
  <si>
    <t>Temperature setting</t>
  </si>
  <si>
    <t>Must be set on machine</t>
  </si>
  <si>
    <t>Waiting for interlining or fabric panels</t>
  </si>
  <si>
    <t>Dedicated tool kit near fusing machine</t>
  </si>
  <si>
    <t>Pressure setting</t>
  </si>
  <si>
    <t>Dependent on fabric type</t>
  </si>
  <si>
    <t>Operator movement to collect materials/tools</t>
  </si>
  <si>
    <t>Pre-set program for standard fabrics</t>
  </si>
  <si>
    <t>Fusing tape loading</t>
  </si>
  <si>
    <t>Prepare tape roll beforehand</t>
  </si>
  <si>
    <t>Time spent identifying correct interlining</t>
  </si>
  <si>
    <t>Standardized fusing parameter chart</t>
  </si>
  <si>
    <t>WS-08</t>
  </si>
  <si>
    <t>Required for bonding quality</t>
  </si>
  <si>
    <t>Multiple trials for temperature &amp; pressure</t>
  </si>
  <si>
    <t>Operator + Maintenance team</t>
  </si>
  <si>
    <t>FL (Fusing Line)</t>
  </si>
  <si>
    <t>Trial fusing check</t>
  </si>
  <si>
    <t>Quality validation needed</t>
  </si>
  <si>
    <t>Requires skilled operator for proper bonding</t>
  </si>
  <si>
    <t>Visual SOP with temp/pressure chart</t>
  </si>
  <si>
    <t>KB0KB10566 - TRIESTE</t>
  </si>
  <si>
    <t>Material preparation</t>
  </si>
  <si>
    <t>Cut panels ready before changeover</t>
  </si>
  <si>
    <t>Vinki T</t>
  </si>
  <si>
    <t>Tool arrangement</t>
  </si>
  <si>
    <t>Keep tools near workstation</t>
  </si>
  <si>
    <t>Interlining matching</t>
  </si>
  <si>
    <t>Issue correct interlining kit</t>
  </si>
  <si>
    <t>Time/Speed setting</t>
  </si>
  <si>
    <t>Use preset program if available</t>
  </si>
  <si>
    <t>Fixed Bone Patch Attach</t>
  </si>
  <si>
    <t>Patch template setup</t>
  </si>
  <si>
    <t>Prepare template before changeover</t>
  </si>
  <si>
    <t>Delay in receiving patch bundles and thread</t>
  </si>
  <si>
    <t>Dedicated tool kit with shadow board</t>
  </si>
  <si>
    <t>Thread kit issued in advance</t>
  </si>
  <si>
    <t>Operator movement to collect tools/material</t>
  </si>
  <si>
    <t>Fixed guide/jig for patch placement</t>
  </si>
  <si>
    <t>Bone patch alignment</t>
  </si>
  <si>
    <t>Critical for accuracy</t>
  </si>
  <si>
    <t>Time lost finding correct patch size/template</t>
  </si>
  <si>
    <t>Standardized patch alignment method</t>
  </si>
  <si>
    <t>WS-18</t>
  </si>
  <si>
    <t>Required before next style</t>
  </si>
  <si>
    <t>Repeated alignment of patch position</t>
  </si>
  <si>
    <t>Operator + Mechanic</t>
  </si>
  <si>
    <t>Safety and fabric specific</t>
  </si>
  <si>
    <t>High dependency on skilled operator for accuracy</t>
  </si>
  <si>
    <t>Visual SOP with patch placement reference</t>
  </si>
  <si>
    <t>H-ROB-SP-P-263-A-01-50567029 - XW0XW07946</t>
  </si>
  <si>
    <t>Folder / guide setting</t>
  </si>
  <si>
    <t>Use fixed guide/stoppers</t>
  </si>
  <si>
    <t>Quality check required</t>
  </si>
  <si>
    <t>Prepare tool kit beforehand</t>
  </si>
  <si>
    <t>Patch bundles ready before stop</t>
  </si>
  <si>
    <t>Marker reference checking</t>
  </si>
  <si>
    <t>Pre-marking done before setup</t>
  </si>
  <si>
    <t>Collar Lining Attach</t>
  </si>
  <si>
    <t>Guide setup (collar folder)</t>
  </si>
  <si>
    <t>Pre-set folder on standby machine</t>
  </si>
  <si>
    <t>Delay in receiving lining bundles</t>
  </si>
  <si>
    <t>Shadow board with dedicated collar tools</t>
  </si>
  <si>
    <t>Thread kit prepared beforehand</t>
  </si>
  <si>
    <t>Operator movement for tools and materials</t>
  </si>
  <si>
    <t>Use fixed folder gauge and stopper</t>
  </si>
  <si>
    <t>Lining bundle arrangement</t>
  </si>
  <si>
    <t>Bundle prepared before changeover</t>
  </si>
  <si>
    <t>Time spent finding correct lining pieces</t>
  </si>
  <si>
    <t>Standard collar attachment sequence defined</t>
  </si>
  <si>
    <t>Required for quality stitching</t>
  </si>
  <si>
    <t>Multiple trials for collar alignment</t>
  </si>
  <si>
    <t>Safety-critical</t>
  </si>
  <si>
    <t>High skill needed for precise collar setting</t>
  </si>
  <si>
    <t>Visual SOP for collar alignment</t>
  </si>
  <si>
    <t>710953355 - ADIRONDACK</t>
  </si>
  <si>
    <t>Use fixed gauge for quick setting</t>
  </si>
  <si>
    <t>Rashmi Patel</t>
  </si>
  <si>
    <t>Trial stitching on collar</t>
  </si>
  <si>
    <t>Quality check mandatory</t>
  </si>
  <si>
    <t>Tool preparation</t>
  </si>
  <si>
    <t>Tools arranged in advance</t>
  </si>
  <si>
    <t>Lining &amp; collar parts ready</t>
  </si>
  <si>
    <t>Collar Run – Non Fusible</t>
  </si>
  <si>
    <t>Guide/folder setup</t>
  </si>
  <si>
    <t>Pre-set using duplicate folder</t>
  </si>
  <si>
    <t>Delay in receiving collar parts and thread</t>
  </si>
  <si>
    <t>Provide dedicated tool kit / shadow board</t>
  </si>
  <si>
    <t>Thread kit issued before changeover</t>
  </si>
  <si>
    <t>Operator movement for tool/material collection</t>
  </si>
  <si>
    <t>Use fixed folder guide and stitch marking</t>
  </si>
  <si>
    <t>Collar part alignment check</t>
  </si>
  <si>
    <t>Critical for quality</t>
  </si>
  <si>
    <t>Time spent identifying correct collar bundle</t>
  </si>
  <si>
    <t>Standard collar run sequence defined (SOP)</t>
  </si>
  <si>
    <t>Required before next run</t>
  </si>
  <si>
    <t>Multiple trials for collar alignment and stitch</t>
  </si>
  <si>
    <t>Operator + Supervisor + Mechanic</t>
  </si>
  <si>
    <t>High dependency on skilled operator for alignment</t>
  </si>
  <si>
    <t>Visual SOP with alignment reference</t>
  </si>
  <si>
    <t>VALERIO-A-25 - BN-5D</t>
  </si>
  <si>
    <t>Stitch length adjustment</t>
  </si>
  <si>
    <t>Use preset dial marking</t>
  </si>
  <si>
    <t>Suresh U W</t>
  </si>
  <si>
    <t>Trial run (sample stitching)</t>
  </si>
  <si>
    <t>Quality verification</t>
  </si>
  <si>
    <t>Material (collar pieces) fetching</t>
  </si>
  <si>
    <t>Kitting done before stop</t>
  </si>
  <si>
    <t>Thread stand setup</t>
  </si>
  <si>
    <t>Done prior to changeover</t>
  </si>
  <si>
    <t>Collar Dummy Stitch</t>
  </si>
  <si>
    <t>Guide setting (collar shape)</t>
  </si>
  <si>
    <t>Pre-set guide on standby machine</t>
  </si>
  <si>
    <t>Delay in receiving collar bundles</t>
  </si>
  <si>
    <t>Operator moving to fetch tools and samples</t>
  </si>
  <si>
    <t>Pre-marked pressure and guide positions</t>
  </si>
  <si>
    <t>Dummy pattern alignment</t>
  </si>
  <si>
    <t>Requires operator precision</t>
  </si>
  <si>
    <t>Time spent finding correct collar pattern</t>
  </si>
  <si>
    <t>Standard dummy stitch sequence defined</t>
  </si>
  <si>
    <t>Essential before stitching</t>
  </si>
  <si>
    <t>Repeated dummy stitch alignment trials</t>
  </si>
  <si>
    <t>Operator + Line Supervisor</t>
  </si>
  <si>
    <t>Pressure foot adjustment</t>
  </si>
  <si>
    <t>Use marked settings for quick adjust</t>
  </si>
  <si>
    <t>Accuracy depends on skilled operator</t>
  </si>
  <si>
    <t>Visual SOP with collar alignment guide</t>
  </si>
  <si>
    <t>710968971 - SLHRLXHOLGER-STRIPE-LS-SHIRT</t>
  </si>
  <si>
    <t>Susmitha k</t>
  </si>
  <si>
    <t>Prepared before changeover</t>
  </si>
  <si>
    <t>Collar bundle arrangement</t>
  </si>
  <si>
    <t>Material staged in advance</t>
  </si>
  <si>
    <t>Marking reference check</t>
  </si>
  <si>
    <t>Done prior to machine stop</t>
  </si>
  <si>
    <t>Band piece loading</t>
  </si>
  <si>
    <t>Pre-arrange cut bands before changeover</t>
  </si>
  <si>
    <t>Operator waits for band pieces and thread</t>
  </si>
  <si>
    <t>Provide dedicated tool kit with shadow board</t>
  </si>
  <si>
    <t>Guide setting</t>
  </si>
  <si>
    <t>Extra movement to collect tools and materials</t>
  </si>
  <si>
    <t>Use fixed stopper for consistent band alignment</t>
  </si>
  <si>
    <t>Time lost in finding correct band components</t>
  </si>
  <si>
    <t>Standardize band setting sequence (SOP)</t>
  </si>
  <si>
    <t>Must be done before stitching</t>
  </si>
  <si>
    <t>Time spent aligning band and folder repeatedly</t>
  </si>
  <si>
    <t>Operator with mechanic support</t>
  </si>
  <si>
    <t>Safety and quality requirement</t>
  </si>
  <si>
    <t>Dependent on skilled operator for alignment</t>
  </si>
  <si>
    <t>Visual SOP displayed at workstation</t>
  </si>
  <si>
    <t>MW0MW43996 - H-HANK-SP-DC-263</t>
  </si>
  <si>
    <t>Folder adjustment</t>
  </si>
  <si>
    <t>Use fixed folder position stopper</t>
  </si>
  <si>
    <t>Mahima G</t>
  </si>
  <si>
    <t>Required for quality approval</t>
  </si>
  <si>
    <t>Prepare tools before changeover</t>
  </si>
  <si>
    <t>Ensure band bundles ready</t>
  </si>
  <si>
    <t>Band Top Deco Stitch</t>
  </si>
  <si>
    <t>Presser foot change</t>
  </si>
  <si>
    <t>Keep alternate foot ready before stop</t>
  </si>
  <si>
    <t>Delay due to bobbin preparation and thread availability</t>
  </si>
  <si>
    <t>Dedicated deco stitch tool kit with labeling</t>
  </si>
  <si>
    <t>Thread color setup</t>
  </si>
  <si>
    <t>Thread stand pre-loaded</t>
  </si>
  <si>
    <t>Operator walks to shared tool rack frequently</t>
  </si>
  <si>
    <t>Predefined stitch program memory usage</t>
  </si>
  <si>
    <t>Deco stitch program selection</t>
  </si>
  <si>
    <t>Machine dependent setup</t>
  </si>
  <si>
    <t>Time lost in finding correct presser foot and needle</t>
  </si>
  <si>
    <t>Standard trial method with fixed sample size</t>
  </si>
  <si>
    <t>Fabric sample check</t>
  </si>
  <si>
    <t>Required for accuracy</t>
  </si>
  <si>
    <t>Multiple trials for decorative stitch alignment</t>
  </si>
  <si>
    <t>Operator with supervisor validation</t>
  </si>
  <si>
    <t>Guide marking adjustment</t>
  </si>
  <si>
    <t>Introduce marked scale for quick setting</t>
  </si>
  <si>
    <t>Requires skilled operator for stitch precision</t>
  </si>
  <si>
    <t>Laminated stitch reference chart</t>
  </si>
  <si>
    <t>KASON-A-25-50293691 - GARMENT-DYE</t>
  </si>
  <si>
    <t>Bobbin winding</t>
  </si>
  <si>
    <t>Pre-wound bobbins available</t>
  </si>
  <si>
    <t>Kavita M</t>
  </si>
  <si>
    <t>Machine lubrication check</t>
  </si>
  <si>
    <t>Mandatory maintenance step</t>
  </si>
  <si>
    <t>Organized tool tray used</t>
  </si>
  <si>
    <t>Pattern sheet reference</t>
  </si>
  <si>
    <t>Displayed near machine</t>
  </si>
  <si>
    <t>Material alignment prep</t>
  </si>
  <si>
    <t>Done before changeover</t>
  </si>
  <si>
    <t>Spare needle availability</t>
  </si>
  <si>
    <t>Kept in advance kit</t>
  </si>
  <si>
    <t>N/B Label Attach</t>
  </si>
  <si>
    <t>Label checking</t>
  </si>
  <si>
    <t>Labels verified before line stop</t>
  </si>
  <si>
    <t>Delay in receiving correct label batch</t>
  </si>
  <si>
    <t>Dedicated label tray + tool kit</t>
  </si>
  <si>
    <t>Thread replacement</t>
  </si>
  <si>
    <t>Thread cone kept ready</t>
  </si>
  <si>
    <t>Operator reaching multiple times for labels/tools</t>
  </si>
  <si>
    <t>Mark fixed label position guides</t>
  </si>
  <si>
    <t>Required for quality</t>
  </si>
  <si>
    <t>Confusion between similar label designs</t>
  </si>
  <si>
    <t>Pre-approval of first label before batch start</t>
  </si>
  <si>
    <t>WS-07</t>
  </si>
  <si>
    <t>Label positioning setup</t>
  </si>
  <si>
    <t>Needs machine alignment</t>
  </si>
  <si>
    <t>Time spent in precise label alignment</t>
  </si>
  <si>
    <t>Operator + Quality checker</t>
  </si>
  <si>
    <t>FL</t>
  </si>
  <si>
    <t>Guide adjustment</t>
  </si>
  <si>
    <t>Introduce preset guide marks</t>
  </si>
  <si>
    <t>Accurate placement depends on operator experience</t>
  </si>
  <si>
    <t>Visual placement guide near machine</t>
  </si>
  <si>
    <t>VOYAGER-WHITE - MW0MW44205-AI-COTLIN-JACQUARD</t>
  </si>
  <si>
    <t>Trial run</t>
  </si>
  <si>
    <t>Mandatory for QC approval</t>
  </si>
  <si>
    <t xml:space="preserve">Sunita T V </t>
  </si>
  <si>
    <t>Label bundle arrangement</t>
  </si>
  <si>
    <t>Prepared by helper</t>
  </si>
  <si>
    <t>Tool kit maintained at station</t>
  </si>
  <si>
    <t>Work instruction review</t>
  </si>
  <si>
    <t>Displayed SOP sheet</t>
  </si>
  <si>
    <t>Collar Loop Attach</t>
  </si>
  <si>
    <t>Loop folder setup</t>
  </si>
  <si>
    <t>Pre-set folder on spare machine</t>
  </si>
  <si>
    <t>Delay in receiving pre-cut loops and thread cones</t>
  </si>
  <si>
    <t>Dedicated loop attachment kit with holder</t>
  </si>
  <si>
    <t>Thread color change</t>
  </si>
  <si>
    <t>Thread kit issued before stop</t>
  </si>
  <si>
    <t>Operator moves frequently to pick loop bundles</t>
  </si>
  <si>
    <t>Color-coded markings for quick setup</t>
  </si>
  <si>
    <t>Loop cutting preparation</t>
  </si>
  <si>
    <t>Pre-cut loops kept ready</t>
  </si>
  <si>
    <t>Time wasted identifying correct loop size</t>
  </si>
  <si>
    <t>Predefined loop attachment sequence</t>
  </si>
  <si>
    <t>Multiple trials for loop placement accuracy</t>
  </si>
  <si>
    <t>Operator + Supervisor coordination</t>
  </si>
  <si>
    <t>Needle positioning</t>
  </si>
  <si>
    <t>Precision task</t>
  </si>
  <si>
    <t>Loop alignment depends on skilled operator</t>
  </si>
  <si>
    <t>Visual guide for loop size and placement</t>
  </si>
  <si>
    <t>710953355003-CUBDPPCS - H-LIAM-BD-E-C1-263-50566988</t>
  </si>
  <si>
    <t>Use marked settings for repeat styles</t>
  </si>
  <si>
    <t>Venu R</t>
  </si>
  <si>
    <t>Trial run stitching</t>
  </si>
  <si>
    <t>Essential for loop strength check</t>
  </si>
  <si>
    <t>Organized before changeover</t>
  </si>
  <si>
    <t>Loop bundle staging</t>
  </si>
  <si>
    <t>Material issued in advance</t>
  </si>
  <si>
    <t>Attachment marking check</t>
  </si>
  <si>
    <t>Done during running</t>
  </si>
  <si>
    <t>Air pressure check</t>
  </si>
  <si>
    <t>Verified beforehand</t>
  </si>
  <si>
    <t>Moon Patch Attach</t>
  </si>
  <si>
    <t>Patch alignment marking</t>
  </si>
  <si>
    <t>Marking template used before changeover</t>
  </si>
  <si>
    <t>Delay in receiving correct patch bundles</t>
  </si>
  <si>
    <t>Pre-arranged patch kit with size labels</t>
  </si>
  <si>
    <t>Thread shade verification</t>
  </si>
  <si>
    <t>Thread card issued prior</t>
  </si>
  <si>
    <t>Operator reaching multiple times for tools</t>
  </si>
  <si>
    <t>Quick-adjust presser foot with markings</t>
  </si>
  <si>
    <t>Patch bundle arrangement</t>
  </si>
  <si>
    <t>Pre-arranged in sequence</t>
  </si>
  <si>
    <t>Difficulty finding correct shade thread and patch size</t>
  </si>
  <si>
    <t>Standard patch placement guide/template</t>
  </si>
  <si>
    <t>Presser foot adjustment</t>
  </si>
  <si>
    <t>Required as per fabric thickness</t>
  </si>
  <si>
    <t>Frequent repositioning of patch for symmetry</t>
  </si>
  <si>
    <t>Operator supported by helper</t>
  </si>
  <si>
    <t>Hoop/frame setting</t>
  </si>
  <si>
    <t>Quick-lock mechanism can reduce time</t>
  </si>
  <si>
    <t>High dependence on operator skill for curved placement</t>
  </si>
  <si>
    <t>Visual placement guide for patch alignment</t>
  </si>
  <si>
    <t>710968971 - MW0MW41059</t>
  </si>
  <si>
    <t>Precision required for patch curve</t>
  </si>
  <si>
    <t>Naveen kumar</t>
  </si>
  <si>
    <t>Trial run on scrap</t>
  </si>
  <si>
    <t>Mandatory for quality approval</t>
  </si>
  <si>
    <t>Organized in tool kit</t>
  </si>
  <si>
    <t>Material issue</t>
  </si>
  <si>
    <t>Issued before machine stops</t>
  </si>
  <si>
    <t>Machine oil check</t>
  </si>
  <si>
    <t>Done during running condition</t>
  </si>
  <si>
    <t>Workstation cleaning</t>
  </si>
  <si>
    <t>Done parallelly</t>
  </si>
  <si>
    <t>Collar Button Down</t>
  </si>
  <si>
    <t>Button feeder setup</t>
  </si>
  <si>
    <t>Pre-load feeder before changeover</t>
  </si>
  <si>
    <t>Delay due to unavailability of correct buttons</t>
  </si>
  <si>
    <t>Dedicated button feeder kit with labels</t>
  </si>
  <si>
    <t>Thread stand prepared in advance</t>
  </si>
  <si>
    <t>Extra movement for fetching feeder parts</t>
  </si>
  <si>
    <t>Standard stopper for button position</t>
  </si>
  <si>
    <t>Button size adjustment</t>
  </si>
  <si>
    <t>Needs precision during setup</t>
  </si>
  <si>
    <t>Time lost in identifying correct button size</t>
  </si>
  <si>
    <t>Pre-defined sequence for feeder + thread setup</t>
  </si>
  <si>
    <t>Folder/guide change</t>
  </si>
  <si>
    <t>Introduce quick-lock mechanism</t>
  </si>
  <si>
    <t>Multiple trials for button alignment</t>
  </si>
  <si>
    <t>Must be done before operation</t>
  </si>
  <si>
    <t>High dependency on skilled operator for feeder setup</t>
  </si>
  <si>
    <t>Visual chart for button size vs setting</t>
  </si>
  <si>
    <t>KB0KB10566 - ADIRONDACK</t>
  </si>
  <si>
    <t>Trial button stitching</t>
  </si>
  <si>
    <t>Ensures button strength &amp; alignment</t>
  </si>
  <si>
    <t>Imran Shaikh</t>
  </si>
  <si>
    <t>Program setting (if semi-auto)</t>
  </si>
  <si>
    <t>Pre-set program for next style</t>
  </si>
  <si>
    <t>Button stock arrangement</t>
  </si>
  <si>
    <t>Arrange buttons in kit form</t>
  </si>
  <si>
    <t>Keep tools ready at workstation</t>
  </si>
  <si>
    <t>Sample verification</t>
  </si>
  <si>
    <t>Approved sample kept ready</t>
  </si>
  <si>
    <t>Cleaning workplace</t>
  </si>
  <si>
    <t>Done before shutdown</t>
  </si>
  <si>
    <t>Neck Band Top (Full)</t>
  </si>
  <si>
    <t>Neck band folder setup</t>
  </si>
  <si>
    <t>Pre-set folder on spare attachment</t>
  </si>
  <si>
    <t>Delay due to neck band pieces not bundled properly</t>
  </si>
  <si>
    <t>Color-coded folder and guide system</t>
  </si>
  <si>
    <t>Top stitch thread change</t>
  </si>
  <si>
    <t>Frequent reaching for tools and guides</t>
  </si>
  <si>
    <t>Digital SPI indicator or preset dial marking</t>
  </si>
  <si>
    <t>Fabric alignment check</t>
  </si>
  <si>
    <t>Critical for seam accuracy</t>
  </si>
  <si>
    <t>Time spent locating correct folder size</t>
  </si>
  <si>
    <t>Parallel setup (external + internal separation)</t>
  </si>
  <si>
    <t>WS-15</t>
  </si>
  <si>
    <t>SPI (stitch per inch) adjustment</t>
  </si>
  <si>
    <t>Quality dependent setting</t>
  </si>
  <si>
    <t>Fine tuning of SPI and guide alignment</t>
  </si>
  <si>
    <t>Operator + Inline Quality Checker</t>
  </si>
  <si>
    <t>Use marked scale for faster setup</t>
  </si>
  <si>
    <t>Requires skilled operator for aesthetic finish</t>
  </si>
  <si>
    <t>Visual SOP with stitch samples</t>
  </si>
  <si>
    <t>710B18632 - TRIESTE</t>
  </si>
  <si>
    <t>Edge guide positioning</t>
  </si>
  <si>
    <t>Pre-mark guide positions</t>
  </si>
  <si>
    <t>Mahika R</t>
  </si>
  <si>
    <t>Trial run on sample</t>
  </si>
  <si>
    <t>Mandatory for appearance check</t>
  </si>
  <si>
    <t>Machine cleaning (lint removal)</t>
  </si>
  <si>
    <t>Required for smooth stitching</t>
  </si>
  <si>
    <t>Accessory staging (bands)</t>
  </si>
  <si>
    <t>Prepared in bundles beforehand</t>
  </si>
  <si>
    <t>Tool kit arrangement</t>
  </si>
  <si>
    <t>Standard tool tray at station</t>
  </si>
  <si>
    <t>Approved sample placement</t>
  </si>
  <si>
    <t>Reference sample kept ready</t>
  </si>
  <si>
    <t>Thread cone replacement</t>
  </si>
  <si>
    <t>Done during running batch</t>
  </si>
  <si>
    <t>Workstation inspection</t>
  </si>
  <si>
    <t>Checked before changeover</t>
  </si>
  <si>
    <t>Neck Band Attach</t>
  </si>
  <si>
    <t>Pre-adjust folder on spare machine</t>
  </si>
  <si>
    <t>Delay in receiving neck band components from cutting</t>
  </si>
  <si>
    <t>Fabric panel alignment check</t>
  </si>
  <si>
    <t>Critical for quality alignment</t>
  </si>
  <si>
    <t>Operator movement for adjusting guides and tools</t>
  </si>
  <si>
    <t>Pre-marked SPI and tension reference points</t>
  </si>
  <si>
    <t>Thread cone kept ready in advance</t>
  </si>
  <si>
    <t>Time wasted finding correct folder and guides</t>
  </si>
  <si>
    <t>Parallel setup of folder and material before stoppage</t>
  </si>
  <si>
    <t>SPI &amp; tension adjustment</t>
  </si>
  <si>
    <t>Requires machine running condition</t>
  </si>
  <si>
    <t>Repeated trials for neck band alignment and seam finish</t>
  </si>
  <si>
    <t>Operator + Line In-charge</t>
  </si>
  <si>
    <t>Guide plate fixing</t>
  </si>
  <si>
    <t>Introduce marked positioning system</t>
  </si>
  <si>
    <t>High skill needed for handling folder and alignment</t>
  </si>
  <si>
    <t>Process sheet with visuals at workstation</t>
  </si>
  <si>
    <t>H-ROB-SP-P-263-A-01-50567029 - BN-5D</t>
  </si>
  <si>
    <t>Basic maintenance required</t>
  </si>
  <si>
    <t>Shreya C</t>
  </si>
  <si>
    <t>Trial run with sample</t>
  </si>
  <si>
    <t>Mandatory for seam accuracy</t>
  </si>
  <si>
    <t>Operator instruction briefing</t>
  </si>
  <si>
    <t>Explain changes before stop</t>
  </si>
  <si>
    <t>Component bundling</t>
  </si>
  <si>
    <t>Pre-bundled neck bands issued</t>
  </si>
  <si>
    <t>Standard toolkit at station</t>
  </si>
  <si>
    <t>Quality sample placement</t>
  </si>
  <si>
    <t>Approved sample displayed</t>
  </si>
  <si>
    <t>Line clearance</t>
  </si>
  <si>
    <t>Done prior to style change</t>
  </si>
  <si>
    <t>Tape Ready</t>
  </si>
  <si>
    <t>Tape width selection</t>
  </si>
  <si>
    <t>Prepare tape roll as per spec beforehand</t>
  </si>
  <si>
    <t>Delay in getting correct tape rolls from store</t>
  </si>
  <si>
    <t>Pre-defined cutting templates and measuring scale</t>
  </si>
  <si>
    <t>Measuring tape length</t>
  </si>
  <si>
    <t>Pre-cut lengths using template</t>
  </si>
  <si>
    <t>Operator moving to cutting table repeatedly</t>
  </si>
  <si>
    <t>Fixed stopper for standard tape length</t>
  </si>
  <si>
    <t>Tape cutting setup</t>
  </si>
  <si>
    <t>Requires alignment for accuracy</t>
  </si>
  <si>
    <t>Time spent identifying correct tape width/type</t>
  </si>
  <si>
    <t>Batch cutting and bundling system</t>
  </si>
  <si>
    <t>WS-02</t>
  </si>
  <si>
    <t>Machine blade check</t>
  </si>
  <si>
    <t>Safety and sharpness check mandatory</t>
  </si>
  <si>
    <t>Repeated measurement corrections</t>
  </si>
  <si>
    <t>Helper prepares materials, operator verifies</t>
  </si>
  <si>
    <t>Initial sample cutting</t>
  </si>
  <si>
    <t>Verification of correct size</t>
  </si>
  <si>
    <t>Moderate dependency for accurate cutting and bundling</t>
  </si>
  <si>
    <t>Color-coded visual guide for tape specs</t>
  </si>
  <si>
    <t>VALERIO-A-25 - XW0XW07946</t>
  </si>
  <si>
    <t>Tape bundling</t>
  </si>
  <si>
    <t>Bundle prepared before line feeding</t>
  </si>
  <si>
    <t>Pooja Nair</t>
  </si>
  <si>
    <t>Label marking on bundles</t>
  </si>
  <si>
    <t>Color coding for easy identification</t>
  </si>
  <si>
    <t>Pre-staged near workstation</t>
  </si>
  <si>
    <t>Scissors, scale kept ready</t>
  </si>
  <si>
    <t>Tape roll inspection</t>
  </si>
  <si>
    <t>Check defects before use</t>
  </si>
  <si>
    <t>Collar Pleat</t>
  </si>
  <si>
    <t>Pleat marking alignment</t>
  </si>
  <si>
    <t>Pre-mark panels before feeding</t>
  </si>
  <si>
    <t>Delay due to unprepared fabric panels</t>
  </si>
  <si>
    <t>Measuring scale with marked guides</t>
  </si>
  <si>
    <t>Folder setting</t>
  </si>
  <si>
    <t>Requires precise adjustment on machine</t>
  </si>
  <si>
    <t>Frequent repositioning of fabric bundles</t>
  </si>
  <si>
    <t>Pre-defined pleat width stopper</t>
  </si>
  <si>
    <t>Fabric panel arrangement</t>
  </si>
  <si>
    <t>Bundle preparation before start</t>
  </si>
  <si>
    <t>Time spent finding correct marked panels</t>
  </si>
  <si>
    <t>Standard method for panel feeding &amp; folding</t>
  </si>
  <si>
    <t>Thread stand setup beforehand</t>
  </si>
  <si>
    <t>Multiple corrections for pleat symmetry</t>
  </si>
  <si>
    <t>Operator with helper support</t>
  </si>
  <si>
    <t>Machine speed adjustment</t>
  </si>
  <si>
    <t>Depends on fabric type</t>
  </si>
  <si>
    <t>High reliance on operator skill for neat pleating</t>
  </si>
  <si>
    <t>Visual SOP showing correct pleat formation</t>
  </si>
  <si>
    <t>Trial pleat stitching</t>
  </si>
  <si>
    <t>Quality check for symmetry</t>
  </si>
  <si>
    <t>Alvita G</t>
  </si>
  <si>
    <t>Guide positioning</t>
  </si>
  <si>
    <t>Use reference scale for faster setup</t>
  </si>
  <si>
    <t>Panel stacking</t>
  </si>
  <si>
    <t>Stack in correct orientation</t>
  </si>
  <si>
    <t>Tool readiness</t>
  </si>
  <si>
    <t>Keep measuring scale &amp; tools ready</t>
  </si>
  <si>
    <t>Sample reference check</t>
  </si>
  <si>
    <t>Approved pleat sample displayed</t>
  </si>
  <si>
    <t>Done during previous run</t>
  </si>
  <si>
    <t>Extra fabric segregation</t>
  </si>
  <si>
    <t>Avoid mixing styles</t>
  </si>
  <si>
    <t>Collar Line Match</t>
  </si>
  <si>
    <t>Collar panel alignment setup</t>
  </si>
  <si>
    <t>Requires precision handling</t>
  </si>
  <si>
    <t>Delay in receiving correctly marked collar panels</t>
  </si>
  <si>
    <t>Color-coded guides and alignment markers</t>
  </si>
  <si>
    <t>Guide plate adjustment</t>
  </si>
  <si>
    <t>Use calibrated marking for quick set</t>
  </si>
  <si>
    <t>Pre-calibrated pressure foot settings</t>
  </si>
  <si>
    <t>Thread tension setting</t>
  </si>
  <si>
    <t>Pre-adjust thread tension unit</t>
  </si>
  <si>
    <t>Time spent identifying correct matching panels</t>
  </si>
  <si>
    <t>Standard alignment sequence with visual checkpoints</t>
  </si>
  <si>
    <t>Fabric bundle positioning</t>
  </si>
  <si>
    <t>Arrange bundles before stop</t>
  </si>
  <si>
    <t>Multiple fine-tuning attempts for seam alignment</t>
  </si>
  <si>
    <t>Operator with QA support during first setup</t>
  </si>
  <si>
    <t>Needle position check</t>
  </si>
  <si>
    <t>Critical for stitch accuracy</t>
  </si>
  <si>
    <t>Highly dependent on operator precision and experience</t>
  </si>
  <si>
    <t>Visual SOP with collar matching reference images</t>
  </si>
  <si>
    <t>KASON-A-25-50293691 - H-HANK-SP-DC-263</t>
  </si>
  <si>
    <t>Trial seam matching</t>
  </si>
  <si>
    <t>Visual quality verification needed</t>
  </si>
  <si>
    <t>Pushpa H</t>
  </si>
  <si>
    <t>Marking reference alignment</t>
  </si>
  <si>
    <t>Pre-mark collars before feeding</t>
  </si>
  <si>
    <t>Introduce preset pressure levels</t>
  </si>
  <si>
    <t>Tool staging</t>
  </si>
  <si>
    <t>Tools arranged beside machine</t>
  </si>
  <si>
    <t>Bundle tagging verification</t>
  </si>
  <si>
    <t>Done during previous operation</t>
  </si>
  <si>
    <t>Pre-clean before style change</t>
  </si>
  <si>
    <t>Reference sample placement</t>
  </si>
  <si>
    <t>Keep approved sample visible</t>
  </si>
  <si>
    <t>Thread cone arrangement</t>
  </si>
  <si>
    <t>Prepare thread stand in advance</t>
  </si>
  <si>
    <t>Collar Loop Finish</t>
  </si>
  <si>
    <t>Keep pre-adjusted folder ready</t>
  </si>
  <si>
    <t>Delay in getting pre-cut loop pieces</t>
  </si>
  <si>
    <t>Pre-set loop folder kit with size marking</t>
  </si>
  <si>
    <t>Thread change (loop matching)</t>
  </si>
  <si>
    <t>Thread cone staged beforehand</t>
  </si>
  <si>
    <t>Frequent hand movement for tool adjustments</t>
  </si>
  <si>
    <t>Digital bartack program library</t>
  </si>
  <si>
    <t>Bartack program selection</t>
  </si>
  <si>
    <t>Pre-load program for next style</t>
  </si>
  <si>
    <t>Time spent finding correct folder size</t>
  </si>
  <si>
    <t>Standard loop fixing sequence (visual SOP)</t>
  </si>
  <si>
    <t>Loop length adjustment</t>
  </si>
  <si>
    <t>Requires precise measurement</t>
  </si>
  <si>
    <t>Multiple attempts to set loop length accurately</t>
  </si>
  <si>
    <t>Operator with mechanic support for setup</t>
  </si>
  <si>
    <t>BT</t>
  </si>
  <si>
    <t>Needle &amp; bobbin check</t>
  </si>
  <si>
    <t>Critical for stitch quality</t>
  </si>
  <si>
    <t>Moderate dependency on operator for bartack precision</t>
  </si>
  <si>
    <t>Display loop size chart at workstation</t>
  </si>
  <si>
    <t>MW0MW43996 - GARMENT-DYE</t>
  </si>
  <si>
    <t>Trial loop stitching</t>
  </si>
  <si>
    <t>Mandatory for strength testing</t>
  </si>
  <si>
    <t>Sunita Verma</t>
  </si>
  <si>
    <t>Loop pieces arrangement</t>
  </si>
  <si>
    <t>Prepared in bundles before stop</t>
  </si>
  <si>
    <t>Tool positioning</t>
  </si>
  <si>
    <t>Tools placed on workstation tray</t>
  </si>
  <si>
    <t>Sample loop reference check</t>
  </si>
  <si>
    <t>Done during running style end</t>
  </si>
  <si>
    <t>Neck Band Hem with Tape</t>
  </si>
  <si>
    <t>Tape folding setup</t>
  </si>
  <si>
    <t>Pre-fold tape using manual jig</t>
  </si>
  <si>
    <t>Delay in getting pre-folded tape ready</t>
  </si>
  <si>
    <t>Pre-folding jig for tape + labeled tool tray</t>
  </si>
  <si>
    <t>Hem guide adjustment</t>
  </si>
  <si>
    <t>Requires precision alignment</t>
  </si>
  <si>
    <t>Operator reaches multiple times for tools</t>
  </si>
  <si>
    <t>Markings for hem guide position</t>
  </si>
  <si>
    <t>Thread stand pre-arranged</t>
  </si>
  <si>
    <t>Time spent locating correct hem guide</t>
  </si>
  <si>
    <t>Parallel preparation of tape and thread</t>
  </si>
  <si>
    <t>Looper threading</t>
  </si>
  <si>
    <t>Needs machine stopped</t>
  </si>
  <si>
    <t>Frequent re-adjustment of tape alignment</t>
  </si>
  <si>
    <t>Helper prepares materials, operator sets machine</t>
  </si>
  <si>
    <t>Tape alignment trial</t>
  </si>
  <si>
    <t>Critical for finish quality</t>
  </si>
  <si>
    <t>Moderate skill required for fold consistency</t>
  </si>
  <si>
    <t>Step-by-step visual SOP at workstation</t>
  </si>
  <si>
    <t>VOYAGER-WHITE - H-LIAM-BD-E-C1-263-50566988</t>
  </si>
  <si>
    <t>Do cleaning during last batch</t>
  </si>
  <si>
    <t>Tarithi V</t>
  </si>
  <si>
    <t>Checked before shift</t>
  </si>
  <si>
    <t>Tool kit positioning</t>
  </si>
  <si>
    <t>Standardized tool tray</t>
  </si>
  <si>
    <t>Material bundling</t>
  </si>
  <si>
    <t>Cut pieces prepared in advance</t>
  </si>
  <si>
    <t>Workstation layout check</t>
  </si>
  <si>
    <t>5S maintained before changeover</t>
  </si>
  <si>
    <t>Neck Band Piping Attach</t>
  </si>
  <si>
    <t>Piping roll preparation</t>
  </si>
  <si>
    <t>Cut &amp; prepare piping roll beforehand</t>
  </si>
  <si>
    <t>Operator idle due to delay in piping supply</t>
  </si>
  <si>
    <t>Color-coded piping &amp; tool kits</t>
  </si>
  <si>
    <t>Folder (piping foot) change</t>
  </si>
  <si>
    <t>Requires precise fitting</t>
  </si>
  <si>
    <t>Frequent bending/reaching for tools</t>
  </si>
  <si>
    <t>Pre-calibrated folder position markers</t>
  </si>
  <si>
    <t>Thread stand arranged before stop</t>
  </si>
  <si>
    <t>Time spent identifying correct piping roll</t>
  </si>
  <si>
    <t>Parallel setup of piping + thread before stop</t>
  </si>
  <si>
    <t>Accuracy required for stitch quality</t>
  </si>
  <si>
    <t>Multiple trials for piping alignment</t>
  </si>
  <si>
    <t>Pre-set standard RPM for style</t>
  </si>
  <si>
    <t>Moderate skill required for piping consistency</t>
  </si>
  <si>
    <t>Pictorial SOP for piping attachment steps</t>
  </si>
  <si>
    <t>710953355003-CUBDPPCS - MW0MW44205-AI-COTLIN-JACQUARD</t>
  </si>
  <si>
    <t>Ensures piping alignment</t>
  </si>
  <si>
    <t xml:space="preserve">Hrishika J </t>
  </si>
  <si>
    <t>Fabric bundle staging</t>
  </si>
  <si>
    <t>Bundle prepared near workstation</t>
  </si>
  <si>
    <t>All tools placed in shadow board</t>
  </si>
  <si>
    <t>Piping color verification</t>
  </si>
  <si>
    <t>Color checked before start</t>
  </si>
  <si>
    <t>Done during last production run</t>
  </si>
  <si>
    <t>Neck Band Hem with Piping</t>
  </si>
  <si>
    <t>Hem guide setting</t>
  </si>
  <si>
    <t>Pre-adjust guide using reference sample</t>
  </si>
  <si>
    <t>Delay due to piping bundle mismatch</t>
  </si>
  <si>
    <t>Pre-set hemming guide kits for each style</t>
  </si>
  <si>
    <t>Factory 4 – Finishing Section</t>
  </si>
  <si>
    <t>Piping alignment check</t>
  </si>
  <si>
    <t>Critical for seam finish quality</t>
  </si>
  <si>
    <t>Operator shifts frequently to adjust fabric layers</t>
  </si>
  <si>
    <t>Markings for knife &amp; feed settings</t>
  </si>
  <si>
    <t>Line 7</t>
  </si>
  <si>
    <t>Looper thread change</t>
  </si>
  <si>
    <t>Pre-thread spare looper setup</t>
  </si>
  <si>
    <t>Time spent locating correct guide attachment</t>
  </si>
  <si>
    <t>Separate setup and trial preparation process</t>
  </si>
  <si>
    <t>WS-22</t>
  </si>
  <si>
    <t>Knife position adjustment</t>
  </si>
  <si>
    <t>Requires machine stop &amp; precision</t>
  </si>
  <si>
    <t>Frequent fine-tuning of hem width and piping</t>
  </si>
  <si>
    <t>Operator + Quality Checker involvement</t>
  </si>
  <si>
    <t>OL</t>
  </si>
  <si>
    <t>Differential feed tuning</t>
  </si>
  <si>
    <t>Standardize based on fabric type</t>
  </si>
  <si>
    <t>High skill needed to maintain uniform hem + piping finish</t>
  </si>
  <si>
    <t>Video-based SOP for hem + piping operation</t>
  </si>
  <si>
    <t>710953355 - MW0MW41059</t>
  </si>
  <si>
    <t>Pressure foot calibration</t>
  </si>
  <si>
    <t>Ensures smooth feeding of layers</t>
  </si>
  <si>
    <t>Arjuna</t>
  </si>
  <si>
    <t>Trial hemming with piping</t>
  </si>
  <si>
    <t>Needed for visual and strength check</t>
  </si>
  <si>
    <t>Stitch density adjustment</t>
  </si>
  <si>
    <t>Pre-set SPI for style</t>
  </si>
  <si>
    <t>Material bundle positioning</t>
  </si>
  <si>
    <t>Organized near operator beforehand</t>
  </si>
  <si>
    <t>Accessory (piping) staging</t>
  </si>
  <si>
    <t>Sorted by color &amp; size</t>
  </si>
  <si>
    <t>Air blow cleaning</t>
  </si>
  <si>
    <t>Done during previous run end</t>
  </si>
  <si>
    <t>Finish Bone Patch Attach</t>
  </si>
  <si>
    <t>Bone patch alignment setup</t>
  </si>
  <si>
    <t>Precision critical for placement</t>
  </si>
  <si>
    <t>Pre-arranged patch trays with size labels</t>
  </si>
  <si>
    <t>Clamp adjustment</t>
  </si>
  <si>
    <t>Introduce preset clamp markings</t>
  </si>
  <si>
    <t>Excess hand movement during clamp setup</t>
  </si>
  <si>
    <t>Digital memory for repeat program settings</t>
  </si>
  <si>
    <t>Button program selection</t>
  </si>
  <si>
    <t>Time wasted locating correct patch size</t>
  </si>
  <si>
    <t>Parallel preparation of thread + program before stop</t>
  </si>
  <si>
    <t>WS-03</t>
  </si>
  <si>
    <t>Thread cone change</t>
  </si>
  <si>
    <t>Repeated trials for accurate patch placement</t>
  </si>
  <si>
    <t>Operator supported by line helper</t>
  </si>
  <si>
    <t>Needle replacement</t>
  </si>
  <si>
    <t>Safety &amp; stitch quality requirement</t>
  </si>
  <si>
    <t>High dependency on operator for BT programming &amp; alignment</t>
  </si>
  <si>
    <t>Visual SOP for patch placement standards</t>
  </si>
  <si>
    <t>KB0KB10566 - BN-5D</t>
  </si>
  <si>
    <t>Trial patch fixing</t>
  </si>
  <si>
    <t>Required for strength verification</t>
  </si>
  <si>
    <t>Vijay Velu</t>
  </si>
  <si>
    <t>Sensor calibration (BT machine)</t>
  </si>
  <si>
    <t>Machine-dependent accuracy step</t>
  </si>
  <si>
    <t>Pre-check compressor settings</t>
  </si>
  <si>
    <t>Bundle sorted by size beforehand</t>
  </si>
  <si>
    <t>Keep tools within arm’s reach</t>
  </si>
  <si>
    <t>Lining piece alignment</t>
  </si>
  <si>
    <t>Accuracy impacts final shape</t>
  </si>
  <si>
    <t>Delay in lining material supply</t>
  </si>
  <si>
    <t>Labeled lining trays</t>
  </si>
  <si>
    <t>Guide plate setup</t>
  </si>
  <si>
    <t>Pre-set guide for next style</t>
  </si>
  <si>
    <t>Operator movement for guide adjustment</t>
  </si>
  <si>
    <t>Standard guide positioning marks</t>
  </si>
  <si>
    <t>Mark standard tension levels</t>
  </si>
  <si>
    <t>Time spent identifying correct lining pieces</t>
  </si>
  <si>
    <t>Pre-alignment before machine stop</t>
  </si>
  <si>
    <t>WS-10</t>
  </si>
  <si>
    <t>Needle check</t>
  </si>
  <si>
    <t>Required for quality stitch</t>
  </si>
  <si>
    <t>Repeated alignment corrections</t>
  </si>
  <si>
    <t>Operator + helper</t>
  </si>
  <si>
    <t>Sample run</t>
  </si>
  <si>
    <t>Essential for alignment check</t>
  </si>
  <si>
    <t>Moderate skill required for uniform stitching</t>
  </si>
  <si>
    <t>Stepwise visual SOP</t>
  </si>
  <si>
    <t>710B18632 - ADIRONDACK</t>
  </si>
  <si>
    <t>Fabric direction marking</t>
  </si>
  <si>
    <t>Mark before machine stops</t>
  </si>
  <si>
    <t>Kavita Nathu</t>
  </si>
  <si>
    <t>Bundle preparation</t>
  </si>
  <si>
    <t>Lining pieces stacked in order</t>
  </si>
  <si>
    <t>Use dedicated tool tray</t>
  </si>
  <si>
    <t>Interlining check</t>
  </si>
  <si>
    <t>Verify before operation</t>
  </si>
  <si>
    <t>Cleaning area</t>
  </si>
  <si>
    <t>Prepare thread cones in advance</t>
  </si>
  <si>
    <t>Delay due to thread unavailability</t>
  </si>
  <si>
    <t>Color-coded thread kits</t>
  </si>
  <si>
    <t>Stitch density setting</t>
  </si>
  <si>
    <t>Standardize SPI settings</t>
  </si>
  <si>
    <t>Operator reaching for tools repeatedly</t>
  </si>
  <si>
    <t>Fixed SPI reference chart</t>
  </si>
  <si>
    <t>Precision critical</t>
  </si>
  <si>
    <t>Identifying correct thread shade</t>
  </si>
  <si>
    <t>Pre-setting before shutdown</t>
  </si>
  <si>
    <t>Pressure foot setting</t>
  </si>
  <si>
    <t>Use reference markings</t>
  </si>
  <si>
    <t>Knife and stitch adjustments trials</t>
  </si>
  <si>
    <t>Operator</t>
  </si>
  <si>
    <t>Trial stitch on scrap</t>
  </si>
  <si>
    <t>Ensures seam strength</t>
  </si>
  <si>
    <t>Medium dependency on operator for stitch quality</t>
  </si>
  <si>
    <t>Display stitch standards visually</t>
  </si>
  <si>
    <t>H-ROB-SP-P-263-A-01-50567029 - TRIESTE</t>
  </si>
  <si>
    <t>Collar piece staging</t>
  </si>
  <si>
    <t>Prepared in sequence</t>
  </si>
  <si>
    <t>Rahul kumar</t>
  </si>
  <si>
    <t>Thread kit setup</t>
  </si>
  <si>
    <t>Color-coded thread kit</t>
  </si>
  <si>
    <t>Tool placement</t>
  </si>
  <si>
    <t>Shadow board usage</t>
  </si>
  <si>
    <t>Sample approval</t>
  </si>
  <si>
    <t>Keep approved sample ready</t>
  </si>
  <si>
    <t>Done during last batch</t>
  </si>
  <si>
    <t>Flatlock guide setting</t>
  </si>
  <si>
    <t>Requires exact positioning</t>
  </si>
  <si>
    <t>Delay due to fabric bundle mismatch</t>
  </si>
  <si>
    <t>Layering templates for collars</t>
  </si>
  <si>
    <t>Thread path setup</t>
  </si>
  <si>
    <t>Pre-thread machine partially</t>
  </si>
  <si>
    <t>Extra hand movement during layering</t>
  </si>
  <si>
    <t>Marked differential feed levels</t>
  </si>
  <si>
    <t>Differential feed adjustment</t>
  </si>
  <si>
    <t>Fabric dependent</t>
  </si>
  <si>
    <t>Finding correct interlining pieces</t>
  </si>
  <si>
    <t>Pre-layering before operation</t>
  </si>
  <si>
    <t>Speed calibration</t>
  </si>
  <si>
    <t>Set standard RPM</t>
  </si>
  <si>
    <t>Differential feed tuning trials</t>
  </si>
  <si>
    <t>Operator + QC support</t>
  </si>
  <si>
    <t>Trial seam check</t>
  </si>
  <si>
    <t>Check stretch &amp; finish</t>
  </si>
  <si>
    <t>High skill needed for flatlock finish</t>
  </si>
  <si>
    <t>Visual seam quality standards</t>
  </si>
  <si>
    <t>VALERIO-A-25 - SLHRLXHOLGER-STRIPE-LS-SHIRT</t>
  </si>
  <si>
    <t>Needle alignment</t>
  </si>
  <si>
    <t>Critical for seam quality</t>
  </si>
  <si>
    <t>Pooja Pillai</t>
  </si>
  <si>
    <t>Fabric layering setup</t>
  </si>
  <si>
    <t>Use template for layering</t>
  </si>
  <si>
    <t>Material staging</t>
  </si>
  <si>
    <t>Prepared beforehand</t>
  </si>
  <si>
    <t>Tool kit ready</t>
  </si>
  <si>
    <t>Placed near operator</t>
  </si>
  <si>
    <t>Quality sample check</t>
  </si>
  <si>
    <t>Reference sample available</t>
  </si>
  <si>
    <t>Tape roll replacement</t>
  </si>
  <si>
    <t>Prepare roll in advance</t>
  </si>
  <si>
    <t>Delay due to tape roll unavailability</t>
  </si>
  <si>
    <t>Pre-loaded tape stand with spare rolls</t>
  </si>
  <si>
    <t>Requires precision fitting</t>
  </si>
  <si>
    <t>Standard guide plate marking</t>
  </si>
  <si>
    <t>Thread setup</t>
  </si>
  <si>
    <t>Time lost in identifying correct tape size</t>
  </si>
  <si>
    <t>Parallel tape + thread setup</t>
  </si>
  <si>
    <t>Safety requirement</t>
  </si>
  <si>
    <t>Tape misalignment during initial trials</t>
  </si>
  <si>
    <t>Operator with helper coordination</t>
  </si>
  <si>
    <t>Quality check step</t>
  </si>
  <si>
    <t>Moderate skill needed for tape positioning</t>
  </si>
  <si>
    <t>Visual SOP for tape alignment</t>
  </si>
  <si>
    <t>710968971 - XW0XW07946</t>
  </si>
  <si>
    <t>Bundle staging</t>
  </si>
  <si>
    <t>Material placed near machine</t>
  </si>
  <si>
    <t>Kavita N</t>
  </si>
  <si>
    <t>Shadow board system used</t>
  </si>
  <si>
    <t>Tape width verification</t>
  </si>
  <si>
    <t>Cleaning machine</t>
  </si>
  <si>
    <t>Helper support prep</t>
  </si>
  <si>
    <t>Assistant prepares materials</t>
  </si>
  <si>
    <t>Cuff Tacking</t>
  </si>
  <si>
    <t>Tack program selection</t>
  </si>
  <si>
    <t>Pre-select program</t>
  </si>
  <si>
    <t>Delay in receiving cuff bundles</t>
  </si>
  <si>
    <t>Dedicated cuff tacking kit</t>
  </si>
  <si>
    <t>Clamp positioning</t>
  </si>
  <si>
    <t>Needs exact placement</t>
  </si>
  <si>
    <t>Excess hand movement during clamp fixing</t>
  </si>
  <si>
    <t>Fixed clamp stopper</t>
  </si>
  <si>
    <t>Thread kit issued</t>
  </si>
  <si>
    <t>Time spent finding correct cuff size</t>
  </si>
  <si>
    <t>Pre-program machine before stop</t>
  </si>
  <si>
    <t>Needle adjustment</t>
  </si>
  <si>
    <t>Quality critical</t>
  </si>
  <si>
    <t>Repeated tack trials for accuracy</t>
  </si>
  <si>
    <t>Trial tacking</t>
  </si>
  <si>
    <t>Strength testing</t>
  </si>
  <si>
    <t>High operator skill needed for clamp setup</t>
  </si>
  <si>
    <t>Tack position visual guide</t>
  </si>
  <si>
    <t>Air pressure setting</t>
  </si>
  <si>
    <t>Pre-set compressor</t>
  </si>
  <si>
    <t>Rohit Singh</t>
  </si>
  <si>
    <t>Cuff bundle sorting</t>
  </si>
  <si>
    <t>Tool setup</t>
  </si>
  <si>
    <t>Tools kept ready</t>
  </si>
  <si>
    <t>Sample approval check</t>
  </si>
  <si>
    <t>Reference sample provided</t>
  </si>
  <si>
    <t>Run Cuff (Non Fused)</t>
  </si>
  <si>
    <t>Looper thread setup</t>
  </si>
  <si>
    <t>Thread pre-loaded</t>
  </si>
  <si>
    <t>Delay due to cuff bundle mismatch</t>
  </si>
  <si>
    <t>Thread stand with multiple cones</t>
  </si>
  <si>
    <t>Cuff edge guide setup</t>
  </si>
  <si>
    <t>Needs accuracy</t>
  </si>
  <si>
    <t>Operator shifting frequently for adjustments</t>
  </si>
  <si>
    <t>Pre-marked differential feed levels</t>
  </si>
  <si>
    <t>Use standard marking</t>
  </si>
  <si>
    <t>Time spent locating correct thread cones</t>
  </si>
  <si>
    <t>Externalize thread + fabric prep</t>
  </si>
  <si>
    <t>WS-09</t>
  </si>
  <si>
    <t>Knife position check</t>
  </si>
  <si>
    <t>Cutting accuracy required</t>
  </si>
  <si>
    <t>Multiple trials for seam alignment</t>
  </si>
  <si>
    <t>Operator with supervisor support</t>
  </si>
  <si>
    <t>Trial seam run</t>
  </si>
  <si>
    <t>Ensures seam quality</t>
  </si>
  <si>
    <t>Moderate dependency for feed adjustment</t>
  </si>
  <si>
    <t>SOP for cuff seam standards</t>
  </si>
  <si>
    <t>MW0MW43996 - H-LIAM-BD-E-C1-263-50566988</t>
  </si>
  <si>
    <t>Fabric bundle preparation</t>
  </si>
  <si>
    <t>Sorted before start</t>
  </si>
  <si>
    <t>Pooja D W</t>
  </si>
  <si>
    <t>Ready on standby</t>
  </si>
  <si>
    <t>Organized in kit</t>
  </si>
  <si>
    <t>Operator briefing</t>
  </si>
  <si>
    <t>Explain style differences</t>
  </si>
  <si>
    <t>Double Cuff Button Hole (12 Hole in Shirt)</t>
  </si>
  <si>
    <t>Button hole program selection</t>
  </si>
  <si>
    <t>Pre-load design program</t>
  </si>
  <si>
    <t>Pre-set buttonhole kits</t>
  </si>
  <si>
    <t>Knife size adjustment</t>
  </si>
  <si>
    <t>Depends on fabric thickness</t>
  </si>
  <si>
    <t>Extra reach during clamp adjustments</t>
  </si>
  <si>
    <t>Digital memory presets</t>
  </si>
  <si>
    <t>Thread stand prepared</t>
  </si>
  <si>
    <t>Identifying correct buttonhole program</t>
  </si>
  <si>
    <t>Use marking template for alignment</t>
  </si>
  <si>
    <t>Clamp alignment</t>
  </si>
  <si>
    <t>Accuracy required for 12 holes</t>
  </si>
  <si>
    <t>Repeated alignment for 12-hole accuracy</t>
  </si>
  <si>
    <t>Operator + Technician</t>
  </si>
  <si>
    <t>BH</t>
  </si>
  <si>
    <t>Machine calibration</t>
  </si>
  <si>
    <t>Essential for uniform holes</t>
  </si>
  <si>
    <t>Very high skill needed for consistency</t>
  </si>
  <si>
    <t>Detailed SOP with hole layout</t>
  </si>
  <si>
    <t>VOYAGER-WHITE - H-HANK-SP-DC-263</t>
  </si>
  <si>
    <t>Trial buttonhole stitching</t>
  </si>
  <si>
    <t>Quality validation</t>
  </si>
  <si>
    <t>Karan Singh</t>
  </si>
  <si>
    <t>Pre-mark templates used</t>
  </si>
  <si>
    <t>Speed setting adjustment</t>
  </si>
  <si>
    <t>Standard speed preset</t>
  </si>
  <si>
    <t>Cuff bundle staging</t>
  </si>
  <si>
    <t>Bundle prepared beforehand</t>
  </si>
  <si>
    <t>Tools placed near machine</t>
  </si>
  <si>
    <t>Approved sample ready</t>
  </si>
  <si>
    <t>Cuff Fusing Attach</t>
  </si>
  <si>
    <t>Material dependent</t>
  </si>
  <si>
    <t>Machine idle during heating cycle</t>
  </si>
  <si>
    <t>Labeled fusing sheet racks</t>
  </si>
  <si>
    <t>Pressure adjustment</t>
  </si>
  <si>
    <t>Standard preset chart</t>
  </si>
  <si>
    <t>Movement while placing panels</t>
  </si>
  <si>
    <t>Standard temp-pressure chart</t>
  </si>
  <si>
    <t>Fusing sheet placement</t>
  </si>
  <si>
    <t>Needs precision</t>
  </si>
  <si>
    <t>Finding correct fusing sheets</t>
  </si>
  <si>
    <t>Parallel material preparation</t>
  </si>
  <si>
    <t>WS-21</t>
  </si>
  <si>
    <t>Timer setting</t>
  </si>
  <si>
    <t>Pre-set cycle timing</t>
  </si>
  <si>
    <t>Trial runs for bonding strength</t>
  </si>
  <si>
    <t>Operator + Helper</t>
  </si>
  <si>
    <t>Fusing Press</t>
  </si>
  <si>
    <t>Machine warm-up</t>
  </si>
  <si>
    <t>Mandatory step</t>
  </si>
  <si>
    <t>Moderate operator dependency</t>
  </si>
  <si>
    <t>Visual guide for fusing parameters</t>
  </si>
  <si>
    <t>Bonding verification</t>
  </si>
  <si>
    <t xml:space="preserve">Pooja </t>
  </si>
  <si>
    <t>Cuff panel arrangement</t>
  </si>
  <si>
    <t>Fusing material staging</t>
  </si>
  <si>
    <t>Sorted by size</t>
  </si>
  <si>
    <t>Ready before start</t>
  </si>
  <si>
    <t>Cleaning belt surface</t>
  </si>
  <si>
    <t>Done pre-changeover</t>
  </si>
  <si>
    <t>Cuff Hem</t>
  </si>
  <si>
    <t>Pre-set hemming guide</t>
  </si>
  <si>
    <t>Delay in cuff panels arrival</t>
  </si>
  <si>
    <t>Standard hemming kit</t>
  </si>
  <si>
    <t>Thread change</t>
  </si>
  <si>
    <t>Thread kit ready</t>
  </si>
  <si>
    <t>Unnecessary hand movement</t>
  </si>
  <si>
    <t>Fixed hem width guide</t>
  </si>
  <si>
    <t>Essential</t>
  </si>
  <si>
    <t>Locating correct thread cone</t>
  </si>
  <si>
    <t>Pre-marking system</t>
  </si>
  <si>
    <t>Quality requirement</t>
  </si>
  <si>
    <t>Multiple hem width trials</t>
  </si>
  <si>
    <t>Trial hem stitching</t>
  </si>
  <si>
    <t>Ensures fold accuracy</t>
  </si>
  <si>
    <t>Low to moderate skill requirement</t>
  </si>
  <si>
    <t>Visual SOP</t>
  </si>
  <si>
    <t xml:space="preserve">TRIESTE- 710968971 </t>
  </si>
  <si>
    <t>Fabric bundle arrangement</t>
  </si>
  <si>
    <t>Prepared earlier</t>
  </si>
  <si>
    <t>Manoj A C</t>
  </si>
  <si>
    <t>Tool kit setup</t>
  </si>
  <si>
    <t>Standard tool layout</t>
  </si>
  <si>
    <t>Hem width marking</t>
  </si>
  <si>
    <t>Use template marking</t>
  </si>
  <si>
    <t>Done before stop</t>
  </si>
  <si>
    <t>Material flow setup</t>
  </si>
  <si>
    <t>Line balancing done</t>
  </si>
  <si>
    <t>Cuff Tape Attach at Hem</t>
  </si>
  <si>
    <t>Tape roll setup</t>
  </si>
  <si>
    <t>Delay in tape availability</t>
  </si>
  <si>
    <t>Tape kit with labeling</t>
  </si>
  <si>
    <t>Precision required</t>
  </si>
  <si>
    <t>Operator reaching for tape/tools</t>
  </si>
  <si>
    <t>Fixed folder position</t>
  </si>
  <si>
    <t>Thread prepared in advance</t>
  </si>
  <si>
    <t>Finding correct tape width</t>
  </si>
  <si>
    <t>WS-14</t>
  </si>
  <si>
    <t>Safety step</t>
  </si>
  <si>
    <t>Repeated tape alignment trials</t>
  </si>
  <si>
    <t>Machine speed tuning</t>
  </si>
  <si>
    <t>Standard preset</t>
  </si>
  <si>
    <t>Moderate skill needed</t>
  </si>
  <si>
    <t>Visual guide</t>
  </si>
  <si>
    <t>KB0KB10566 - SLHRLXHOLGER-STRIPE-LS-SHIRT</t>
  </si>
  <si>
    <t>Check tape alignment</t>
  </si>
  <si>
    <t>Neha Godwa</t>
  </si>
  <si>
    <t>Cuff panel staging</t>
  </si>
  <si>
    <t>Ready near machine</t>
  </si>
  <si>
    <t>Shadow board system</t>
  </si>
  <si>
    <t>Tape quality check</t>
  </si>
  <si>
    <t>Pre-inspection</t>
  </si>
  <si>
    <t>Cleaning workstation</t>
  </si>
  <si>
    <t>Done earlier</t>
  </si>
  <si>
    <t>Cuff Run with Pattern</t>
  </si>
  <si>
    <t>Pattern guide setting</t>
  </si>
  <si>
    <t>Use pre-marked guides</t>
  </si>
  <si>
    <t>Delay in receiving patterned panels</t>
  </si>
  <si>
    <t>Pattern guide kit</t>
  </si>
  <si>
    <t>Thread color matching</t>
  </si>
  <si>
    <t>Thread kit prepared</t>
  </si>
  <si>
    <t>Extra movement for guide adjustments</t>
  </si>
  <si>
    <t>Standard knife stopper</t>
  </si>
  <si>
    <t>Looper adjustment</t>
  </si>
  <si>
    <t>Machine-specific accuracy</t>
  </si>
  <si>
    <t>Finding correct thread shade</t>
  </si>
  <si>
    <t>Pre-aligned fabric panels</t>
  </si>
  <si>
    <t>WS-11</t>
  </si>
  <si>
    <t>Knife setting</t>
  </si>
  <si>
    <t>Introduce stopper system</t>
  </si>
  <si>
    <t>Multiple trials for pattern accuracy</t>
  </si>
  <si>
    <t>Check pattern consistency</t>
  </si>
  <si>
    <t>Moderate to high skill required</t>
  </si>
  <si>
    <t>Pattern reference chart</t>
  </si>
  <si>
    <t>710B18632 - BN-5D</t>
  </si>
  <si>
    <t>Speed synchronization</t>
  </si>
  <si>
    <t>Preset machine speed</t>
  </si>
  <si>
    <t>Renu Venkesh</t>
  </si>
  <si>
    <t>Fabric panel staging</t>
  </si>
  <si>
    <t>Prepared in bundle form</t>
  </si>
  <si>
    <t>Pattern reference check</t>
  </si>
  <si>
    <t>Sample kept ready</t>
  </si>
  <si>
    <t>Workstation setup</t>
  </si>
  <si>
    <t>Done before start</t>
  </si>
  <si>
    <t>Material alignment</t>
  </si>
  <si>
    <t>Pre-arranged panels</t>
  </si>
  <si>
    <t>Cuff Button Hole – Double (4 Hole in Shirt)</t>
  </si>
  <si>
    <t>Program selection</t>
  </si>
  <si>
    <t>Pre-load program</t>
  </si>
  <si>
    <t>Delay in cuff supply</t>
  </si>
  <si>
    <t>Buttonhole setup kit</t>
  </si>
  <si>
    <t>Knife adjustment</t>
  </si>
  <si>
    <t>Movement during clamp setting</t>
  </si>
  <si>
    <t>Digital preset system</t>
  </si>
  <si>
    <t>Thread ready beforehand</t>
  </si>
  <si>
    <t>Program identification delay</t>
  </si>
  <si>
    <t>Use alignment template</t>
  </si>
  <si>
    <t>WS-16</t>
  </si>
  <si>
    <t>Accuracy needed</t>
  </si>
  <si>
    <t>Alignment trial repetitions</t>
  </si>
  <si>
    <t>Check hole quality</t>
  </si>
  <si>
    <t>High operator precision needed</t>
  </si>
  <si>
    <t>Hole position chart</t>
  </si>
  <si>
    <t>H-ROB-SP-P-263-A-01-50567029 - ADIRONDACK</t>
  </si>
  <si>
    <t>Needle inspection</t>
  </si>
  <si>
    <t>Suresh hamza</t>
  </si>
  <si>
    <t>Speed setting</t>
  </si>
  <si>
    <t>Nearby placement</t>
  </si>
  <si>
    <t>Cuff Button Sew – Double (4 Button in Shirt)</t>
  </si>
  <si>
    <t>Button feeder loading</t>
  </si>
  <si>
    <t>Pre-load feeder</t>
  </si>
  <si>
    <t>Button supply delay</t>
  </si>
  <si>
    <t>Button feeder kit</t>
  </si>
  <si>
    <t>Program setting</t>
  </si>
  <si>
    <t>Pre-select stitch pattern</t>
  </si>
  <si>
    <t>Extra movement for feeder setup</t>
  </si>
  <si>
    <t>Stored program settings</t>
  </si>
  <si>
    <t>Finding correct button size</t>
  </si>
  <si>
    <t>Pre-arranged button trays</t>
  </si>
  <si>
    <t>WS-25</t>
  </si>
  <si>
    <t>Multiple alignment trials</t>
  </si>
  <si>
    <t>Check stitch strength</t>
  </si>
  <si>
    <t>High due to feeder handling</t>
  </si>
  <si>
    <t>Button size chart</t>
  </si>
  <si>
    <t>VALERIO-A-25 - MW0MW41059</t>
  </si>
  <si>
    <t>Sensor calibration</t>
  </si>
  <si>
    <t>Machine dependent</t>
  </si>
  <si>
    <t>Farhan Ali</t>
  </si>
  <si>
    <t>Button arrangement</t>
  </si>
  <si>
    <t>Sorted beforehand</t>
  </si>
  <si>
    <t>Organized tools</t>
  </si>
  <si>
    <t>Sample check</t>
  </si>
  <si>
    <t>Cuff Dummy Stitch</t>
  </si>
  <si>
    <t>Pre-set guide</t>
  </si>
  <si>
    <t>Delay in cuff panels</t>
  </si>
  <si>
    <t>Standard stitching kit</t>
  </si>
  <si>
    <t>Extra hand movement</t>
  </si>
  <si>
    <t>Fixed guide system</t>
  </si>
  <si>
    <t>Thread and guide search time</t>
  </si>
  <si>
    <t>Pre-marking alignment</t>
  </si>
  <si>
    <t>WS-28</t>
  </si>
  <si>
    <t>Quality step</t>
  </si>
  <si>
    <t>Multiple stitch trials</t>
  </si>
  <si>
    <t>Ensure dummy stitch look</t>
  </si>
  <si>
    <t>Low to moderate</t>
  </si>
  <si>
    <t>710953355 - XW0XW07946</t>
  </si>
  <si>
    <t>Fabric staging</t>
  </si>
  <si>
    <t>Prepared in bundles</t>
  </si>
  <si>
    <t>Deepak C</t>
  </si>
  <si>
    <t>Standard layout</t>
  </si>
  <si>
    <t>Marking alignment</t>
  </si>
  <si>
    <t>Use template</t>
  </si>
  <si>
    <t>Pre-balanced line</t>
  </si>
  <si>
    <t>Split Cuff Attach with Tape</t>
  </si>
  <si>
    <t>Delay in tape supply</t>
  </si>
  <si>
    <t>Tape kit with labels</t>
  </si>
  <si>
    <t>Split cuff alignment</t>
  </si>
  <si>
    <t>Extra reach during alignment</t>
  </si>
  <si>
    <t>Pre-set guide system</t>
  </si>
  <si>
    <t>Finding correct tape roll</t>
  </si>
  <si>
    <t>Parallel tape + thread prep</t>
  </si>
  <si>
    <t>WS-31</t>
  </si>
  <si>
    <t>Vikram J</t>
  </si>
  <si>
    <t>Prepared bundles</t>
  </si>
  <si>
    <t>Shadow board</t>
  </si>
  <si>
    <t>Tape inspection</t>
  </si>
  <si>
    <t>Pre-check quality</t>
  </si>
  <si>
    <t>Cuff Decorative Stitch</t>
  </si>
  <si>
    <t>Pattern setup</t>
  </si>
  <si>
    <t>Pre-load stitch design</t>
  </si>
  <si>
    <t>Delay in pattern panels</t>
  </si>
  <si>
    <t>Decorative stitch kit</t>
  </si>
  <si>
    <t>Prepare thread kit</t>
  </si>
  <si>
    <t>Movement during guide setup</t>
  </si>
  <si>
    <t>Preset stitch programs</t>
  </si>
  <si>
    <t>Design accuracy needed</t>
  </si>
  <si>
    <t>Thread shade selection time</t>
  </si>
  <si>
    <t>Pre-marking guides</t>
  </si>
  <si>
    <t>WS-33</t>
  </si>
  <si>
    <t>Trial for pattern alignment</t>
  </si>
  <si>
    <t>Check design quality</t>
  </si>
  <si>
    <t>High skill for design accuracy</t>
  </si>
  <si>
    <t>Pattern chart</t>
  </si>
  <si>
    <t>Speed adjustment</t>
  </si>
  <si>
    <t>Asha R</t>
  </si>
  <si>
    <t>Sample reference</t>
  </si>
  <si>
    <t>Cuff Tape Attach at Center</t>
  </si>
  <si>
    <t>Tape positioning</t>
  </si>
  <si>
    <t>Pre-mark center line</t>
  </si>
  <si>
    <t>Center marking template</t>
  </si>
  <si>
    <t>Folder setup</t>
  </si>
  <si>
    <t>Precision needed</t>
  </si>
  <si>
    <t>Extra movement during setup</t>
  </si>
  <si>
    <t>Fixed folder system</t>
  </si>
  <si>
    <t>Thread ready</t>
  </si>
  <si>
    <t>Pre-marking method</t>
  </si>
  <si>
    <t>WS-36</t>
  </si>
  <si>
    <t>Check center alignment</t>
  </si>
  <si>
    <t>Moderate skill required</t>
  </si>
  <si>
    <t>Panel staging</t>
  </si>
  <si>
    <t>Ritija Mahato</t>
  </si>
  <si>
    <t>Quality checked</t>
  </si>
  <si>
    <t>Workstation prep</t>
  </si>
  <si>
    <t>Line balanced</t>
  </si>
  <si>
    <t>Cuff Logo Button Attach</t>
  </si>
  <si>
    <t>Logo button loading</t>
  </si>
  <si>
    <t>Delay in logo button supply</t>
  </si>
  <si>
    <t>Logo button kit</t>
  </si>
  <si>
    <t>Pre-set program</t>
  </si>
  <si>
    <t>Movement during feeder setup</t>
  </si>
  <si>
    <t>Digital preset program</t>
  </si>
  <si>
    <t>Accuracy required</t>
  </si>
  <si>
    <t>Finding correct logo buttons</t>
  </si>
  <si>
    <t>WS-38</t>
  </si>
  <si>
    <t>Check logo alignment</t>
  </si>
  <si>
    <t>High precision required</t>
  </si>
  <si>
    <t>Logo placement guide</t>
  </si>
  <si>
    <t>Sensor setup</t>
  </si>
  <si>
    <t>Nahila Gupta</t>
  </si>
  <si>
    <t>Heating delay</t>
  </si>
  <si>
    <t>Fusing material rack</t>
  </si>
  <si>
    <t>Pressure setup</t>
  </si>
  <si>
    <t>Use preset chart</t>
  </si>
  <si>
    <t>Panel placement movement</t>
  </si>
  <si>
    <t>Timer adjustment</t>
  </si>
  <si>
    <t>Pre-set timing</t>
  </si>
  <si>
    <t>Finding correct fusing sheet</t>
  </si>
  <si>
    <t>Parallel preparation</t>
  </si>
  <si>
    <t>WS-40</t>
  </si>
  <si>
    <t>Sheet placement</t>
  </si>
  <si>
    <t>Trial bonding runs</t>
  </si>
  <si>
    <t>Trial bonding</t>
  </si>
  <si>
    <t>Check adhesion</t>
  </si>
  <si>
    <t>Fusing SOP chart</t>
  </si>
  <si>
    <t>710B18632 - SLHRLXHOLGER-STRIPE-LS-SHIRT</t>
  </si>
  <si>
    <t>Kavita Singh</t>
  </si>
  <si>
    <t>Fusing material setup</t>
  </si>
  <si>
    <t>Sorted materials</t>
  </si>
  <si>
    <t>Ready tools</t>
  </si>
  <si>
    <t>Pre-changeover setup</t>
  </si>
  <si>
    <t>Pre-set guide before stop</t>
  </si>
  <si>
    <t>Hemming kit</t>
  </si>
  <si>
    <t>Fixed guide</t>
  </si>
  <si>
    <t>Thread selection delay</t>
  </si>
  <si>
    <t>Pre-marking</t>
  </si>
  <si>
    <t>WS-42</t>
  </si>
  <si>
    <t>Hem width correction trials</t>
  </si>
  <si>
    <t>Trial hemming</t>
  </si>
  <si>
    <t>Check fold accuracy</t>
  </si>
  <si>
    <t>Low skill dependency</t>
  </si>
  <si>
    <t xml:space="preserve"> ADIRONDACK - VALERIO-A-25</t>
  </si>
  <si>
    <t>Sanju Pawar</t>
  </si>
  <si>
    <t>Line balancing</t>
  </si>
  <si>
    <t>Back Dart</t>
  </si>
  <si>
    <t>Dart marking alignment</t>
  </si>
  <si>
    <t>Pre-mark panels</t>
  </si>
  <si>
    <t>Delay in panel supply</t>
  </si>
  <si>
    <t>Dart marking template</t>
  </si>
  <si>
    <t>Hand repositioning</t>
  </si>
  <si>
    <t>Standard stitch length</t>
  </si>
  <si>
    <t>Finding marked panels</t>
  </si>
  <si>
    <t>WS-45</t>
  </si>
  <si>
    <t>Check dart shape</t>
  </si>
  <si>
    <t>Dart correction trials</t>
  </si>
  <si>
    <t>Dart alignment guide</t>
  </si>
  <si>
    <t xml:space="preserve"> BN-5D - H-ROB-SP-P-263-A-01-50567029</t>
  </si>
  <si>
    <t>Standard setup</t>
  </si>
  <si>
    <t>Priyanka Das</t>
  </si>
  <si>
    <t>Approved sample</t>
  </si>
  <si>
    <t>Bundle sorted</t>
  </si>
  <si>
    <t>Back Pleat</t>
  </si>
  <si>
    <t>Pleat folding setup</t>
  </si>
  <si>
    <t>Pre-fold panels</t>
  </si>
  <si>
    <t>Panel delay</t>
  </si>
  <si>
    <t>Pleat folding template</t>
  </si>
  <si>
    <t>Use stopper system</t>
  </si>
  <si>
    <t>Extra folding movement</t>
  </si>
  <si>
    <t>Guide stopper</t>
  </si>
  <si>
    <t>Finding correct panels</t>
  </si>
  <si>
    <t>Pre-folding panels</t>
  </si>
  <si>
    <t>WS-47</t>
  </si>
  <si>
    <t>Pleat correction trials</t>
  </si>
  <si>
    <t>Check pleat accuracy</t>
  </si>
  <si>
    <t>Pleat guide chart</t>
  </si>
  <si>
    <t>VALERIO-A-25 - ADIRONDACK</t>
  </si>
  <si>
    <t>Rohini Bansal</t>
  </si>
  <si>
    <t>Reference sample</t>
  </si>
  <si>
    <t>Patch Attach</t>
  </si>
  <si>
    <t>Patch alignment</t>
  </si>
  <si>
    <t>Patch supply delay</t>
  </si>
  <si>
    <t>Patch template</t>
  </si>
  <si>
    <t>Alignment movement</t>
  </si>
  <si>
    <t>Speed preset</t>
  </si>
  <si>
    <t>Finding correct patch</t>
  </si>
  <si>
    <t>Pre-aligned patches</t>
  </si>
  <si>
    <t>WS-50</t>
  </si>
  <si>
    <t>Check alignment</t>
  </si>
  <si>
    <t>High precision needed</t>
  </si>
  <si>
    <t>Placement guide</t>
  </si>
  <si>
    <t>Meena Kumari</t>
  </si>
  <si>
    <t>Preset speed</t>
  </si>
  <si>
    <t>Patch staging</t>
  </si>
  <si>
    <t>Yoke Top Stitch</t>
  </si>
  <si>
    <t>Guide alignment</t>
  </si>
  <si>
    <t>Delay in yoke panels</t>
  </si>
  <si>
    <t>Top stitch guide</t>
  </si>
  <si>
    <t>Extra movement during alignment</t>
  </si>
  <si>
    <t>Pre-aligned panels</t>
  </si>
  <si>
    <t>WS-53</t>
  </si>
  <si>
    <t>Check top stitch</t>
  </si>
  <si>
    <t>Top stitch correction trials</t>
  </si>
  <si>
    <t>Stitch reference chart</t>
  </si>
  <si>
    <t xml:space="preserve">Anita P C </t>
  </si>
  <si>
    <t>Back Bottom Hem</t>
  </si>
  <si>
    <t>Delay in back panels</t>
  </si>
  <si>
    <t>Hem guide kit</t>
  </si>
  <si>
    <t>WS-55</t>
  </si>
  <si>
    <t>Hem width trials</t>
  </si>
  <si>
    <t>Low dependency</t>
  </si>
  <si>
    <t>VOYAGER-WHITE - GARMENT-DYE</t>
  </si>
  <si>
    <t>Anita Verma</t>
  </si>
  <si>
    <t>Gusset Edge Stitch</t>
  </si>
  <si>
    <t>Gusset panel delay</t>
  </si>
  <si>
    <t>Edge stitch kit</t>
  </si>
  <si>
    <t>Guide adjustment movement</t>
  </si>
  <si>
    <t>Knife stopper</t>
  </si>
  <si>
    <t>Add stopper system</t>
  </si>
  <si>
    <t>WS-58</t>
  </si>
  <si>
    <t>Check edge finish</t>
  </si>
  <si>
    <t>Edge finish trials</t>
  </si>
  <si>
    <t>Edge stitch guide</t>
  </si>
  <si>
    <t xml:space="preserve">  BN-5D - 710953355003-CUBDPPCS </t>
  </si>
  <si>
    <t>Sonali Kulkarni</t>
  </si>
  <si>
    <t>Gusset panel staging</t>
  </si>
  <si>
    <t>Back Loop Ready</t>
  </si>
  <si>
    <t>Loop strip cutting setup</t>
  </si>
  <si>
    <t>Pre-cut strips</t>
  </si>
  <si>
    <t>Strip preparation delay</t>
  </si>
  <si>
    <t>Loop cutting template</t>
  </si>
  <si>
    <t>Handling small strips</t>
  </si>
  <si>
    <t>Guide preset</t>
  </si>
  <si>
    <t>Finding correct strips</t>
  </si>
  <si>
    <t>WS-60</t>
  </si>
  <si>
    <t>Check loop quality</t>
  </si>
  <si>
    <t>Loop size correction trials</t>
  </si>
  <si>
    <t>Prepared strips</t>
  </si>
  <si>
    <t>Loop size chart</t>
  </si>
  <si>
    <t>710B18632 - MW0MW41059</t>
  </si>
  <si>
    <t>Kavya Iyer</t>
  </si>
  <si>
    <t>Approved loop sample</t>
  </si>
  <si>
    <t>Flow setup</t>
  </si>
  <si>
    <t>Back Loop Attach</t>
  </si>
  <si>
    <t>Loop alignment</t>
  </si>
  <si>
    <t>Loop supply delay</t>
  </si>
  <si>
    <t>Loop placement template</t>
  </si>
  <si>
    <t>Finding loop pieces</t>
  </si>
  <si>
    <t>Pre-aligned loops</t>
  </si>
  <si>
    <t>WS-63</t>
  </si>
  <si>
    <t>Loop position trials</t>
  </si>
  <si>
    <t>Check loop position</t>
  </si>
  <si>
    <t>Placement chart</t>
  </si>
  <si>
    <t>10953355 - H-LIAM-BD-E-C1-263-50566988</t>
  </si>
  <si>
    <t>Nisha K</t>
  </si>
  <si>
    <t>Loop staging</t>
  </si>
  <si>
    <t>Back Over Lock</t>
  </si>
  <si>
    <t>Overlock kit</t>
  </si>
  <si>
    <t>Thread cone identification</t>
  </si>
  <si>
    <t>Pre-threading</t>
  </si>
  <si>
    <t>WS-66</t>
  </si>
  <si>
    <t>Check seam finish</t>
  </si>
  <si>
    <t>Seam finish trials</t>
  </si>
  <si>
    <t>Stitch reference guide</t>
  </si>
  <si>
    <t>GARMENT-DYE - VALERIO-A-25</t>
  </si>
  <si>
    <t>Radhika Menon</t>
  </si>
  <si>
    <t>Back Tape Attach</t>
  </si>
  <si>
    <t>Tape supply delay</t>
  </si>
  <si>
    <t>Parallel prep</t>
  </si>
  <si>
    <t>WS-70</t>
  </si>
  <si>
    <t>Multiple tape alignment trials</t>
  </si>
  <si>
    <t>Style III → Style JJJ</t>
  </si>
  <si>
    <t>Shweta P</t>
  </si>
  <si>
    <t>Pintak Tacking</t>
  </si>
  <si>
    <t>Pintak alignment setup</t>
  </si>
  <si>
    <t>Pintak guide</t>
  </si>
  <si>
    <t>WS-72</t>
  </si>
  <si>
    <t>Pintak alignment trials</t>
  </si>
  <si>
    <t>Check pintak consistency</t>
  </si>
  <si>
    <t>Pintak reference chart</t>
  </si>
  <si>
    <t>VOYAGER-WHITE - KB0KB10566</t>
  </si>
  <si>
    <t>Prepared panels</t>
  </si>
  <si>
    <t>Renu S</t>
  </si>
  <si>
    <t>Pintak Bar Tack</t>
  </si>
  <si>
    <t>Bar tack kit</t>
  </si>
  <si>
    <t>Clamp adjustment movement</t>
  </si>
  <si>
    <t>Digital preset</t>
  </si>
  <si>
    <t>WS-75</t>
  </si>
  <si>
    <t>Bar tack positioning trials</t>
  </si>
  <si>
    <t>Check bar tack strength</t>
  </si>
  <si>
    <t>High skill required</t>
  </si>
  <si>
    <t>Bar tack guide</t>
  </si>
  <si>
    <t>Style MMM → Style NNN</t>
  </si>
  <si>
    <t>Komal J</t>
  </si>
  <si>
    <t>Yoke Pintack</t>
  </si>
  <si>
    <t>Pintack guide setup</t>
  </si>
  <si>
    <t>Yoke panel delay</t>
  </si>
  <si>
    <t>Pintack guide kit</t>
  </si>
  <si>
    <t>Thread shade selection</t>
  </si>
  <si>
    <t>WS-78</t>
  </si>
  <si>
    <t>Check pintack design</t>
  </si>
  <si>
    <t>Pintack alignment trials</t>
  </si>
  <si>
    <t>Moderate to high</t>
  </si>
  <si>
    <t>Pintack chart</t>
  </si>
  <si>
    <t>SLHRLXHOLGER-STRIPE-LS-SHIRT - MW0MW43996</t>
  </si>
  <si>
    <t>Neelam V</t>
  </si>
  <si>
    <t>Split Yoke Attach (Double)</t>
  </si>
  <si>
    <t>Yoke alignment setup</t>
  </si>
  <si>
    <t>Yoke alignment template</t>
  </si>
  <si>
    <t>Handling double layers</t>
  </si>
  <si>
    <t>WS-80</t>
  </si>
  <si>
    <t>Alignment correction trials</t>
  </si>
  <si>
    <t>Check seam alignment</t>
  </si>
  <si>
    <t>Alignment chart</t>
  </si>
  <si>
    <t>ADIRONDACK - KB0KB10566</t>
  </si>
  <si>
    <t>Pillai Deshmukh</t>
  </si>
  <si>
    <t>Fabric alignment</t>
  </si>
  <si>
    <t>Double layer accuracy</t>
  </si>
  <si>
    <t>Yoke Attach (Checks)</t>
  </si>
  <si>
    <t>Check matching alignment</t>
  </si>
  <si>
    <t>Pattern matching critical</t>
  </si>
  <si>
    <t>Delay in check panels</t>
  </si>
  <si>
    <t>Check alignment template</t>
  </si>
  <si>
    <t>Extra alignment movement</t>
  </si>
  <si>
    <t>Finding matching pieces</t>
  </si>
  <si>
    <t>Pre-matching panels</t>
  </si>
  <si>
    <t>WS-82</t>
  </si>
  <si>
    <t>Repeated matching trials</t>
  </si>
  <si>
    <t>Operator + Checker</t>
  </si>
  <si>
    <t>Check check alignment</t>
  </si>
  <si>
    <t>Very high precision needed</t>
  </si>
  <si>
    <t>Check alignment chart</t>
  </si>
  <si>
    <t>TRIESTE - MW0MW41059</t>
  </si>
  <si>
    <t>Priya Kulkarni</t>
  </si>
  <si>
    <t>Back Dart Edge Stitch</t>
  </si>
  <si>
    <t>Edge guide setup</t>
  </si>
  <si>
    <t>Dart panel delay</t>
  </si>
  <si>
    <t>Edge guide kit</t>
  </si>
  <si>
    <t>Guide movement</t>
  </si>
  <si>
    <t>WS-85</t>
  </si>
  <si>
    <t>Edge alignment trials</t>
  </si>
  <si>
    <t>H-HANK-SP-DC-263 - XW0XW07946</t>
  </si>
  <si>
    <t>Megha Joshi</t>
  </si>
  <si>
    <t>Pre-mark darts</t>
  </si>
  <si>
    <t>Gusset Tack at Bottom</t>
  </si>
  <si>
    <t>Pre-load tack program</t>
  </si>
  <si>
    <t>Gusset delay</t>
  </si>
  <si>
    <t>Tack kit</t>
  </si>
  <si>
    <t>Clamp movement</t>
  </si>
  <si>
    <t>Program selection delay</t>
  </si>
  <si>
    <t>Pre-aligned gussets</t>
  </si>
  <si>
    <t>WS-88</t>
  </si>
  <si>
    <t>Tack positioning trials</t>
  </si>
  <si>
    <t>Trial tack</t>
  </si>
  <si>
    <t>Check strength</t>
  </si>
  <si>
    <t>Tack placement chart</t>
  </si>
  <si>
    <t>Sapna M</t>
  </si>
  <si>
    <t>Prepared gussets</t>
  </si>
  <si>
    <t>Back Bottom Hem with Gusset</t>
  </si>
  <si>
    <t>Hem + gusset alignment</t>
  </si>
  <si>
    <t>Dual alignment needed</t>
  </si>
  <si>
    <t>Panel + gusset delay</t>
  </si>
  <si>
    <t>Gusset alignment template</t>
  </si>
  <si>
    <t>Handling multiple layers</t>
  </si>
  <si>
    <t>Thread prepared</t>
  </si>
  <si>
    <t>Panel identification delay</t>
  </si>
  <si>
    <t>Pre-aligned bundles</t>
  </si>
  <si>
    <t>WS-90</t>
  </si>
  <si>
    <t>Check seam quality</t>
  </si>
  <si>
    <t>High complexity operation</t>
  </si>
  <si>
    <t>Combined hem guide</t>
  </si>
  <si>
    <t>MW0MW44205-AI-COTLIN-JACQUARD - 710953355003-CUBDPPCS</t>
  </si>
  <si>
    <t>Rekha T</t>
  </si>
  <si>
    <t>Main Label Attach with Size Label</t>
  </si>
  <si>
    <t>Pre-mark placement</t>
  </si>
  <si>
    <t>Label availability delay</t>
  </si>
  <si>
    <t>Label kit with size separation</t>
  </si>
  <si>
    <t>Small label handling</t>
  </si>
  <si>
    <t>Finding correct size label</t>
  </si>
  <si>
    <t>Pre-sorting labels</t>
  </si>
  <si>
    <t>WS-93</t>
  </si>
  <si>
    <t>Check label alignment</t>
  </si>
  <si>
    <t>Label alignment trials</t>
  </si>
  <si>
    <t>Label placement chart</t>
  </si>
  <si>
    <t>MW0MW43996 - 710968971</t>
  </si>
  <si>
    <t>Label sorting</t>
  </si>
  <si>
    <t>Divya gowda</t>
  </si>
  <si>
    <t>Yoke Attach with Tape</t>
  </si>
  <si>
    <t>Tape alignment setup</t>
  </si>
  <si>
    <t>Pre-align tape strips</t>
  </si>
  <si>
    <t>Tape preparation delay</t>
  </si>
  <si>
    <t>Tape alignment jig</t>
  </si>
  <si>
    <t>Yoke positioning</t>
  </si>
  <si>
    <t>Accuracy critical</t>
  </si>
  <si>
    <t>Handling tape + yoke layers</t>
  </si>
  <si>
    <t>Pre-thread system</t>
  </si>
  <si>
    <t>Pre-thread machine</t>
  </si>
  <si>
    <t>Tape width identification</t>
  </si>
  <si>
    <t>Parallel tape prep</t>
  </si>
  <si>
    <t>WS-95</t>
  </si>
  <si>
    <t>Safety + stitch quality</t>
  </si>
  <si>
    <t>Tape alignment trials</t>
  </si>
  <si>
    <t>Tape alignment SOP</t>
  </si>
  <si>
    <t>Essential step</t>
  </si>
  <si>
    <t>Aarti Singh</t>
  </si>
  <si>
    <t>Organized layout</t>
  </si>
  <si>
    <t>Piping Attach at Bottom Hem</t>
  </si>
  <si>
    <t>Piping roll setup</t>
  </si>
  <si>
    <t>Pre-cut piping rolls</t>
  </si>
  <si>
    <t>Piping availability delay</t>
  </si>
  <si>
    <t>Piping roll stand</t>
  </si>
  <si>
    <t>Handling long piping strips</t>
  </si>
  <si>
    <t>Piping roll identification</t>
  </si>
  <si>
    <t>Pre-cut piping</t>
  </si>
  <si>
    <t>WS-97</t>
  </si>
  <si>
    <t>Repeated alignment trials</t>
  </si>
  <si>
    <t>Trial piping run</t>
  </si>
  <si>
    <t>Piping SOP</t>
  </si>
  <si>
    <t>Manisha C H</t>
  </si>
  <si>
    <t>Piping inspection</t>
  </si>
  <si>
    <t>Quality check</t>
  </si>
  <si>
    <t>Piping Finish at Bottom Hem</t>
  </si>
  <si>
    <t>Edge trimming setup</t>
  </si>
  <si>
    <t>Pre-set trimming</t>
  </si>
  <si>
    <t>Edge trimming kit</t>
  </si>
  <si>
    <t>Edge handling movement</t>
  </si>
  <si>
    <t>Knife preset</t>
  </si>
  <si>
    <t>Thread cone selection</t>
  </si>
  <si>
    <t>WS-100</t>
  </si>
  <si>
    <t>Trial finishing</t>
  </si>
  <si>
    <t>Moderate</t>
  </si>
  <si>
    <t>Finish guide</t>
  </si>
  <si>
    <t>Style GGG1 → Style HHH1</t>
  </si>
  <si>
    <t>Kavitha Nair</t>
  </si>
  <si>
    <t>Back French Fell - 1</t>
  </si>
  <si>
    <t>Fold alignment setup</t>
  </si>
  <si>
    <t>Folding template</t>
  </si>
  <si>
    <t>Fold handling movement</t>
  </si>
  <si>
    <t>Panel identification</t>
  </si>
  <si>
    <t>WS-103</t>
  </si>
  <si>
    <t>Fold correction trials</t>
  </si>
  <si>
    <t>Fell seam guide</t>
  </si>
  <si>
    <t>SLHRLXHOLGER-STRIPE-LS-SHIRT - H-HANK-SP-DC-263</t>
  </si>
  <si>
    <t>Pooja K L</t>
  </si>
  <si>
    <t>Double fold accuracy</t>
  </si>
  <si>
    <t>Back French Fell - 2</t>
  </si>
  <si>
    <t>Second fold setup</t>
  </si>
  <si>
    <t>Folding guide kit</t>
  </si>
  <si>
    <t>Pre-folding</t>
  </si>
  <si>
    <t>WS-106</t>
  </si>
  <si>
    <t>Seam correction trials</t>
  </si>
  <si>
    <t>Seam guide chart</t>
  </si>
  <si>
    <t>Speed tuning</t>
  </si>
  <si>
    <t>Shruti D</t>
  </si>
  <si>
    <t>Back Slit</t>
  </si>
  <si>
    <t>Slit marking setup</t>
  </si>
  <si>
    <t>Pre-mark slit lines</t>
  </si>
  <si>
    <t>Slit marking template</t>
  </si>
  <si>
    <t>Marking identification</t>
  </si>
  <si>
    <t>Pre-marking panels</t>
  </si>
  <si>
    <t>WS-108</t>
  </si>
  <si>
    <t>Slit correction trials</t>
  </si>
  <si>
    <t>Check slit finish</t>
  </si>
  <si>
    <t>Moderate precision required</t>
  </si>
  <si>
    <t>Slit guide SOP</t>
  </si>
  <si>
    <t>Style MMM1 → Style NNN1</t>
  </si>
  <si>
    <t>Rashmi Patwardhan</t>
  </si>
  <si>
    <t>Back Slit Bottom Hem</t>
  </si>
  <si>
    <t>Slit hem alignment</t>
  </si>
  <si>
    <t>Dual precision required</t>
  </si>
  <si>
    <t>Slit hem guide</t>
  </si>
  <si>
    <t>Pre-thread setup</t>
  </si>
  <si>
    <t>Handling slit edges</t>
  </si>
  <si>
    <t>Thread identification</t>
  </si>
  <si>
    <t>WS-113</t>
  </si>
  <si>
    <t>Hem alignment trials</t>
  </si>
  <si>
    <t>Check slit hem finish</t>
  </si>
  <si>
    <t>Hem SOP</t>
  </si>
  <si>
    <t>ADIRONDACK - VOYAGER-WHITE</t>
  </si>
  <si>
    <t>Ritika Nanda</t>
  </si>
  <si>
    <t>Premium Label Four Sides</t>
  </si>
  <si>
    <t>Label alignment setup</t>
  </si>
  <si>
    <t>Label supply delay</t>
  </si>
  <si>
    <t>Label alignment jig</t>
  </si>
  <si>
    <t>Handling small labels</t>
  </si>
  <si>
    <t>Label identification</t>
  </si>
  <si>
    <t>WS-116</t>
  </si>
  <si>
    <t>Trial stitching (4 sides)</t>
  </si>
  <si>
    <t>Check label finish</t>
  </si>
  <si>
    <t>4-side alignment trials</t>
  </si>
  <si>
    <t>Label SOP</t>
  </si>
  <si>
    <t>GARMENT-DYE - 710968971</t>
  </si>
  <si>
    <t>Ishita R</t>
  </si>
  <si>
    <t>Sorted labels</t>
  </si>
  <si>
    <t>Wash Care Label Attach</t>
  </si>
  <si>
    <t>Label positioning</t>
  </si>
  <si>
    <t>Label delay</t>
  </si>
  <si>
    <t>Label kit</t>
  </si>
  <si>
    <t>Label size confusion</t>
  </si>
  <si>
    <t>WS-119</t>
  </si>
  <si>
    <t>Alignment trials</t>
  </si>
  <si>
    <t>Label chart</t>
  </si>
  <si>
    <t>MW0MW43996 - VALERIO-A-25</t>
  </si>
  <si>
    <t>Rekha S</t>
  </si>
  <si>
    <t>V-Label Patch Attach</t>
  </si>
  <si>
    <t>Patch delay</t>
  </si>
  <si>
    <t>Patch identification</t>
  </si>
  <si>
    <t>WS-122</t>
  </si>
  <si>
    <t>Check patch finish</t>
  </si>
  <si>
    <t>Moderate precision needed</t>
  </si>
  <si>
    <t>Patch SOP</t>
  </si>
  <si>
    <t>Neha Bhanu</t>
  </si>
  <si>
    <t>Prepared patches</t>
  </si>
  <si>
    <t>Yoke Attach Over Lock</t>
  </si>
  <si>
    <t>Pre-thread before stop</t>
  </si>
  <si>
    <t>Handling yoke layers</t>
  </si>
  <si>
    <t>Yoke alignment</t>
  </si>
  <si>
    <t>WS-125</t>
  </si>
  <si>
    <t>Seam alignment trials</t>
  </si>
  <si>
    <t>Trial seam</t>
  </si>
  <si>
    <t>Seam SOP</t>
  </si>
  <si>
    <t>H-LIAM-BD-E-C1-263-50566988 - H-ROB-SP-P-263-A-01-50567029</t>
  </si>
  <si>
    <t>Sonal Verma</t>
  </si>
  <si>
    <t>Preset RPM</t>
  </si>
  <si>
    <t>Tool layout</t>
  </si>
  <si>
    <t>V' Patch</t>
  </si>
  <si>
    <t>Shape precision needed</t>
  </si>
  <si>
    <t>V-shape template</t>
  </si>
  <si>
    <t>WS-128</t>
  </si>
  <si>
    <t>Shape correction trials</t>
  </si>
  <si>
    <t>Check V shape</t>
  </si>
  <si>
    <t>Moderate precision</t>
  </si>
  <si>
    <t>710968971 - 710B18632</t>
  </si>
  <si>
    <t>Kritika Sinha</t>
  </si>
  <si>
    <t>Yoke Attach Manual</t>
  </si>
  <si>
    <t>Manual alignment</t>
  </si>
  <si>
    <t>Skill dependent</t>
  </si>
  <si>
    <t>Alignment jig</t>
  </si>
  <si>
    <t>Manual alignment movement</t>
  </si>
  <si>
    <t>Thread selection</t>
  </si>
  <si>
    <t>WS-130</t>
  </si>
  <si>
    <t>Alignment correction</t>
  </si>
  <si>
    <t>Check seam</t>
  </si>
  <si>
    <t>Very high</t>
  </si>
  <si>
    <t>Yoke SOP</t>
  </si>
  <si>
    <t>VOYAGER-WHITE - ADIRONDACK</t>
  </si>
  <si>
    <t>Anjali Mehta</t>
  </si>
  <si>
    <t>Material flow</t>
  </si>
  <si>
    <t>Yoke Center Tacking</t>
  </si>
  <si>
    <t>Program setup</t>
  </si>
  <si>
    <t>Tack jig</t>
  </si>
  <si>
    <t>Program delay</t>
  </si>
  <si>
    <t>WS-133</t>
  </si>
  <si>
    <t>Tack alignment trials</t>
  </si>
  <si>
    <t>High precision</t>
  </si>
  <si>
    <t>Tack SOP</t>
  </si>
  <si>
    <t>BN-5D - KASON-A-25-50293691</t>
  </si>
  <si>
    <t>Rashmi Gupta</t>
  </si>
  <si>
    <t>Main Label – 2 Side (Pattern Sewer)</t>
  </si>
  <si>
    <t>Label alignment</t>
  </si>
  <si>
    <t>Label handling</t>
  </si>
  <si>
    <t>Pre-sorting</t>
  </si>
  <si>
    <t>WS-136</t>
  </si>
  <si>
    <t>Check finish</t>
  </si>
  <si>
    <t>Low</t>
  </si>
  <si>
    <t>MW0MW44205-AI-COTLIN-JACQUARD - H-LIAM-BD-E-C1-263-50566988</t>
  </si>
  <si>
    <t>Pooja Sharma</t>
  </si>
  <si>
    <t>Back Pleat (Tack)</t>
  </si>
  <si>
    <t>Pleat alignment</t>
  </si>
  <si>
    <t>Tack template</t>
  </si>
  <si>
    <t>Pre-load</t>
  </si>
  <si>
    <t>Preset</t>
  </si>
  <si>
    <t>WS-139</t>
  </si>
  <si>
    <t>Tack trials</t>
  </si>
  <si>
    <t>High</t>
  </si>
  <si>
    <t>710953355003-CUBDPPCS - H-ROB-SP-P-263-A-01-50567029</t>
  </si>
  <si>
    <t>Neetu Yadav</t>
  </si>
  <si>
    <t>Prepared</t>
  </si>
  <si>
    <t>Standard</t>
  </si>
  <si>
    <t>Approved</t>
  </si>
  <si>
    <t>Double layer alignment</t>
  </si>
  <si>
    <t>Pre-set</t>
  </si>
  <si>
    <t>Handling layers</t>
  </si>
  <si>
    <t>Thread delay</t>
  </si>
  <si>
    <t>Pre-aligned</t>
  </si>
  <si>
    <t>WS-142</t>
  </si>
  <si>
    <t>Safety</t>
  </si>
  <si>
    <t>Divya Nair</t>
  </si>
  <si>
    <t>Pleat folding</t>
  </si>
  <si>
    <t>Pre-fold</t>
  </si>
  <si>
    <t>Pleat template</t>
  </si>
  <si>
    <t>Folding movement</t>
  </si>
  <si>
    <t>WS-145</t>
  </si>
  <si>
    <t>Pleat trials</t>
  </si>
  <si>
    <t>Check pleat</t>
  </si>
  <si>
    <t>Pleat SOP</t>
  </si>
  <si>
    <t>VALERIO-A-25 - GARMENT-DYE</t>
  </si>
  <si>
    <t>Ritu Saxena</t>
  </si>
  <si>
    <t>Done</t>
  </si>
  <si>
    <t>Balanced</t>
  </si>
  <si>
    <t>Button Placket Hem – DNLS</t>
  </si>
  <si>
    <t>Placket alignment</t>
  </si>
  <si>
    <t>Placket guide</t>
  </si>
  <si>
    <t>WS-148</t>
  </si>
  <si>
    <t>Hem trials</t>
  </si>
  <si>
    <t>Check hem</t>
  </si>
  <si>
    <t>SLHRLXHOLGER-STRIPE-LS-SHIRT - XW0XW07946</t>
  </si>
  <si>
    <t>Kavya Shah</t>
  </si>
  <si>
    <t>Front Neck Stitch</t>
  </si>
  <si>
    <t>Neck alignment</t>
  </si>
  <si>
    <t>Neck guide template</t>
  </si>
  <si>
    <t>Neck alignment movement</t>
  </si>
  <si>
    <t>WS-150</t>
  </si>
  <si>
    <t>Neck finish trials</t>
  </si>
  <si>
    <t>Check neck finish</t>
  </si>
  <si>
    <t>Neck SOP</t>
  </si>
  <si>
    <t>H-HANK-SP-DC-263 - KASON-A-25-50293691</t>
  </si>
  <si>
    <t>Neha P</t>
  </si>
  <si>
    <t>FRONT BOTTOM LABEL ATTACH</t>
  </si>
  <si>
    <t>Thread kit preparation</t>
  </si>
  <si>
    <t>Thread arranged before changeover</t>
  </si>
  <si>
    <t>Delay in receiving materials</t>
  </si>
  <si>
    <t>Label issuing</t>
  </si>
  <si>
    <t>Labels provided in advance</t>
  </si>
  <si>
    <t>Unnecessary operator movement</t>
  </si>
  <si>
    <t>Fixed guide / stopper</t>
  </si>
  <si>
    <t>Standard tool kit ready</t>
  </si>
  <si>
    <t>Time spent finding tools</t>
  </si>
  <si>
    <t>Standard sequence</t>
  </si>
  <si>
    <t>WS-19</t>
  </si>
  <si>
    <t>Bundle arrangement</t>
  </si>
  <si>
    <t>Work bundles pre-arranged</t>
  </si>
  <si>
    <t>Time in label alignment</t>
  </si>
  <si>
    <t>Done before machine stop</t>
  </si>
  <si>
    <t>Depends on operator accuracy</t>
  </si>
  <si>
    <t>SOP with visuals</t>
  </si>
  <si>
    <t>Instruction briefing</t>
  </si>
  <si>
    <t>Operator informed earlier</t>
  </si>
  <si>
    <t>Divya Menon</t>
  </si>
  <si>
    <t>Sample reference setup</t>
  </si>
  <si>
    <t>All inputs placed beforehand</t>
  </si>
  <si>
    <t>Hem guide setup</t>
  </si>
  <si>
    <t>Preset using spare attachment</t>
  </si>
  <si>
    <t>Delay in receiving pocket panels and thread</t>
  </si>
  <si>
    <t>Shadow board / dedicated hemming kit</t>
  </si>
  <si>
    <t>Thread kit issued before</t>
  </si>
  <si>
    <t>Extra hand movement during folding setup</t>
  </si>
  <si>
    <t>Fixed hem guide / stopper</t>
  </si>
  <si>
    <t>Hem folding adjustment</t>
  </si>
  <si>
    <t>Precision required on machine</t>
  </si>
  <si>
    <t>Time wasted locating hem guide/tools</t>
  </si>
  <si>
    <t>Standard hemming sequence defined</t>
  </si>
  <si>
    <t>Safety critical step</t>
  </si>
  <si>
    <t>Time spent correcting fold width</t>
  </si>
  <si>
    <t>Cleaned during running time</t>
  </si>
  <si>
    <t>Operator skill impacts hem consistency</t>
  </si>
  <si>
    <t>SOP with visual reference</t>
  </si>
  <si>
    <t>Nithya Subramanian</t>
  </si>
  <si>
    <t>Preset RPM before start</t>
  </si>
  <si>
    <t>Pocket panel staging</t>
  </si>
  <si>
    <t>Sorted and aligned beforehand</t>
  </si>
  <si>
    <t>Tools placed in fixed location</t>
  </si>
  <si>
    <t>Reference sample setup</t>
  </si>
  <si>
    <t>Approved sample available</t>
  </si>
  <si>
    <t>Bundle sequencing</t>
  </si>
  <si>
    <t>Pieces arranged in order</t>
  </si>
  <si>
    <t>POCKET ATTACH - ROUND SHAPE</t>
  </si>
  <si>
    <t>Template alignment (round)</t>
  </si>
  <si>
    <t>Shape accuracy critical</t>
  </si>
  <si>
    <t>Delay in receiving pre-cut round pocket panels</t>
  </si>
  <si>
    <t>Dedicated curved guide + template kit</t>
  </si>
  <si>
    <t>Guide setup (curved)</t>
  </si>
  <si>
    <t>Preset curved guide before</t>
  </si>
  <si>
    <t>Extra movement while aligning curved edges</t>
  </si>
  <si>
    <t>Fixed curved guide / stopper</t>
  </si>
  <si>
    <t>Time spent finding templates/tools</t>
  </si>
  <si>
    <t>Standard method for round attach sequence</t>
  </si>
  <si>
    <t>Time in correcting curve stitching alignment</t>
  </si>
  <si>
    <t>Cleaning before stop</t>
  </si>
  <si>
    <t>High skill needed for smooth round stitching</t>
  </si>
  <si>
    <t>SOP with curve alignment visuals</t>
  </si>
  <si>
    <t>MW0MW43996 - SLHRLXHOLGER-STRIPE-LS-SHIRT</t>
  </si>
  <si>
    <t>Trial stitching (curve check)</t>
  </si>
  <si>
    <t>Required for shape accuracy</t>
  </si>
  <si>
    <t>Harishankar Pillai</t>
  </si>
  <si>
    <t>Preset RPM for curve control</t>
  </si>
  <si>
    <t>Depends on panel marking</t>
  </si>
  <si>
    <t>Round panels sorted beforehand</t>
  </si>
  <si>
    <t>Curved guide tools ready</t>
  </si>
  <si>
    <t>Reference template setup</t>
  </si>
  <si>
    <t>Approved template kept ready</t>
  </si>
  <si>
    <t>Sequenced for smooth flow</t>
  </si>
  <si>
    <t>Workstation preparation</t>
  </si>
  <si>
    <t>Buttonhole size setting</t>
  </si>
  <si>
    <t>Preset size using gauge</t>
  </si>
  <si>
    <t>Delay in receiving marked panels</t>
  </si>
  <si>
    <t>Dedicated buttonhole gauge kit</t>
  </si>
  <si>
    <t>Precision alignment required</t>
  </si>
  <si>
    <t>Extra handling while placing panels in clamp</t>
  </si>
  <si>
    <t>Pre-programmed stitch settings</t>
  </si>
  <si>
    <t>Time lost locating buttonhole tools/gauges</t>
  </si>
  <si>
    <t>Standard sequence for buttonhole setup</t>
  </si>
  <si>
    <t>WS-05</t>
  </si>
  <si>
    <t>Knife position setting</t>
  </si>
  <si>
    <t>Critical for cutting accuracy</t>
  </si>
  <si>
    <t>Time spent in size and knife adjustment</t>
  </si>
  <si>
    <t>BT (Buttonhole Machine)</t>
  </si>
  <si>
    <t>Clean before changeover</t>
  </si>
  <si>
    <t>High dependency on operator precision</t>
  </si>
  <si>
    <t>SOP with buttonhole size chart</t>
  </si>
  <si>
    <t>H-LIAM-BD-E-C1-263-50566988 - 710953355003-CUBDPPCS</t>
  </si>
  <si>
    <t>Quality approval required</t>
  </si>
  <si>
    <t>Aishwarya Nambiar</t>
  </si>
  <si>
    <t>Preset program input</t>
  </si>
  <si>
    <t>Panel marking alignment</t>
  </si>
  <si>
    <t>Depends on garment marking</t>
  </si>
  <si>
    <t>Garment panel staging</t>
  </si>
  <si>
    <t>Panels sorted beforehand</t>
  </si>
  <si>
    <t>Tool kit preparation</t>
  </si>
  <si>
    <t>Buttonhole tools ready</t>
  </si>
  <si>
    <t>Ordered for smooth flow</t>
  </si>
  <si>
    <t>Bar tack length setting</t>
  </si>
  <si>
    <t>Preset using control panel</t>
  </si>
  <si>
    <t>Dedicated bar tack gauge kit</t>
  </si>
  <si>
    <t>Accuracy critical for placement</t>
  </si>
  <si>
    <t>Extra movement while positioning small areas</t>
  </si>
  <si>
    <t>Pre-set tack length and stitch density</t>
  </si>
  <si>
    <t>Time spent locating gauges/tools</t>
  </si>
  <si>
    <t>Standard bar tack positioning method</t>
  </si>
  <si>
    <t>Pre-programmed setting</t>
  </si>
  <si>
    <t>Time in correcting tack position</t>
  </si>
  <si>
    <t>BT (Bar Tack Machine)</t>
  </si>
  <si>
    <t>Safety and breakage risk</t>
  </si>
  <si>
    <t>Operator skill affects placement accuracy</t>
  </si>
  <si>
    <t>SOP with placement diagram</t>
  </si>
  <si>
    <t>TRIESTE - 710B18632</t>
  </si>
  <si>
    <t>Trial bar tack run</t>
  </si>
  <si>
    <t>Required for strength check</t>
  </si>
  <si>
    <t>Karthikeya Iyer</t>
  </si>
  <si>
    <t>Clean before stoppage</t>
  </si>
  <si>
    <t>Pieces sorted and ready</t>
  </si>
  <si>
    <t>Tools kept in fixed place</t>
  </si>
  <si>
    <t>Approved tack sample ready</t>
  </si>
  <si>
    <t>Sequential flow maintained</t>
  </si>
  <si>
    <t>Checked before machine start</t>
  </si>
  <si>
    <t>Looper thread setting</t>
  </si>
  <si>
    <t>Pre-threading on spare cones</t>
  </si>
  <si>
    <t>Delay in receiving front panels</t>
  </si>
  <si>
    <t>Dedicated overlock tool kit</t>
  </si>
  <si>
    <t>Knife width adjustment</t>
  </si>
  <si>
    <t>Critical for seam allowance</t>
  </si>
  <si>
    <t>Extra movement during threading and adjustments</t>
  </si>
  <si>
    <t>Preset differential feed &amp; speed</t>
  </si>
  <si>
    <t>Differential feed setting</t>
  </si>
  <si>
    <t>Preset based on fabric type</t>
  </si>
  <si>
    <t>Time spent locating looper tools/knife</t>
  </si>
  <si>
    <t>Standard threading and setup sequence</t>
  </si>
  <si>
    <t>Thread tension balancing</t>
  </si>
  <si>
    <t>Requires live adjustment</t>
  </si>
  <si>
    <t>Time taken to balance thread tension</t>
  </si>
  <si>
    <t>OL (Overlock)</t>
  </si>
  <si>
    <t>Clean before stopping line</t>
  </si>
  <si>
    <t>Operator skill critical for seam quality</t>
  </si>
  <si>
    <t>SOP with threading diagram</t>
  </si>
  <si>
    <t>ADIRONDACK - 710953355</t>
  </si>
  <si>
    <t>Trial overlock stitching</t>
  </si>
  <si>
    <t>Required for seam quality</t>
  </si>
  <si>
    <t>Arjun Varadarajan</t>
  </si>
  <si>
    <t>Speed setting calibration</t>
  </si>
  <si>
    <t>Bundles arranged beforehand</t>
  </si>
  <si>
    <t>Knife/tools kept ready</t>
  </si>
  <si>
    <t>Reference seam sample setup</t>
  </si>
  <si>
    <t>Approved seam available</t>
  </si>
  <si>
    <t>Waste bin clearing</t>
  </si>
  <si>
    <t>Area set before operation</t>
  </si>
  <si>
    <t>RIGHT &amp; LEFT PANEL ATTACH</t>
  </si>
  <si>
    <t>Panel alignment (R &amp; L match)</t>
  </si>
  <si>
    <t>Critical for garment symmetry</t>
  </si>
  <si>
    <t>Delay in receiving matched panel sets</t>
  </si>
  <si>
    <t>Dedicated panel alignment guide kit</t>
  </si>
  <si>
    <t>Guide setup (side seam)</t>
  </si>
  <si>
    <t>Preset seam guide before start</t>
  </si>
  <si>
    <t>Extra movement during panel alignment</t>
  </si>
  <si>
    <t>Fixed seam allowance guide</t>
  </si>
  <si>
    <t>Time spent locating panel pairs/tools</t>
  </si>
  <si>
    <t>Standard panel joining sequence</t>
  </si>
  <si>
    <t>Safety + stitch accuracy</t>
  </si>
  <si>
    <t>Time taken to correct seam alignment</t>
  </si>
  <si>
    <t>Clean during running time</t>
  </si>
  <si>
    <t>High skill required for panel matching accuracy</t>
  </si>
  <si>
    <t>SOP with alignment visuals</t>
  </si>
  <si>
    <t>XW0XW07946 - 710B18632</t>
  </si>
  <si>
    <t>Trial seam stitching</t>
  </si>
  <si>
    <t xml:space="preserve">Karthikeya </t>
  </si>
  <si>
    <t>Seam allowance setting</t>
  </si>
  <si>
    <t>Preset gauge setting</t>
  </si>
  <si>
    <t>Panel bundle staging</t>
  </si>
  <si>
    <t>Right &amp; left panels paired beforehand</t>
  </si>
  <si>
    <t>Tools kept ready at station</t>
  </si>
  <si>
    <t>Approved seam sample available</t>
  </si>
  <si>
    <t>RIGHT &amp; LEFT PANEL TOP STITCH</t>
  </si>
  <si>
    <t>Edge alignment setup</t>
  </si>
  <si>
    <t>Visual accuracy required</t>
  </si>
  <si>
    <t>Delay in receiving matched panels</t>
  </si>
  <si>
    <t>Guide + seam marking tool kit</t>
  </si>
  <si>
    <t>Preset seam guide</t>
  </si>
  <si>
    <t>Preset stitch length</t>
  </si>
  <si>
    <t>Thread kit issued prior</t>
  </si>
  <si>
    <t>Time spent locating guides/tools</t>
  </si>
  <si>
    <t>Defined top stitch sequence</t>
  </si>
  <si>
    <t>Safety critical</t>
  </si>
  <si>
    <t>Time taken in seam correction</t>
  </si>
  <si>
    <t>Clean before stop</t>
  </si>
  <si>
    <t>High skill for consistent top stitch</t>
  </si>
  <si>
    <t>SOP with seam visuals</t>
  </si>
  <si>
    <t>Trial top stitch</t>
  </si>
  <si>
    <t>Karthikeya Rao</t>
  </si>
  <si>
    <t>Stitch length setting</t>
  </si>
  <si>
    <t>Preset dial setting</t>
  </si>
  <si>
    <t>Panel staging (R/L)</t>
  </si>
  <si>
    <t>Tools ready at station</t>
  </si>
  <si>
    <t>Reference seam setup</t>
  </si>
  <si>
    <t>Pre-arranged flow</t>
  </si>
  <si>
    <t>Precision dependent</t>
  </si>
  <si>
    <t>Thread prepared before</t>
  </si>
  <si>
    <t>Extra handling during dart alignment</t>
  </si>
  <si>
    <t>Preset tension control</t>
  </si>
  <si>
    <t>Time wasted finding tools</t>
  </si>
  <si>
    <t>Standard dart stitching method</t>
  </si>
  <si>
    <t>Pre-cleaning possible</t>
  </si>
  <si>
    <t>Time spent correcting dart shape</t>
  </si>
  <si>
    <t>Trial dart stitching</t>
  </si>
  <si>
    <t>Operator skill critical for dart finish</t>
  </si>
  <si>
    <t>SOP with dart diagram</t>
  </si>
  <si>
    <t>KASON-A-25-50293691 - XW0XW07946</t>
  </si>
  <si>
    <t>Stitch tension setting</t>
  </si>
  <si>
    <t>Preset tension</t>
  </si>
  <si>
    <t>Revathi Krishnamurthy</t>
  </si>
  <si>
    <t>Marked panels ready</t>
  </si>
  <si>
    <t>Tools arranged prior</t>
  </si>
  <si>
    <t>Approved dart sample ready</t>
  </si>
  <si>
    <t>Sorted bundles</t>
  </si>
  <si>
    <t>Gusset alignment setup</t>
  </si>
  <si>
    <t>Complex shape handling</t>
  </si>
  <si>
    <t>Delay in gusset panel availability</t>
  </si>
  <si>
    <t>Flatlock guide kit</t>
  </si>
  <si>
    <t>Preset attachment guide</t>
  </si>
  <si>
    <t>Extra movement during positioning</t>
  </si>
  <si>
    <t>Preset differential &amp; tension</t>
  </si>
  <si>
    <t>Time lost finding flatlock tools</t>
  </si>
  <si>
    <t>Standard gusset attachment sequence</t>
  </si>
  <si>
    <t>Looper setting</t>
  </si>
  <si>
    <t>Preset threading</t>
  </si>
  <si>
    <t>Time in gusset alignment correction</t>
  </si>
  <si>
    <t>FL (Flatlock)</t>
  </si>
  <si>
    <t>Highly skill-based operation</t>
  </si>
  <si>
    <t>SOP with gusset visuals</t>
  </si>
  <si>
    <t>Trial stitching (gusset)</t>
  </si>
  <si>
    <t>Fit accuracy required</t>
  </si>
  <si>
    <t>Suresh Balan</t>
  </si>
  <si>
    <t>Differential setting</t>
  </si>
  <si>
    <t>Preset fabric control</t>
  </si>
  <si>
    <t>Tension balancing</t>
  </si>
  <si>
    <t>Live adjustment needed</t>
  </si>
  <si>
    <t>Flatlock tools ready</t>
  </si>
  <si>
    <t>Sample available</t>
  </si>
  <si>
    <t>Ordered workflow</t>
  </si>
  <si>
    <t>Pre-cleaned</t>
  </si>
  <si>
    <t>All inputs ready</t>
  </si>
  <si>
    <t>Center alignment setup</t>
  </si>
  <si>
    <t>Delay in receiving center panels</t>
  </si>
  <si>
    <t>Seam guide kit</t>
  </si>
  <si>
    <t>Time spent locating guides</t>
  </si>
  <si>
    <t>Standard center stitch sequence</t>
  </si>
  <si>
    <t>Safety check</t>
  </si>
  <si>
    <t>Time in seam correction</t>
  </si>
  <si>
    <t>Operator precision required</t>
  </si>
  <si>
    <t>Trial stitch run</t>
  </si>
  <si>
    <t>Alignment verification</t>
  </si>
  <si>
    <t>Madhavan Godwa</t>
  </si>
  <si>
    <t>Preset dial</t>
  </si>
  <si>
    <t>Panels pre-arranged</t>
  </si>
  <si>
    <t>Tools ready</t>
  </si>
  <si>
    <t>Pre-arranged</t>
  </si>
  <si>
    <t>Done prior</t>
  </si>
  <si>
    <t>FRONT SNAP BUTTON</t>
  </si>
  <si>
    <t>Snap die setting</t>
  </si>
  <si>
    <t>Delay in snap button supply</t>
  </si>
  <si>
    <t>Snap die kit</t>
  </si>
  <si>
    <t>Button size selection</t>
  </si>
  <si>
    <t>Pre-sorted kits</t>
  </si>
  <si>
    <t>Extra movement during placement</t>
  </si>
  <si>
    <t>Preset pressure control</t>
  </si>
  <si>
    <t>Machine pressure setting</t>
  </si>
  <si>
    <t>Preset calibration</t>
  </si>
  <si>
    <t>Time lost finding snap dies</t>
  </si>
  <si>
    <t>Standard snap fixing method</t>
  </si>
  <si>
    <t>WS-06</t>
  </si>
  <si>
    <t>Alignment positioning</t>
  </si>
  <si>
    <t>Depends on marking</t>
  </si>
  <si>
    <t>Time in pressure alignment</t>
  </si>
  <si>
    <t>SNAP MACHINE</t>
  </si>
  <si>
    <t>Trial snap fixing</t>
  </si>
  <si>
    <t>Accuracy needed for snap fixing</t>
  </si>
  <si>
    <t>SOP with snap placement guide</t>
  </si>
  <si>
    <t>VOYAGER-WHITE - MW0MW41059</t>
  </si>
  <si>
    <t>Before stop</t>
  </si>
  <si>
    <t>Keerthana Pillai</t>
  </si>
  <si>
    <t>Snap kit staging</t>
  </si>
  <si>
    <t>Buttons arranged</t>
  </si>
  <si>
    <t>BUTTON HOLE FRONT × 7</t>
  </si>
  <si>
    <t>BUTTON HOLE FRONT X 7</t>
  </si>
  <si>
    <t>Preset gauge</t>
  </si>
  <si>
    <t>Delay in marked panels</t>
  </si>
  <si>
    <t>Buttonhole gauge kit</t>
  </si>
  <si>
    <t>Handling during clamp placement</t>
  </si>
  <si>
    <t>Pre-programmed cycle</t>
  </si>
  <si>
    <t>Cutting precision</t>
  </si>
  <si>
    <t>Time lost finding gauges</t>
  </si>
  <si>
    <t>Standard 7-hole sequence</t>
  </si>
  <si>
    <t>WS-04</t>
  </si>
  <si>
    <t>Time in size &amp; knife adjustment</t>
  </si>
  <si>
    <t>Program setting (7 holes)</t>
  </si>
  <si>
    <t>Pre-fed data</t>
  </si>
  <si>
    <t>SOP with layout guide</t>
  </si>
  <si>
    <t>Vigneshwaran N</t>
  </si>
  <si>
    <t>Sample setup</t>
  </si>
  <si>
    <t>Reference available</t>
  </si>
  <si>
    <t>BUTTON SEW FRONT × 7</t>
  </si>
  <si>
    <t>BUTTON SEW FRONT X 7</t>
  </si>
  <si>
    <t>Delay in button supply</t>
  </si>
  <si>
    <t>Button kit organizer</t>
  </si>
  <si>
    <t>Clamp setup</t>
  </si>
  <si>
    <t>Preset stitch count</t>
  </si>
  <si>
    <t>Time spent finding buttons/tools</t>
  </si>
  <si>
    <t>Standard button sew sequence</t>
  </si>
  <si>
    <t>Stitch count setting</t>
  </si>
  <si>
    <t>Preset program</t>
  </si>
  <si>
    <t>Time in stitch setting</t>
  </si>
  <si>
    <t>BS (Button Sewing)</t>
  </si>
  <si>
    <t>Operator skill affects strength</t>
  </si>
  <si>
    <t>SOP with placement guide</t>
  </si>
  <si>
    <t>VALERIO-A-25 - KB0KB10566</t>
  </si>
  <si>
    <t>Trial sewing</t>
  </si>
  <si>
    <t>Strength check</t>
  </si>
  <si>
    <t>Saravanan Krishnan</t>
  </si>
  <si>
    <t>Button staging</t>
  </si>
  <si>
    <t>Delay in tape roll supply</t>
  </si>
  <si>
    <t>Tape guide kit</t>
  </si>
  <si>
    <t>Guide attachment setup</t>
  </si>
  <si>
    <t>Preset attachment</t>
  </si>
  <si>
    <t>Extra movement during tape alignment</t>
  </si>
  <si>
    <t>Preset stitch + guide</t>
  </si>
  <si>
    <t>Time lost finding guides/tools</t>
  </si>
  <si>
    <t>Standard placket hemming sequence</t>
  </si>
  <si>
    <t>Time in tape positioning</t>
  </si>
  <si>
    <t>Pre-cleaning</t>
  </si>
  <si>
    <t>Operator skill affects alignment</t>
  </si>
  <si>
    <t>SOP with tape placement visuals</t>
  </si>
  <si>
    <t>710953355 - TRIESTE</t>
  </si>
  <si>
    <t>Trial hem with tape</t>
  </si>
  <si>
    <t xml:space="preserve">Shobana D V </t>
  </si>
  <si>
    <t>Tape roll staging</t>
  </si>
  <si>
    <t>Tape prepared in advance</t>
  </si>
  <si>
    <t>Tools arranged</t>
  </si>
  <si>
    <t>Approved placket ready</t>
  </si>
  <si>
    <t>Ordered panels</t>
  </si>
  <si>
    <t>Flap edge alignment</t>
  </si>
  <si>
    <t>Visual precision needed</t>
  </si>
  <si>
    <t>Delay in flap panel supply</t>
  </si>
  <si>
    <t>Flap alignment guide</t>
  </si>
  <si>
    <t>Thread issued prior</t>
  </si>
  <si>
    <t>Extra movement in alignment</t>
  </si>
  <si>
    <t>Time lost locating tools</t>
  </si>
  <si>
    <t>Standard flap stitching flow</t>
  </si>
  <si>
    <t>Time in stitch correction</t>
  </si>
  <si>
    <t>Trial run stitch</t>
  </si>
  <si>
    <t>Initial quality check</t>
  </si>
  <si>
    <t>Moderate operator skill needed</t>
  </si>
  <si>
    <t>SOP with flap visuals</t>
  </si>
  <si>
    <t>Flap bundle staging</t>
  </si>
  <si>
    <t>Sorted pieces ready</t>
  </si>
  <si>
    <t>Gokul Rajan</t>
  </si>
  <si>
    <t>Tools pre-arranged</t>
  </si>
  <si>
    <t>Reference flap setup</t>
  </si>
  <si>
    <t>Area ready</t>
  </si>
  <si>
    <t>Flow optimized</t>
  </si>
  <si>
    <t>Top stitch guide setup</t>
  </si>
  <si>
    <t>Preset guide</t>
  </si>
  <si>
    <t>Delay in flap supply</t>
  </si>
  <si>
    <t>Top stitch guide kit</t>
  </si>
  <si>
    <t>Edge alignment</t>
  </si>
  <si>
    <t>Time lost locating guides</t>
  </si>
  <si>
    <t>Standard top stitch sequence</t>
  </si>
  <si>
    <t>WS-17</t>
  </si>
  <si>
    <t>Time correcting stitch line</t>
  </si>
  <si>
    <t>High for neat finish</t>
  </si>
  <si>
    <t>MW0MW41059 - 710968971</t>
  </si>
  <si>
    <t>Meghala Srinivasan</t>
  </si>
  <si>
    <t>Flap staging</t>
  </si>
  <si>
    <t>Pieces sorted</t>
  </si>
  <si>
    <t>Flow maintained</t>
  </si>
  <si>
    <t>Flap placement alignment</t>
  </si>
  <si>
    <t>Position accuracy required</t>
  </si>
  <si>
    <t>Delay in flap panels</t>
  </si>
  <si>
    <t>Flap positioning guide</t>
  </si>
  <si>
    <t>Extra positioning movement</t>
  </si>
  <si>
    <t>Standard flap attach flow</t>
  </si>
  <si>
    <t>WS-20</t>
  </si>
  <si>
    <t>Time correcting placement</t>
  </si>
  <si>
    <t>SOP with placement visuals</t>
  </si>
  <si>
    <t>Trial attachment stitch</t>
  </si>
  <si>
    <t>Quality approval</t>
  </si>
  <si>
    <t xml:space="preserve">Vinod Kumar </t>
  </si>
  <si>
    <t>Stitch setting adjustment</t>
  </si>
  <si>
    <t>Preset length</t>
  </si>
  <si>
    <t>Flow organized</t>
  </si>
  <si>
    <t>Inputs prepared</t>
  </si>
  <si>
    <t>Pre-adjust trimming tool</t>
  </si>
  <si>
    <t>Delay in flap pieces supply</t>
  </si>
  <si>
    <t>Edge trimming + finishing kit</t>
  </si>
  <si>
    <t>Extra handling during finishing</t>
  </si>
  <si>
    <t>Preset stitch &amp; trim</t>
  </si>
  <si>
    <t>Visual finishing required</t>
  </si>
  <si>
    <t>Time lost finding trimming tools</t>
  </si>
  <si>
    <t>Standard finishing sequence</t>
  </si>
  <si>
    <t>WS-23</t>
  </si>
  <si>
    <t>Time correcting edge finish</t>
  </si>
  <si>
    <t>SOP with finish visuals</t>
  </si>
  <si>
    <t>Trial finishing stitch</t>
  </si>
  <si>
    <t>Deepa Chandran</t>
  </si>
  <si>
    <t>Pieces arranged beforehand</t>
  </si>
  <si>
    <t>Finishing tools ready</t>
  </si>
  <si>
    <t>Reference finish sample</t>
  </si>
  <si>
    <t>Approved sample kept</t>
  </si>
  <si>
    <t>Area ready before start</t>
  </si>
  <si>
    <t>Placket alignment setup</t>
  </si>
  <si>
    <t>Delay in placket panel availability</t>
  </si>
  <si>
    <t>DNLS gauge kit</t>
  </si>
  <si>
    <t>DNLS needle setting</t>
  </si>
  <si>
    <t>Dual needle alignment critical</t>
  </si>
  <si>
    <t>Extra handling during alignment</t>
  </si>
  <si>
    <t>Preset needle gap</t>
  </si>
  <si>
    <t>Time spent finding DNLS tools</t>
  </si>
  <si>
    <t>Standard placket attach method</t>
  </si>
  <si>
    <t>Gauge setting</t>
  </si>
  <si>
    <t>Preset spacing</t>
  </si>
  <si>
    <t>Time in needle/gauge correction</t>
  </si>
  <si>
    <t>High skill for double needle accuracy</t>
  </si>
  <si>
    <t>SOP with placket diagram</t>
  </si>
  <si>
    <t>710953355 - H-LIAM-BD-E-C1-263-50566988</t>
  </si>
  <si>
    <t>Rajeshwaran K</t>
  </si>
  <si>
    <t>Stitch width setting</t>
  </si>
  <si>
    <t>Panel dependent</t>
  </si>
  <si>
    <t>Placket panel staging</t>
  </si>
  <si>
    <t>DNLS tools ready</t>
  </si>
  <si>
    <t>Approved placket sample</t>
  </si>
  <si>
    <t>Inputs arranged</t>
  </si>
  <si>
    <t>LEFT FRONT HEM</t>
  </si>
  <si>
    <t>Hem fold setup</t>
  </si>
  <si>
    <t>Delay in panel availability</t>
  </si>
  <si>
    <t>Extra movement during folding</t>
  </si>
  <si>
    <t>Preset differential feed</t>
  </si>
  <si>
    <t>Standard hemming sequence</t>
  </si>
  <si>
    <t>WS-13</t>
  </si>
  <si>
    <t>Time correcting hem width</t>
  </si>
  <si>
    <t>Moderate-high skill needed</t>
  </si>
  <si>
    <t>SOP with hem visuals</t>
  </si>
  <si>
    <t>Sruthi Narayanan</t>
  </si>
  <si>
    <t>Panels ready</t>
  </si>
  <si>
    <t>Approved hem sample</t>
  </si>
  <si>
    <t>Manual alignment setup</t>
  </si>
  <si>
    <t>Highly operator dependent</t>
  </si>
  <si>
    <t>Delay in placket supply</t>
  </si>
  <si>
    <t>Manual alignment guide</t>
  </si>
  <si>
    <t>Extra manual positioning</t>
  </si>
  <si>
    <t>Standard manual attach method</t>
  </si>
  <si>
    <t>Time correcting alignment</t>
  </si>
  <si>
    <t>SNLS (Manual Handling)</t>
  </si>
  <si>
    <t>Very high (manual accuracy)</t>
  </si>
  <si>
    <t>Murugan Selvam</t>
  </si>
  <si>
    <t>Placket staging</t>
  </si>
  <si>
    <t>Flow arranged</t>
  </si>
  <si>
    <t>Manual placket positioning</t>
  </si>
  <si>
    <t>Accuracy depends on operator</t>
  </si>
  <si>
    <t>Delay in placket pieces</t>
  </si>
  <si>
    <t>Manual positioning guide</t>
  </si>
  <si>
    <t>Thread issued before</t>
  </si>
  <si>
    <t>Extra hand movement during manual placement</t>
  </si>
  <si>
    <t>Preset stitch control</t>
  </si>
  <si>
    <t>Time spent locating tools</t>
  </si>
  <si>
    <t>Standard manual placket method</t>
  </si>
  <si>
    <t>WS-26</t>
  </si>
  <si>
    <t>Very high operator dependency</t>
  </si>
  <si>
    <t>KB0KB10566 - 710953355</t>
  </si>
  <si>
    <t>Kavitha Raghavan</t>
  </si>
  <si>
    <t>Panel marking dependent</t>
  </si>
  <si>
    <t>Slit edge alignment</t>
  </si>
  <si>
    <t>Critical for symmetry</t>
  </si>
  <si>
    <t>Delay in slit panels</t>
  </si>
  <si>
    <t>Slit hemming guide</t>
  </si>
  <si>
    <t>Extra handling during slit alignment</t>
  </si>
  <si>
    <t>Preset differential</t>
  </si>
  <si>
    <t>Time lost finding tools</t>
  </si>
  <si>
    <t>Standard slit hem sequence</t>
  </si>
  <si>
    <t>Time correcting hem near slit</t>
  </si>
  <si>
    <t>High for neat slit finishing</t>
  </si>
  <si>
    <t>SOP with slit visuals</t>
  </si>
  <si>
    <t>W0MW44205-AI-COTLIN-JACQUARD - BN-5D</t>
  </si>
  <si>
    <t>Trial hemming at slit</t>
  </si>
  <si>
    <t>Praveen Kumar N</t>
  </si>
  <si>
    <t>Preset control</t>
  </si>
  <si>
    <t>Sorted panels</t>
  </si>
  <si>
    <t>Reference hem sample</t>
  </si>
  <si>
    <t>Single panel alignment</t>
  </si>
  <si>
    <t>DNLS gauge tool kit</t>
  </si>
  <si>
    <t>DNLS needle gap setting</t>
  </si>
  <si>
    <t>Critical spacing</t>
  </si>
  <si>
    <t>Extra movement in positioning</t>
  </si>
  <si>
    <t>Preset needle spacing</t>
  </si>
  <si>
    <t>Standard placket attach flow</t>
  </si>
  <si>
    <t>Gauge setup</t>
  </si>
  <si>
    <t>Preset measurement</t>
  </si>
  <si>
    <t>Time correcting placket alignment</t>
  </si>
  <si>
    <t>SOP with placket visuals</t>
  </si>
  <si>
    <t>Trial placket stitch</t>
  </si>
  <si>
    <t>Anil Madhavan</t>
  </si>
  <si>
    <t>Depends on panel</t>
  </si>
  <si>
    <t>Hem fold alignment</t>
  </si>
  <si>
    <t>Extra handling during fold</t>
  </si>
  <si>
    <t>Standard hemming flow</t>
  </si>
  <si>
    <t>Trial hem stitch</t>
  </si>
  <si>
    <t>Naveen Krishnan</t>
  </si>
  <si>
    <t>Panels arranged</t>
  </si>
  <si>
    <t>Reference hem setup</t>
  </si>
  <si>
    <t>FRONT SLIT</t>
  </si>
  <si>
    <t>Slit marking alignment</t>
  </si>
  <si>
    <t>Slit guide attachment</t>
  </si>
  <si>
    <t>Preset slit guide</t>
  </si>
  <si>
    <t>Preset stitch setting</t>
  </si>
  <si>
    <t>Standard slit sequence</t>
  </si>
  <si>
    <t>Time correcting slit line</t>
  </si>
  <si>
    <t>Trial slit stitching</t>
  </si>
  <si>
    <t>Ramya Venkatesh</t>
  </si>
  <si>
    <t>Approved slit sample</t>
  </si>
  <si>
    <t>Button size setting</t>
  </si>
  <si>
    <t>Button gauge kit</t>
  </si>
  <si>
    <t>Extra handling during placement</t>
  </si>
  <si>
    <t>Preset button program</t>
  </si>
  <si>
    <t>Standard button sewing sequence</t>
  </si>
  <si>
    <t>Button Sew (BS)</t>
  </si>
  <si>
    <t>SOP with button layout</t>
  </si>
  <si>
    <t>710B18632 - KASON-A-25-50293691</t>
  </si>
  <si>
    <t>Trial button sew</t>
  </si>
  <si>
    <t>Pradeep N</t>
  </si>
  <si>
    <t>Feed setting</t>
  </si>
  <si>
    <t>Button staging (8 pcs)</t>
  </si>
  <si>
    <t>FRONT BUTTON HOLE – 8</t>
  </si>
  <si>
    <t>FRONT BUTTON HOLE - 8</t>
  </si>
  <si>
    <t>Extra placement handling</t>
  </si>
  <si>
    <t>Preset stitch program</t>
  </si>
  <si>
    <t>Critical cutting accuracy</t>
  </si>
  <si>
    <t>Standard buttonhole sequence</t>
  </si>
  <si>
    <t>Time correcting size/cut</t>
  </si>
  <si>
    <t>BT (Buttonhole)</t>
  </si>
  <si>
    <t>SOP with size chart</t>
  </si>
  <si>
    <t>710968971 - BN-5D</t>
  </si>
  <si>
    <t>Sathish Kumar</t>
  </si>
  <si>
    <t>Panel alignment</t>
  </si>
  <si>
    <t>Delay in RFID labels</t>
  </si>
  <si>
    <t>Label positioning guide</t>
  </si>
  <si>
    <t>Extra handling for placement</t>
  </si>
  <si>
    <t>Time lost finding labels/tools</t>
  </si>
  <si>
    <t>Standard RFID attach sequence</t>
  </si>
  <si>
    <t>Time correcting position</t>
  </si>
  <si>
    <t>Moderate accuracy required</t>
  </si>
  <si>
    <t>KB0KB10566 - H-HANK-SP-DC-263</t>
  </si>
  <si>
    <t>RFID label staging</t>
  </si>
  <si>
    <t>Labels pre-arranged</t>
  </si>
  <si>
    <t>Anitha Krishnan</t>
  </si>
  <si>
    <t>Scanner check setup</t>
  </si>
  <si>
    <t>Pre-verified tags</t>
  </si>
  <si>
    <t>Reference placement sample</t>
  </si>
  <si>
    <t>FRONT PLACKET FINISHING – DILLARD</t>
  </si>
  <si>
    <t>FRONT PLACKET FINISHING - DILLARD</t>
  </si>
  <si>
    <t>Edge finishing alignment</t>
  </si>
  <si>
    <t>Visual quality critical</t>
  </si>
  <si>
    <t>Finishing guide kit</t>
  </si>
  <si>
    <t>Extra hand movement in finishing</t>
  </si>
  <si>
    <t>Preset finishing guide</t>
  </si>
  <si>
    <t>Time correcting finishing seam</t>
  </si>
  <si>
    <t>High finishing skill required</t>
  </si>
  <si>
    <t>SOP with finishing visuals</t>
  </si>
  <si>
    <t>Anandh Krishnan</t>
  </si>
  <si>
    <t>FRONT PLACKET TACKING – DILLARD</t>
  </si>
  <si>
    <t>FRONT PLACKET TACKING - DILLARD</t>
  </si>
  <si>
    <t>Tack position alignment</t>
  </si>
  <si>
    <t>Delay in placket panels</t>
  </si>
  <si>
    <t>Tack positioning gauge</t>
  </si>
  <si>
    <t>Standard tacking method</t>
  </si>
  <si>
    <t>WS-27</t>
  </si>
  <si>
    <t>Time correcting tack position</t>
  </si>
  <si>
    <t>BT (Bar Tack)</t>
  </si>
  <si>
    <t>SOP with tack diagram</t>
  </si>
  <si>
    <t>Approved tack sample</t>
  </si>
  <si>
    <t>Manual jet alignment</t>
  </si>
  <si>
    <t>Highly skill dependent</t>
  </si>
  <si>
    <t>Jet template kit</t>
  </si>
  <si>
    <t>Extra manual movement</t>
  </si>
  <si>
    <t>Time spent locating templates</t>
  </si>
  <si>
    <t>Standard jet sew method</t>
  </si>
  <si>
    <t>Time correcting jet alignment</t>
  </si>
  <si>
    <t>SNLS (Manual)</t>
  </si>
  <si>
    <t>Trial jet stitching</t>
  </si>
  <si>
    <t>Very high (manual operation)</t>
  </si>
  <si>
    <t>SOP with jet diagram</t>
  </si>
  <si>
    <t>710953355003-CUBDPPCS - H-HANK-SP-DC-263</t>
  </si>
  <si>
    <t>Stitch setting</t>
  </si>
  <si>
    <t>Balaji Subramaniam</t>
  </si>
  <si>
    <t>Template positioning</t>
  </si>
  <si>
    <t>Manual accuracy required</t>
  </si>
  <si>
    <t>WASH CARE LABEL READY</t>
  </si>
  <si>
    <t>Delay in label availability</t>
  </si>
  <si>
    <t>Label guide kit</t>
  </si>
  <si>
    <t>Preset label guide</t>
  </si>
  <si>
    <t>Time lost locating labels/tools</t>
  </si>
  <si>
    <t>Standard label attach method</t>
  </si>
  <si>
    <t>WS-29</t>
  </si>
  <si>
    <t>Time correcting label placement</t>
  </si>
  <si>
    <t>Trial stitch</t>
  </si>
  <si>
    <t>SOP with label visuals</t>
  </si>
  <si>
    <t>ADIRONDACK - MW0MW41059</t>
  </si>
  <si>
    <t>Label staging</t>
  </si>
  <si>
    <t>Labels pre-issued</t>
  </si>
  <si>
    <t>Priyanka Venkatesh</t>
  </si>
  <si>
    <t>Reference label sample</t>
  </si>
  <si>
    <t>Badge placement alignment</t>
  </si>
  <si>
    <t>Position accuracy critical</t>
  </si>
  <si>
    <t>Delay in badge availability</t>
  </si>
  <si>
    <t>Badge placement jig</t>
  </si>
  <si>
    <t>Template setup</t>
  </si>
  <si>
    <t>Preset using jig</t>
  </si>
  <si>
    <t>Preset stitch pattern</t>
  </si>
  <si>
    <t>Standard badge attach sequence</t>
  </si>
  <si>
    <t>Time correcting badge alignment</t>
  </si>
  <si>
    <t>Trial badge stitch</t>
  </si>
  <si>
    <t>Ramya Vishwanathan</t>
  </si>
  <si>
    <t>Badge staging</t>
  </si>
  <si>
    <t>Badges sorted beforehand</t>
  </si>
  <si>
    <t>Attachment tools ready</t>
  </si>
  <si>
    <t>Reference badge sample</t>
  </si>
  <si>
    <t>Buttonhole length setting</t>
  </si>
  <si>
    <t>Extra handling during clamp setting</t>
  </si>
  <si>
    <t>Time spent finding gauges</t>
  </si>
  <si>
    <t>Cutting precision required</t>
  </si>
  <si>
    <t>Time in size/knife correction</t>
  </si>
  <si>
    <t>SLHRLXHOLGER-STRIPE-LS-SHIRT - H-ROB-SP-P-263-A-01-50567029</t>
  </si>
  <si>
    <t>Trial buttonhole</t>
  </si>
  <si>
    <t>Naveen Kumaraswamy</t>
  </si>
  <si>
    <t>Preset machine program</t>
  </si>
  <si>
    <t>Panels sorted</t>
  </si>
  <si>
    <t xml:space="preserve">   </t>
  </si>
  <si>
    <t>Placket guide kit</t>
  </si>
  <si>
    <t>Time correcting seam alignment</t>
  </si>
  <si>
    <t>Anirudh Raghavan</t>
  </si>
  <si>
    <t>Preset hem guide</t>
  </si>
  <si>
    <t>Time correcting hem alignment</t>
  </si>
  <si>
    <t>Lalitha Subbiah</t>
  </si>
  <si>
    <t>Hem folding setup</t>
  </si>
  <si>
    <t>Delay in pocket panels</t>
  </si>
  <si>
    <t>Preset hemming guide</t>
  </si>
  <si>
    <t>Preset fold width</t>
  </si>
  <si>
    <t>Time correcting fold width</t>
  </si>
  <si>
    <t>TRIESTE - VOYAGER-WHITE</t>
  </si>
  <si>
    <t>Harini Venkatesh</t>
  </si>
  <si>
    <t>Pocket staging</t>
  </si>
  <si>
    <t>Pieces sorted beforehand</t>
  </si>
  <si>
    <t>POCKET ATTACH – ROUND SHAPE</t>
  </si>
  <si>
    <t>Curve alignment setup</t>
  </si>
  <si>
    <t>Delay in pocket pieces</t>
  </si>
  <si>
    <t>Curved template kit</t>
  </si>
  <si>
    <t>Preset template</t>
  </si>
  <si>
    <t>Extra handling for curved alignment</t>
  </si>
  <si>
    <t>Preset speed control</t>
  </si>
  <si>
    <t>Time lost finding templates</t>
  </si>
  <si>
    <t>Standard round attach method</t>
  </si>
  <si>
    <t>Time correcting curve shape</t>
  </si>
  <si>
    <t>SOP with curve visuals</t>
  </si>
  <si>
    <t>Trial curve stitch</t>
  </si>
  <si>
    <t>Senthil Kumar</t>
  </si>
  <si>
    <t>Reference template</t>
  </si>
  <si>
    <t>Inputs ready</t>
  </si>
  <si>
    <t>WASH CARE LABEL ATTACH</t>
  </si>
  <si>
    <t>Label placement alignment</t>
  </si>
  <si>
    <t>Position accuracy needed</t>
  </si>
  <si>
    <t>Delay in label supply</t>
  </si>
  <si>
    <t>Time spent finding labels</t>
  </si>
  <si>
    <t>WS-01</t>
  </si>
  <si>
    <t>XW0XW07946 - VALERIO-A-25</t>
  </si>
  <si>
    <t>Labels sorted beforehand</t>
  </si>
  <si>
    <t>Kavitha Ramesh</t>
  </si>
  <si>
    <t>Reference label setup</t>
  </si>
  <si>
    <t>Complex positioning</t>
  </si>
  <si>
    <t>Delay in gusset panels</t>
  </si>
  <si>
    <t>Gusset guide kit</t>
  </si>
  <si>
    <t>Standard gusset attach sequence</t>
  </si>
  <si>
    <t>Time correcting gusset alignment</t>
  </si>
  <si>
    <t>Balakrishnan Nair</t>
  </si>
  <si>
    <t>Live adjustment</t>
  </si>
  <si>
    <t>Gusset staging</t>
  </si>
  <si>
    <t>Patti alignment setup</t>
  </si>
  <si>
    <t>Edge accuracy critical</t>
  </si>
  <si>
    <t>Delay in patti supply</t>
  </si>
  <si>
    <t>Preset guide attachment</t>
  </si>
  <si>
    <t>Standard patti attach sequence</t>
  </si>
  <si>
    <t>Time correcting edge seam</t>
  </si>
  <si>
    <t>SOP with edge visuals</t>
  </si>
  <si>
    <t>Sanjana Prakash</t>
  </si>
  <si>
    <t>Patti staging</t>
  </si>
  <si>
    <t>Approved edge sample</t>
  </si>
  <si>
    <t>Edge finishing setup</t>
  </si>
  <si>
    <t>Preset trimming</t>
  </si>
  <si>
    <t>Finishing tool kit</t>
  </si>
  <si>
    <t>Extra movement during finishing</t>
  </si>
  <si>
    <t>Preset stitch</t>
  </si>
  <si>
    <t>Visual finishing needed</t>
  </si>
  <si>
    <t>Standard finishing method</t>
  </si>
  <si>
    <t>Time correcting finish</t>
  </si>
  <si>
    <t>Keerthana Balaji</t>
  </si>
  <si>
    <t>Sample ready</t>
  </si>
  <si>
    <t>Preset cones</t>
  </si>
  <si>
    <t>Delay in sleeve panels</t>
  </si>
  <si>
    <t>Overlock tool kit</t>
  </si>
  <si>
    <t>Knife width setting</t>
  </si>
  <si>
    <t>Seam allowance critical</t>
  </si>
  <si>
    <t>Extra movement during threading</t>
  </si>
  <si>
    <t>Preset differential &amp; speed</t>
  </si>
  <si>
    <t>Preset setting</t>
  </si>
  <si>
    <t>Standard OL setup sequence</t>
  </si>
  <si>
    <t>Time correcting tension</t>
  </si>
  <si>
    <t>KB0KB10566 - MW0MW41059</t>
  </si>
  <si>
    <t>Trial overlock stitch</t>
  </si>
  <si>
    <t>Pradeep Nair</t>
  </si>
  <si>
    <t>Sleeve staging</t>
  </si>
  <si>
    <t>Reference seam</t>
  </si>
  <si>
    <t>Waste clearing</t>
  </si>
  <si>
    <t>Guide attachment</t>
  </si>
  <si>
    <t>Standard tape attach method</t>
  </si>
  <si>
    <t>Trial tape stitch</t>
  </si>
  <si>
    <t>Kavitha Raman</t>
  </si>
  <si>
    <t>Tape staging</t>
  </si>
  <si>
    <t>Rolling alignment setup</t>
  </si>
  <si>
    <t>Rolling guide attachment</t>
  </si>
  <si>
    <t>Guide roller setup</t>
  </si>
  <si>
    <t>Preset roller guide</t>
  </si>
  <si>
    <t>Extra handling during rolling</t>
  </si>
  <si>
    <t>Time spent finding guides</t>
  </si>
  <si>
    <t>Standard rolling sequence</t>
  </si>
  <si>
    <t>Time correcting roll width</t>
  </si>
  <si>
    <t>High for uniform rolling</t>
  </si>
  <si>
    <t>Trial rolling stitch</t>
  </si>
  <si>
    <t>Bar tack gauge kit</t>
  </si>
  <si>
    <t>Standard bar tack sequence</t>
  </si>
  <si>
    <t>Time in tack correction</t>
  </si>
  <si>
    <t>Trial bar tack</t>
  </si>
  <si>
    <t>Reference tack sample</t>
  </si>
  <si>
    <t>Tab folding setup</t>
  </si>
  <si>
    <t>Manual precision needed</t>
  </si>
  <si>
    <t>Delay in tab pieces</t>
  </si>
  <si>
    <t>Tab folding template</t>
  </si>
  <si>
    <t>Standard tab preparation flow</t>
  </si>
  <si>
    <t>WS-24</t>
  </si>
  <si>
    <t>Time correcting fold</t>
  </si>
  <si>
    <t>High manual accuracy required</t>
  </si>
  <si>
    <t>Tab piece staging</t>
  </si>
  <si>
    <t>Pre-arranged pieces</t>
  </si>
  <si>
    <t>Divakaran Pillai</t>
  </si>
  <si>
    <t>Tab placement alignment</t>
  </si>
  <si>
    <t>Tab positioning guide</t>
  </si>
  <si>
    <t>Standard tab attach sequence</t>
  </si>
  <si>
    <t>Trial attach stitch</t>
  </si>
  <si>
    <t>Hemalatha Krishnan</t>
  </si>
  <si>
    <t>Tab staging</t>
  </si>
  <si>
    <t>Patch alignment setup</t>
  </si>
  <si>
    <t>Curved placement accuracy</t>
  </si>
  <si>
    <t>Delay in patch supply</t>
  </si>
  <si>
    <t>Elbow patch template kit</t>
  </si>
  <si>
    <t>Preset elbow template</t>
  </si>
  <si>
    <t>Preset stitch density</t>
  </si>
  <si>
    <t>Standard patch attach method</t>
  </si>
  <si>
    <t>Time correcting patch position</t>
  </si>
  <si>
    <t>High for symmetry</t>
  </si>
  <si>
    <t>Trial patch stitch</t>
  </si>
  <si>
    <t>Template/tools ready</t>
  </si>
  <si>
    <t>Approved patch sample</t>
  </si>
  <si>
    <t>Standard sleeve hemming</t>
  </si>
  <si>
    <t>Hemalatha R</t>
  </si>
  <si>
    <t>Sleeves arranged</t>
  </si>
  <si>
    <t>Tack position setup</t>
  </si>
  <si>
    <t>Delay in sleeve pieces</t>
  </si>
  <si>
    <t>OL tool kit</t>
  </si>
  <si>
    <t>Preset tack position</t>
  </si>
  <si>
    <t>Time finding OL tools</t>
  </si>
  <si>
    <t>Standard tack sequence</t>
  </si>
  <si>
    <t>Critical for trimming</t>
  </si>
  <si>
    <t>Style OT410 → Style OT438</t>
  </si>
  <si>
    <t>Trial tack stitch</t>
  </si>
  <si>
    <t>Pradeep Menon</t>
  </si>
  <si>
    <t>SLEEVE FRENCH FELL 1</t>
  </si>
  <si>
    <t>French fell guide kit</t>
  </si>
  <si>
    <t>Preset fold guide</t>
  </si>
  <si>
    <t>Time locating tools</t>
  </si>
  <si>
    <t>Standard fell seam process</t>
  </si>
  <si>
    <t>Time correcting seam fold</t>
  </si>
  <si>
    <t>Very high skill required</t>
  </si>
  <si>
    <t xml:space="preserve"> 710B18632 - H-LIAM-BD-E-C1-263-50566988 </t>
  </si>
  <si>
    <t>Keerthana Venkatesh</t>
  </si>
  <si>
    <t>Seam folding adjustment</t>
  </si>
  <si>
    <t>Reference seam sample</t>
  </si>
  <si>
    <t>SLEEVE FRENCH FELL 2</t>
  </si>
  <si>
    <t>Double fold accuracy critical</t>
  </si>
  <si>
    <t>Preset fell guide</t>
  </si>
  <si>
    <t>Time spent finding guides/tools</t>
  </si>
  <si>
    <t>Standard folding sequence</t>
  </si>
  <si>
    <t>Safety + seam accuracy</t>
  </si>
  <si>
    <t>Time correcting fold alignment</t>
  </si>
  <si>
    <t>High skill for French seam</t>
  </si>
  <si>
    <t>SOP with fold diagrams</t>
  </si>
  <si>
    <t>Trial fell seam</t>
  </si>
  <si>
    <t>Pradeep Narayan</t>
  </si>
  <si>
    <t>Edge folding adjustment</t>
  </si>
  <si>
    <t>Sleeve panel staging</t>
  </si>
  <si>
    <t>Fell tools ready</t>
  </si>
  <si>
    <t>SEW PLEATS ON SLEEVE X1</t>
  </si>
  <si>
    <t>Depends on marking accuracy</t>
  </si>
  <si>
    <t>Delay in marked sleeves</t>
  </si>
  <si>
    <t>Pleat marking template</t>
  </si>
  <si>
    <t>Standard pleat sequence</t>
  </si>
  <si>
    <t>Time correcting pleat alignment</t>
  </si>
  <si>
    <t>Trial pleat stitch</t>
  </si>
  <si>
    <t>SOP with pleat visuals</t>
  </si>
  <si>
    <t>XW0XW07946 - MW0MW43996</t>
  </si>
  <si>
    <t>Marked sleeves ready</t>
  </si>
  <si>
    <t>Reference pleat sample</t>
  </si>
  <si>
    <t>Delay in tape material</t>
  </si>
  <si>
    <t>Preset tape guide</t>
  </si>
  <si>
    <t>Standard tape attach flow</t>
  </si>
  <si>
    <t>Time correcting tape placement</t>
  </si>
  <si>
    <t>Venkatesh Iyer</t>
  </si>
  <si>
    <t>Placket fold alignment</t>
  </si>
  <si>
    <t>Placket folding guide</t>
  </si>
  <si>
    <t>Standard concealed placket method</t>
  </si>
  <si>
    <t>Time correcting concealed alignment</t>
  </si>
  <si>
    <t>SOP with diagrams</t>
  </si>
  <si>
    <t>SLEEVE PLACKET LABEL ATTACH</t>
  </si>
  <si>
    <t>Label guide attachment</t>
  </si>
  <si>
    <t>Time spent finding labels/tools</t>
  </si>
  <si>
    <t>Time correcting label position</t>
  </si>
  <si>
    <t>BN-5D - SLHRLXHOLGER-STRIPE-LS-SHIRT</t>
  </si>
  <si>
    <t>Manual precision required</t>
  </si>
  <si>
    <t>Fold guide attachment</t>
  </si>
  <si>
    <t>Standard fold sequence</t>
  </si>
  <si>
    <t>High for neat folding</t>
  </si>
  <si>
    <t>SOP with fold visuals</t>
  </si>
  <si>
    <t>Trial fold stitch</t>
  </si>
  <si>
    <t>Vignesh R</t>
  </si>
  <si>
    <t>T/S SHOULDER (Top Stitch Shoulder)</t>
  </si>
  <si>
    <t>T/S SHOULDER</t>
  </si>
  <si>
    <t>Shoulder seam alignment</t>
  </si>
  <si>
    <t>Delay in panels</t>
  </si>
  <si>
    <t>Standard shoulder stitching</t>
  </si>
  <si>
    <t>Time correcting seam line</t>
  </si>
  <si>
    <t>High for straight seam</t>
  </si>
  <si>
    <t>Gusset placement alignment</t>
  </si>
  <si>
    <t>Extra movement in placement</t>
  </si>
  <si>
    <t>Standard gusset attach flow</t>
  </si>
  <si>
    <t>Highly skill-based</t>
  </si>
  <si>
    <t>Trial stitch (gusset)</t>
  </si>
  <si>
    <t>Rajalakshmi S</t>
  </si>
  <si>
    <t>Gussets arranged beforehand</t>
  </si>
  <si>
    <t>Delay in gusset pieces</t>
  </si>
  <si>
    <t>Flatlock finishing kit</t>
  </si>
  <si>
    <t>Time correcting finish seam</t>
  </si>
  <si>
    <t>Pradeep A C</t>
  </si>
  <si>
    <t>BUTTON DOWN (Button Attach)</t>
  </si>
  <si>
    <t>Button size setup</t>
  </si>
  <si>
    <t>BT (Button Attach)</t>
  </si>
  <si>
    <t>Trial button attach</t>
  </si>
  <si>
    <t>Buttons sorted</t>
  </si>
  <si>
    <t>Design program selection</t>
  </si>
  <si>
    <t>Time spent finding threads/tools</t>
  </si>
  <si>
    <t>Standard stitching sequence</t>
  </si>
  <si>
    <t>Pattern alignment</t>
  </si>
  <si>
    <t>Time correcting design alignment</t>
  </si>
  <si>
    <t>SNLS (Programmable)</t>
  </si>
  <si>
    <t>High for aesthetic finish</t>
  </si>
  <si>
    <t>SOP with design visuals</t>
  </si>
  <si>
    <t>Trial decorative stitch</t>
  </si>
  <si>
    <t>Design validation</t>
  </si>
  <si>
    <t>Aravind Swaminathan</t>
  </si>
  <si>
    <t>Reference design sample</t>
  </si>
  <si>
    <t>Extra handling during folding</t>
  </si>
  <si>
    <t>Kavitha Balakrishnan</t>
  </si>
  <si>
    <t>Initial seam alignment</t>
  </si>
  <si>
    <t>Fold positioning setup</t>
  </si>
  <si>
    <t>Standard fell seam method</t>
  </si>
  <si>
    <t>Very high (precision folding)</t>
  </si>
  <si>
    <t>Manoj Kannan</t>
  </si>
  <si>
    <t>Second fold alignment</t>
  </si>
  <si>
    <t>Delay in semi-finished panels</t>
  </si>
  <si>
    <t>Edge folding guide</t>
  </si>
  <si>
    <t>Edge tuck positioning</t>
  </si>
  <si>
    <t>Manual skill dependent</t>
  </si>
  <si>
    <t>Extra movement during second fold</t>
  </si>
  <si>
    <t>Standard fell seam continuation</t>
  </si>
  <si>
    <t>Time correcting seam finish</t>
  </si>
  <si>
    <t>Extremely high precision required</t>
  </si>
  <si>
    <t>Anitha Rajendran</t>
  </si>
  <si>
    <t>Tension adjustment</t>
  </si>
  <si>
    <t>Line matching alignment</t>
  </si>
  <si>
    <t>Visual precision required</t>
  </si>
  <si>
    <t>Alignment guide</t>
  </si>
  <si>
    <t>Panel positioning</t>
  </si>
  <si>
    <t>Dependent on markings</t>
  </si>
  <si>
    <t>Extra adjustment movement</t>
  </si>
  <si>
    <t>Standard line matching method</t>
  </si>
  <si>
    <t>WS-30</t>
  </si>
  <si>
    <t>Time correcting line match</t>
  </si>
  <si>
    <t>Very high precision required</t>
  </si>
  <si>
    <t>SOP with marking visuals</t>
  </si>
  <si>
    <t>Ramesh Subramaniam</t>
  </si>
  <si>
    <t>Manual handling</t>
  </si>
  <si>
    <t>Standard shoulder join method</t>
  </si>
  <si>
    <t>Extremely high (manual join)</t>
  </si>
  <si>
    <t>Selvaraj Muthu</t>
  </si>
  <si>
    <t>BEFORE SMED (Total Time)</t>
  </si>
  <si>
    <t>AFTER SMED (Total Time)</t>
  </si>
  <si>
    <t>COMPARISON (Before vs After)</t>
  </si>
  <si>
    <t>Type</t>
  </si>
  <si>
    <t>Total Time (min)</t>
  </si>
  <si>
    <t>Change</t>
  </si>
  <si>
    <t>29,665 sec</t>
  </si>
  <si>
    <t>494.4 min</t>
  </si>
  <si>
    <t>17,920 sec</t>
  </si>
  <si>
    <t>298.7 min</t>
  </si>
  <si>
    <t>🔻 ↓ 39.6%</t>
  </si>
  <si>
    <t>18,865 sec</t>
  </si>
  <si>
    <t>314.4 min</t>
  </si>
  <si>
    <t>27,815 sec</t>
  </si>
  <si>
    <t>463.6 min</t>
  </si>
  <si>
    <t>🔺 ↑ 47.4%</t>
  </si>
  <si>
    <t>48,530 sec</t>
  </si>
  <si>
    <t>808.8 min</t>
  </si>
  <si>
    <t>45,735 sec</t>
  </si>
  <si>
    <t>762.3 min</t>
  </si>
  <si>
    <t>🔻 ↓ 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</si>
</sst>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" fontId="1" fillId="0" borderId="2" xfId="0" applyNumberFormat="1" applyFon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1" fontId="0" fillId="0" borderId="6" xfId="0" applyNumberFormat="1" applyBorder="1" applyAlignment="1">
      <alignment horizontal="center"/>
    </xf>
    <xf numFmtId="0" fontId="0" fillId="0" borderId="8" xfId="0" applyBorder="1"/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5" xfId="0" applyFont="1" applyBorder="1"/>
    <xf numFmtId="0" fontId="1" fillId="0" borderId="16" xfId="0" applyFont="1" applyBorder="1"/>
    <xf numFmtId="1" fontId="1" fillId="0" borderId="16" xfId="0" applyNumberFormat="1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1" fillId="0" borderId="23" xfId="0" applyFont="1" applyBorder="1"/>
    <xf numFmtId="0" fontId="0" fillId="0" borderId="24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9" xfId="0" applyFont="1" applyBorder="1"/>
    <xf numFmtId="0" fontId="1" fillId="0" borderId="20" xfId="0" applyFont="1" applyBorder="1"/>
    <xf numFmtId="0" fontId="0" fillId="0" borderId="23" xfId="0" applyBorder="1"/>
    <xf numFmtId="0" fontId="1" fillId="0" borderId="26" xfId="0" applyFont="1" applyBorder="1"/>
    <xf numFmtId="0" fontId="1" fillId="0" borderId="27" xfId="0" applyFont="1" applyBorder="1"/>
    <xf numFmtId="0" fontId="1" fillId="0" borderId="33" xfId="0" applyFont="1" applyBorder="1"/>
    <xf numFmtId="0" fontId="0" fillId="0" borderId="34" xfId="0" applyBorder="1"/>
    <xf numFmtId="0" fontId="1" fillId="0" borderId="35" xfId="0" applyFont="1" applyBorder="1"/>
    <xf numFmtId="0" fontId="0" fillId="0" borderId="32" xfId="0" applyBorder="1"/>
    <xf numFmtId="0" fontId="1" fillId="0" borderId="25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" fillId="0" borderId="39" xfId="0" applyFont="1" applyBorder="1"/>
    <xf numFmtId="0" fontId="0" fillId="0" borderId="40" xfId="0" applyBorder="1"/>
    <xf numFmtId="0" fontId="0" fillId="0" borderId="41" xfId="0" applyBorder="1"/>
    <xf numFmtId="0" fontId="1" fillId="0" borderId="42" xfId="0" applyFont="1" applyBorder="1"/>
    <xf numFmtId="0" fontId="1" fillId="0" borderId="43" xfId="0" applyFont="1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47" xfId="0" applyBorder="1"/>
    <xf numFmtId="0" fontId="0" fillId="0" borderId="48" xfId="0" applyBorder="1"/>
    <xf numFmtId="0" fontId="0" fillId="0" borderId="0" xfId="0" applyBorder="1"/>
    <xf numFmtId="0" fontId="1" fillId="0" borderId="0" xfId="0" applyFont="1" applyBorder="1"/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52" xfId="0" applyFont="1" applyBorder="1"/>
    <xf numFmtId="0" fontId="1" fillId="0" borderId="53" xfId="0" applyFont="1" applyBorder="1"/>
    <xf numFmtId="14" fontId="0" fillId="0" borderId="45" xfId="0" applyNumberFormat="1" applyBorder="1"/>
    <xf numFmtId="0" fontId="0" fillId="0" borderId="18" xfId="0" applyBorder="1" applyAlignment="1">
      <alignment wrapText="1"/>
    </xf>
    <xf numFmtId="9" fontId="0" fillId="0" borderId="18" xfId="0" applyNumberFormat="1" applyBorder="1"/>
    <xf numFmtId="0" fontId="0" fillId="0" borderId="0" xfId="0" applyAlignment="1">
      <alignment vertical="center"/>
    </xf>
    <xf numFmtId="0" fontId="0" fillId="0" borderId="18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5" xfId="0" applyBorder="1" applyAlignment="1">
      <alignment horizontal="left" vertical="center"/>
    </xf>
    <xf numFmtId="14" fontId="0" fillId="0" borderId="45" xfId="0" applyNumberFormat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4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43" xfId="0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42" xfId="0" applyBorder="1"/>
    <xf numFmtId="9" fontId="0" fillId="0" borderId="46" xfId="0" applyNumberFormat="1" applyBorder="1"/>
    <xf numFmtId="0" fontId="1" fillId="0" borderId="43" xfId="0" applyFont="1" applyBorder="1" applyAlignment="1">
      <alignment vertical="center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1" fillId="0" borderId="43" xfId="0" applyFont="1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22" xfId="0" applyBorder="1" applyAlignment="1">
      <alignment horizontal="left" vertical="center"/>
    </xf>
    <xf numFmtId="14" fontId="0" fillId="0" borderId="22" xfId="0" applyNumberForma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9" fontId="0" fillId="0" borderId="24" xfId="0" applyNumberForma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23" xfId="0" applyBorder="1" applyAlignment="1">
      <alignment vertical="center" wrapText="1"/>
    </xf>
    <xf numFmtId="10" fontId="0" fillId="0" borderId="24" xfId="0" applyNumberForma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49" xfId="0" applyBorder="1" applyAlignment="1">
      <alignment vertical="center"/>
    </xf>
    <xf numFmtId="0" fontId="1" fillId="0" borderId="48" xfId="0" applyFont="1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horizontal="left" vertical="center" wrapText="1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6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25" xfId="0" applyBorder="1" applyAlignment="1">
      <alignment horizontal="left" vertical="center"/>
    </xf>
    <xf numFmtId="14" fontId="0" fillId="0" borderId="65" xfId="0" applyNumberFormat="1" applyBorder="1" applyAlignment="1">
      <alignment horizontal="left"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5" fontId="0" fillId="2" borderId="25" xfId="0" applyNumberFormat="1" applyFill="1" applyBorder="1" applyAlignment="1">
      <alignment vertical="center"/>
    </xf>
    <xf numFmtId="165" fontId="0" fillId="2" borderId="69" xfId="0" applyNumberFormat="1" applyFill="1" applyBorder="1" applyAlignment="1">
      <alignment vertical="center"/>
    </xf>
    <xf numFmtId="165" fontId="0" fillId="2" borderId="70" xfId="0" applyNumberFormat="1" applyFill="1" applyBorder="1" applyAlignment="1">
      <alignment vertical="center"/>
    </xf>
    <xf numFmtId="0" fontId="0" fillId="0" borderId="0" xfId="0" applyFont="1"/>
    <xf numFmtId="0" fontId="3" fillId="0" borderId="0" xfId="0" applyFont="1"/>
    <xf numFmtId="0" fontId="4" fillId="0" borderId="0" xfId="0" applyFont="1"/>
    <xf numFmtId="0" fontId="5" fillId="0" borderId="40" xfId="0" applyFont="1" applyBorder="1"/>
    <xf numFmtId="0" fontId="4" fillId="0" borderId="36" xfId="0" applyFont="1" applyBorder="1"/>
    <xf numFmtId="0" fontId="4" fillId="0" borderId="44" xfId="0" applyFont="1" applyBorder="1"/>
    <xf numFmtId="0" fontId="5" fillId="0" borderId="56" xfId="0" applyFont="1" applyBorder="1"/>
    <xf numFmtId="0" fontId="4" fillId="0" borderId="73" xfId="0" applyFont="1" applyBorder="1"/>
    <xf numFmtId="0" fontId="4" fillId="0" borderId="57" xfId="0" applyFont="1" applyBorder="1"/>
    <xf numFmtId="0" fontId="4" fillId="0" borderId="0" xfId="0" applyFont="1" applyBorder="1"/>
    <xf numFmtId="0" fontId="5" fillId="0" borderId="41" xfId="0" applyFont="1" applyBorder="1"/>
    <xf numFmtId="0" fontId="4" fillId="0" borderId="37" xfId="0" applyFont="1" applyBorder="1"/>
    <xf numFmtId="0" fontId="4" fillId="0" borderId="45" xfId="0" applyFont="1" applyBorder="1"/>
    <xf numFmtId="0" fontId="5" fillId="0" borderId="42" xfId="0" applyFont="1" applyBorder="1"/>
    <xf numFmtId="0" fontId="4" fillId="0" borderId="38" xfId="0" applyFont="1" applyBorder="1"/>
    <xf numFmtId="0" fontId="4" fillId="0" borderId="46" xfId="0" applyFont="1" applyBorder="1"/>
    <xf numFmtId="0" fontId="5" fillId="0" borderId="58" xfId="0" applyFont="1" applyBorder="1"/>
    <xf numFmtId="0" fontId="4" fillId="0" borderId="69" xfId="0" applyFont="1" applyBorder="1"/>
    <xf numFmtId="0" fontId="4" fillId="0" borderId="59" xfId="0" applyFont="1" applyBorder="1"/>
    <xf numFmtId="0" fontId="4" fillId="0" borderId="68" xfId="0" applyFont="1" applyBorder="1"/>
    <xf numFmtId="0" fontId="6" fillId="0" borderId="0" xfId="0" applyFont="1"/>
    <xf numFmtId="0" fontId="6" fillId="0" borderId="58" xfId="0" applyFont="1" applyBorder="1"/>
    <xf numFmtId="0" fontId="6" fillId="0" borderId="25" xfId="0" applyFont="1" applyBorder="1"/>
    <xf numFmtId="0" fontId="6" fillId="0" borderId="59" xfId="0" applyFont="1" applyBorder="1"/>
    <xf numFmtId="0" fontId="6" fillId="0" borderId="43" xfId="0" applyFont="1" applyBorder="1"/>
    <xf numFmtId="0" fontId="6" fillId="0" borderId="68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0" xfId="0" applyBorder="1" applyAlignment="1">
      <alignment vertical="center"/>
    </xf>
    <xf numFmtId="0" fontId="1" fillId="0" borderId="74" xfId="0" applyFont="1" applyBorder="1" applyAlignment="1">
      <alignment vertical="center"/>
    </xf>
    <xf numFmtId="0" fontId="1" fillId="0" borderId="72" xfId="0" applyFont="1" applyBorder="1" applyAlignment="1">
      <alignment vertical="center"/>
    </xf>
    <xf numFmtId="0" fontId="1" fillId="0" borderId="75" xfId="0" applyFont="1" applyBorder="1" applyAlignment="1">
      <alignment vertical="center"/>
    </xf>
    <xf numFmtId="0" fontId="0" fillId="3" borderId="6" xfId="0" applyFill="1" applyBorder="1"/>
    <xf numFmtId="0" fontId="2" fillId="3" borderId="6" xfId="0" applyFont="1" applyFill="1" applyBorder="1"/>
    <xf numFmtId="0" fontId="8" fillId="0" borderId="80" xfId="0" applyFont="1" applyFill="1" applyBorder="1" applyAlignment="1"/>
    <xf numFmtId="0" fontId="8" fillId="0" borderId="81" xfId="0" applyFont="1" applyFill="1" applyBorder="1" applyAlignment="1"/>
    <xf numFmtId="0" fontId="8" fillId="0" borderId="82" xfId="0" applyFont="1" applyFill="1" applyBorder="1" applyAlignment="1"/>
    <xf numFmtId="0" fontId="8" fillId="0" borderId="82" xfId="0" quotePrefix="1" applyFont="1" applyFill="1" applyBorder="1" applyAlignment="1"/>
    <xf numFmtId="0" fontId="8" fillId="0" borderId="80" xfId="0" applyFont="1" applyFill="1" applyBorder="1" applyAlignment="1">
      <alignment wrapText="1"/>
    </xf>
    <xf numFmtId="0" fontId="8" fillId="0" borderId="84" xfId="0" applyFont="1" applyFill="1" applyBorder="1" applyAlignment="1"/>
    <xf numFmtId="0" fontId="8" fillId="0" borderId="85" xfId="0" applyFont="1" applyFill="1" applyBorder="1" applyAlignment="1"/>
    <xf numFmtId="0" fontId="8" fillId="0" borderId="86" xfId="0" quotePrefix="1" applyFont="1" applyFill="1" applyBorder="1" applyAlignment="1"/>
    <xf numFmtId="0" fontId="8" fillId="0" borderId="83" xfId="0" applyFont="1" applyFill="1" applyBorder="1" applyAlignment="1">
      <alignment wrapText="1"/>
    </xf>
    <xf numFmtId="0" fontId="8" fillId="0" borderId="87" xfId="0" applyFont="1" applyFill="1" applyBorder="1" applyAlignment="1">
      <alignment wrapText="1"/>
    </xf>
    <xf numFmtId="0" fontId="7" fillId="0" borderId="76" xfId="0" applyFont="1" applyFill="1" applyBorder="1" applyAlignment="1">
      <alignment horizontal="left" vertical="center"/>
    </xf>
    <xf numFmtId="0" fontId="7" fillId="0" borderId="77" xfId="0" applyFont="1" applyFill="1" applyBorder="1" applyAlignment="1">
      <alignment horizontal="left" vertical="center"/>
    </xf>
    <xf numFmtId="0" fontId="7" fillId="0" borderId="78" xfId="0" applyFont="1" applyFill="1" applyBorder="1" applyAlignment="1">
      <alignment horizontal="left" vertical="center"/>
    </xf>
    <xf numFmtId="0" fontId="7" fillId="0" borderId="79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57" xfId="0" applyBorder="1"/>
    <xf numFmtId="0" fontId="1" fillId="0" borderId="52" xfId="0" applyFont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73" xfId="0" applyBorder="1" applyAlignment="1">
      <alignment wrapText="1"/>
    </xf>
    <xf numFmtId="14" fontId="0" fillId="0" borderId="37" xfId="0" applyNumberForma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1" fillId="0" borderId="88" xfId="0" applyFont="1" applyBorder="1" applyAlignment="1">
      <alignment vertical="center"/>
    </xf>
    <xf numFmtId="0" fontId="0" fillId="0" borderId="73" xfId="0" applyBorder="1"/>
    <xf numFmtId="0" fontId="1" fillId="0" borderId="0" xfId="0" applyFont="1" applyBorder="1" applyAlignment="1">
      <alignment vertical="center"/>
    </xf>
    <xf numFmtId="0" fontId="0" fillId="0" borderId="57" xfId="0" applyBorder="1" applyAlignment="1">
      <alignment wrapText="1"/>
    </xf>
    <xf numFmtId="0" fontId="0" fillId="0" borderId="25" xfId="0" applyBorder="1" applyAlignment="1">
      <alignment vertical="center"/>
    </xf>
    <xf numFmtId="0" fontId="1" fillId="0" borderId="89" xfId="0" applyFont="1" applyBorder="1" applyAlignment="1">
      <alignment vertical="center"/>
    </xf>
    <xf numFmtId="0" fontId="0" fillId="0" borderId="37" xfId="0" applyBorder="1" applyAlignment="1">
      <alignment horizontal="left" vertical="center" wrapText="1"/>
    </xf>
    <xf numFmtId="0" fontId="1" fillId="0" borderId="54" xfId="0" applyFont="1" applyBorder="1" applyAlignment="1">
      <alignment vertical="center"/>
    </xf>
    <xf numFmtId="0" fontId="1" fillId="0" borderId="55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0" fontId="1" fillId="0" borderId="59" xfId="0" applyFont="1" applyBorder="1" applyAlignment="1">
      <alignment vertical="center"/>
    </xf>
    <xf numFmtId="165" fontId="1" fillId="2" borderId="63" xfId="0" applyNumberFormat="1" applyFont="1" applyFill="1" applyBorder="1" applyAlignment="1">
      <alignment horizontal="left" vertical="center"/>
    </xf>
    <xf numFmtId="165" fontId="1" fillId="2" borderId="43" xfId="0" applyNumberFormat="1" applyFont="1" applyFill="1" applyBorder="1" applyAlignment="1">
      <alignment horizontal="left" vertical="center"/>
    </xf>
    <xf numFmtId="165" fontId="1" fillId="2" borderId="0" xfId="0" applyNumberFormat="1" applyFont="1" applyFill="1" applyBorder="1" applyAlignment="1">
      <alignment horizontal="left" vertical="center"/>
    </xf>
    <xf numFmtId="165" fontId="1" fillId="2" borderId="57" xfId="0" applyNumberFormat="1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56" xfId="0" applyFont="1" applyBorder="1" applyAlignment="1">
      <alignment horizontal="left" vertical="center" wrapText="1"/>
    </xf>
    <xf numFmtId="0" fontId="1" fillId="0" borderId="57" xfId="0" applyFont="1" applyBorder="1" applyAlignment="1">
      <alignment horizontal="left" vertical="center" wrapText="1"/>
    </xf>
    <xf numFmtId="0" fontId="1" fillId="0" borderId="58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71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55" xfId="0" applyFont="1" applyBorder="1" applyAlignment="1">
      <alignment horizontal="center"/>
    </xf>
  </cellXfs>
  <cellStyles count="1">
    <cellStyle name="Normal" xfId="0" builtinId="0"/>
  </cellStyles>
  <dxfs count="76"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7E8419-70A7-49B4-BA6E-C3FE9C6EE0CA}" name="Table2" displayName="Table2" ref="B2:C17" totalsRowShown="0" headerRowDxfId="75" headerRowBorderDxfId="73" tableBorderDxfId="74">
  <autoFilter ref="B2:C17" xr:uid="{697E8419-70A7-49B4-BA6E-C3FE9C6EE0CA}">
    <filterColumn colId="0" hiddenButton="1"/>
    <filterColumn colId="1" hiddenButton="1"/>
  </autoFilter>
  <tableColumns count="2">
    <tableColumn id="1" xr3:uid="{07948773-EC62-490B-8196-89FDB4237FE7}" name="Field"/>
    <tableColumn id="2" xr3:uid="{5E699AC4-98AC-4FA3-A913-D211ADAA4C45}" name="Detail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894DE4-8C23-4C66-944B-7BB235962D6F}" name="Table3" displayName="Table3" ref="B38:C57" totalsRowShown="0" headerRowDxfId="72" headerRowBorderDxfId="70" tableBorderDxfId="71">
  <autoFilter ref="B38:C57" xr:uid="{E4894DE4-8C23-4C66-944B-7BB235962D6F}">
    <filterColumn colId="0" hiddenButton="1"/>
    <filterColumn colId="1" hiddenButton="1"/>
  </autoFilter>
  <tableColumns count="2">
    <tableColumn id="1" xr3:uid="{A191581F-99BC-425C-AFAE-2A973DCDF294}" name="Loss Type"/>
    <tableColumn id="2" xr3:uid="{1E57FC90-0B7E-4AFD-B45D-ED1FC930FE81}" name="Descript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36D8F6-C944-4C63-84C3-3F7389D99BA8}" name="Table4" displayName="Table4" ref="B20:F22" totalsRowShown="0" headerRowDxfId="69" headerRowBorderDxfId="67" tableBorderDxfId="68" totalsRowBorderDxfId="66">
  <autoFilter ref="B20:F22" xr:uid="{E836D8F6-C944-4C63-84C3-3F7389D99BA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8440314-C4CE-4D83-ADD1-BFDDBC33706F}" name="Activity" dataDxfId="65"/>
    <tableColumn id="2" xr3:uid="{F33AD778-5385-4D89-85D8-7805E8C73D96}" name="Current Category" dataDxfId="64"/>
    <tableColumn id="3" xr3:uid="{1B0B9167-B73D-445A-AE46-27E98ECA60AE}" name="Can be Converted? (Yes/No)" dataDxfId="63"/>
    <tableColumn id="4" xr3:uid="{B4F7F249-3361-499F-8C92-6A66AA618D13}" name="Proposed Category" dataDxfId="62"/>
    <tableColumn id="5" xr3:uid="{7925C307-485D-418C-B0DD-7AE84F8E1DB0}" name="Remarks" dataDxfId="6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F70B9-E65D-4F5F-970F-EBC21CE41DF6}" name="Table1" displayName="Table1" ref="D5:K431" totalsRowShown="0" headerRowDxfId="60" headerRowBorderDxfId="58" tableBorderDxfId="59">
  <autoFilter ref="D5:K431" xr:uid="{5BDF70B9-E65D-4F5F-970F-EBC21CE41D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B446226-9748-46A3-9197-AFC31E568033}" name="Operation code" dataDxfId="57"/>
    <tableColumn id="2" xr3:uid="{3D242613-A2C9-401A-BE2D-79C07569D023}" name="SL NO" dataDxfId="56">
      <calculatedColumnFormula>E5+1</calculatedColumnFormula>
    </tableColumn>
    <tableColumn id="3" xr3:uid="{E7A8EDC4-1A15-46C9-8561-FBF809417FC1}" name="Operation name" dataDxfId="55"/>
    <tableColumn id="4" xr3:uid="{72A4116A-8E75-453F-9ECF-71090E18FB4A}" name="Section" dataDxfId="54"/>
    <tableColumn id="5" xr3:uid="{456B2616-5D98-4520-B272-F98DC6037379}" name=" SMV" dataDxfId="53"/>
    <tableColumn id="6" xr3:uid="{D5E2E870-B05E-4D22-819E-4DCD95E15CCB}" name="Target /Hour" dataDxfId="52"/>
    <tableColumn id="7" xr3:uid="{B77E201C-824C-4283-83D5-E752C11C489B}" name="S &amp; N/S" dataDxfId="51"/>
    <tableColumn id="8" xr3:uid="{87419D8B-1029-45A2-947E-ED14A7EC7D66}" name="Category" data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C3F6EC-86CE-418B-A21E-48F468E15291}" name="Table6" displayName="Table6" ref="M99:Q110" totalsRowShown="0" headerRowDxfId="49" dataDxfId="48" headerRowBorderDxfId="46" tableBorderDxfId="47" totalsRowBorderDxfId="45">
  <autoFilter ref="M99:Q110" xr:uid="{BBC3F6EC-86CE-418B-A21E-48F468E15291}"/>
  <tableColumns count="5">
    <tableColumn id="1" xr3:uid="{4660716A-B782-4345-90A7-9BF1AB97D3CA}" name="Activity" dataDxfId="44"/>
    <tableColumn id="2" xr3:uid="{D213DC40-31CA-4111-B3B9-F3068ACF558B}" name="Current Category" dataDxfId="43"/>
    <tableColumn id="3" xr3:uid="{414A5307-92E1-45EE-B3B6-CC18FD448CBA}" name="Can be Converted? (Yes/No)" dataDxfId="42"/>
    <tableColumn id="4" xr3:uid="{3A0DCAF4-B49C-486C-B31D-897DBD712C21}" name="Proposed Category" dataDxfId="41"/>
    <tableColumn id="5" xr3:uid="{8A430CA2-C5D1-4769-9B33-85BD5DB6B05F}" name="Remarks" dataDxfId="4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62AAB5-9858-4642-BD7E-B8D16B4F958A}" name="Table5" displayName="Table5" ref="M9:Q18" totalsRowShown="0" headerRowDxfId="39" dataDxfId="38" headerRowBorderDxfId="36" tableBorderDxfId="37" totalsRowBorderDxfId="35">
  <autoFilter ref="M9:Q18" xr:uid="{BC62AAB5-9858-4642-BD7E-B8D16B4F958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B9B6A24-AB6F-45E6-BD63-80CCD1E12104}" name="Activity" dataDxfId="34"/>
    <tableColumn id="2" xr3:uid="{2349064D-62E4-4E82-A720-8C7163A9B4AD}" name="Current Category" dataDxfId="33"/>
    <tableColumn id="3" xr3:uid="{F2F0723E-E933-4FF3-9B3F-1406C02333C8}" name="Can be Converted? (Yes/No)" dataDxfId="32"/>
    <tableColumn id="4" xr3:uid="{E60894A2-364F-4AED-8DB5-BFD6E638AF48}" name="Proposed Category" dataDxfId="31"/>
    <tableColumn id="5" xr3:uid="{AFB8FDEB-3CC8-4BC7-AC0B-D86BBDF0FE95}" name="Remarks" dataDxfId="3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0EB2640-1423-4158-899A-C60C01B7FE7E}" name="Table9" displayName="Table9" ref="M224:Q236" totalsRowShown="0" headerRowDxfId="29" dataDxfId="28" headerRowBorderDxfId="26" tableBorderDxfId="27" totalsRowBorderDxfId="25">
  <autoFilter ref="M224:Q236" xr:uid="{70EB2640-1423-4158-899A-C60C01B7FE7E}"/>
  <tableColumns count="5">
    <tableColumn id="1" xr3:uid="{D3BEF7AC-0991-407B-9B28-E974AA403439}" name="Activity" dataDxfId="24"/>
    <tableColumn id="2" xr3:uid="{F1B9A588-6243-42BA-9B91-3F17411CCCDA}" name="Current Category" dataDxfId="23"/>
    <tableColumn id="3" xr3:uid="{F1E906B1-1A54-4AA9-81D7-A6F1F2C75510}" name="Can be Converted? (Yes/No)" dataDxfId="22"/>
    <tableColumn id="4" xr3:uid="{3A84864B-D102-4F67-8754-EC0B312093E5}" name="Proposed Category" dataDxfId="21"/>
    <tableColumn id="5" xr3:uid="{C81C68B8-04C9-49B4-AEB8-E46077CF0261}" name="Remarks" dataDxfId="2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701A47-7CEA-4814-A96B-570DFA52E78F}" name="Table7" displayName="Table7" ref="M311:Q321" totalsRowShown="0" headerRowDxfId="19" dataDxfId="18" headerRowBorderDxfId="16" tableBorderDxfId="17" totalsRowBorderDxfId="15">
  <autoFilter ref="M311:Q321" xr:uid="{6F701A47-7CEA-4814-A96B-570DFA52E78F}"/>
  <tableColumns count="5">
    <tableColumn id="1" xr3:uid="{F51C44E9-3F92-4615-BC31-0B566B40CF30}" name="Activity" dataDxfId="14"/>
    <tableColumn id="2" xr3:uid="{87F2AAED-2237-40CD-ACD1-23DA81F4F032}" name="Current Category" dataDxfId="13"/>
    <tableColumn id="3" xr3:uid="{C7B8F4C7-ADB2-4AAD-A8C0-A4A81490EB35}" name="Can be Converted? (Yes/No)" dataDxfId="12"/>
    <tableColumn id="4" xr3:uid="{61A735F0-61DC-47F4-8670-28AFCE3471A1}" name="Proposed Category" dataDxfId="11"/>
    <tableColumn id="5" xr3:uid="{1405E27D-5E8E-465E-93C6-586B0EE71EA7}" name="Remarks" dataDxfId="1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05BC2E-B274-4B16-9C72-20291BA28F5A}" name="Table8" displayName="Table8" ref="M1538:Q1550" totalsRowShown="0" headerRowDxfId="9" dataDxfId="8" headerRowBorderDxfId="6" tableBorderDxfId="7" totalsRowBorderDxfId="5">
  <autoFilter ref="M1538:Q1550" xr:uid="{8305BC2E-B274-4B16-9C72-20291BA28F5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980D122-632B-4AFB-85E7-47991B7838AC}" name="Activity" dataDxfId="4"/>
    <tableColumn id="2" xr3:uid="{3D47D1D3-777D-42A9-A631-B13896CDB87C}" name="Current Category" dataDxfId="3"/>
    <tableColumn id="3" xr3:uid="{C7AED2BC-EF14-464F-9CC0-818EEBAA5F73}" name="Can be Converted? (Yes/No)" dataDxfId="2"/>
    <tableColumn id="4" xr3:uid="{445B1B83-20B8-4345-884E-F5C713148E32}" name="Proposed Category" dataDxfId="1"/>
    <tableColumn id="5" xr3:uid="{675B2CFC-5500-4A12-A341-F3FCCE60F824}" name="Remark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C6C9-CDE2-44CB-801D-DA17CFB503D1}">
  <dimension ref="B2:L57"/>
  <sheetViews>
    <sheetView showGridLines="0" workbookViewId="0">
      <selection activeCell="I11" sqref="I11"/>
    </sheetView>
  </sheetViews>
  <sheetFormatPr defaultRowHeight="15"/>
  <cols>
    <col min="2" max="2" width="21.42578125" bestFit="1" customWidth="1"/>
    <col min="3" max="3" width="24.7109375" bestFit="1" customWidth="1"/>
    <col min="4" max="4" width="28.28515625" bestFit="1" customWidth="1"/>
    <col min="5" max="5" width="20" bestFit="1" customWidth="1"/>
    <col min="6" max="6" width="25.140625" bestFit="1" customWidth="1"/>
    <col min="7" max="7" width="14.5703125" bestFit="1" customWidth="1"/>
    <col min="8" max="8" width="21" bestFit="1" customWidth="1"/>
    <col min="9" max="9" width="36.5703125" bestFit="1" customWidth="1"/>
    <col min="10" max="10" width="25.42578125" bestFit="1" customWidth="1"/>
    <col min="11" max="11" width="17.42578125" bestFit="1" customWidth="1"/>
    <col min="12" max="12" width="32" bestFit="1" customWidth="1"/>
  </cols>
  <sheetData>
    <row r="2" spans="2:8">
      <c r="B2" s="36" t="s">
        <v>0</v>
      </c>
      <c r="C2" s="37" t="s">
        <v>1</v>
      </c>
      <c r="E2" s="66" t="s">
        <v>0</v>
      </c>
      <c r="F2" s="67" t="s">
        <v>1</v>
      </c>
    </row>
    <row r="3" spans="2:8">
      <c r="B3" s="21" t="s">
        <v>2</v>
      </c>
      <c r="C3" s="22"/>
      <c r="E3" s="44" t="s">
        <v>2</v>
      </c>
      <c r="F3" s="52" t="s">
        <v>3</v>
      </c>
    </row>
    <row r="4" spans="2:8">
      <c r="B4" s="25" t="s">
        <v>4</v>
      </c>
      <c r="C4" s="26"/>
      <c r="E4" s="44" t="s">
        <v>4</v>
      </c>
      <c r="F4" s="52" t="s">
        <v>5</v>
      </c>
    </row>
    <row r="5" spans="2:8">
      <c r="B5" s="21" t="s">
        <v>6</v>
      </c>
      <c r="C5" s="22"/>
      <c r="E5" s="44" t="s">
        <v>6</v>
      </c>
      <c r="F5" s="52" t="s">
        <v>7</v>
      </c>
    </row>
    <row r="6" spans="2:8">
      <c r="B6" s="21" t="s">
        <v>8</v>
      </c>
      <c r="C6" s="22"/>
      <c r="E6" s="44" t="s">
        <v>8</v>
      </c>
      <c r="F6" s="52" t="s">
        <v>9</v>
      </c>
    </row>
    <row r="7" spans="2:8">
      <c r="B7" s="21" t="s">
        <v>10</v>
      </c>
      <c r="C7" s="22" t="s">
        <v>11</v>
      </c>
      <c r="E7" s="44" t="s">
        <v>10</v>
      </c>
      <c r="F7" s="52" t="s">
        <v>12</v>
      </c>
    </row>
    <row r="8" spans="2:8">
      <c r="B8" s="21" t="s">
        <v>13</v>
      </c>
      <c r="C8" s="22"/>
      <c r="E8" s="44" t="s">
        <v>13</v>
      </c>
      <c r="F8" s="52" t="s">
        <v>14</v>
      </c>
    </row>
    <row r="9" spans="2:8">
      <c r="B9" s="21" t="s">
        <v>15</v>
      </c>
      <c r="C9" s="22"/>
      <c r="E9" s="44" t="s">
        <v>15</v>
      </c>
      <c r="F9" s="52" t="s">
        <v>16</v>
      </c>
    </row>
    <row r="10" spans="2:8">
      <c r="B10" s="21" t="s">
        <v>17</v>
      </c>
      <c r="C10" s="22"/>
      <c r="E10" s="44" t="s">
        <v>17</v>
      </c>
      <c r="F10" s="68">
        <v>46126</v>
      </c>
    </row>
    <row r="11" spans="2:8">
      <c r="B11" s="35" t="s">
        <v>18</v>
      </c>
      <c r="C11" s="24"/>
      <c r="E11" s="45" t="s">
        <v>18</v>
      </c>
      <c r="F11" s="53" t="s">
        <v>19</v>
      </c>
    </row>
    <row r="12" spans="2:8">
      <c r="B12" s="59"/>
      <c r="C12" s="59"/>
    </row>
    <row r="14" spans="2:8">
      <c r="B14" s="46" t="s">
        <v>20</v>
      </c>
      <c r="C14" s="42" t="s">
        <v>21</v>
      </c>
      <c r="D14" s="50" t="s">
        <v>22</v>
      </c>
      <c r="F14" s="20" t="s">
        <v>20</v>
      </c>
      <c r="G14" s="20" t="s">
        <v>21</v>
      </c>
      <c r="H14" s="20" t="s">
        <v>23</v>
      </c>
    </row>
    <row r="15" spans="2:8">
      <c r="B15" s="47" t="s">
        <v>24</v>
      </c>
      <c r="C15" s="43"/>
      <c r="D15" s="51"/>
      <c r="F15" s="20" t="s">
        <v>24</v>
      </c>
      <c r="G15" s="20">
        <v>6</v>
      </c>
      <c r="H15" s="20">
        <v>420</v>
      </c>
    </row>
    <row r="16" spans="2:8">
      <c r="B16" s="48" t="s">
        <v>25</v>
      </c>
      <c r="C16" s="44"/>
      <c r="D16" s="52"/>
      <c r="F16" s="20" t="s">
        <v>25</v>
      </c>
      <c r="G16" s="20">
        <v>3</v>
      </c>
      <c r="H16" s="20">
        <v>180</v>
      </c>
    </row>
    <row r="17" spans="2:12">
      <c r="B17" s="49" t="s">
        <v>26</v>
      </c>
      <c r="C17" s="45"/>
      <c r="D17" s="53"/>
      <c r="F17" s="20" t="s">
        <v>26</v>
      </c>
      <c r="G17" s="20"/>
      <c r="H17" s="20">
        <v>600</v>
      </c>
    </row>
    <row r="18" spans="2:12">
      <c r="B18" s="60"/>
      <c r="C18" s="59"/>
      <c r="D18" s="59"/>
    </row>
    <row r="20" spans="2:12">
      <c r="B20" s="36" t="s">
        <v>27</v>
      </c>
      <c r="C20" s="40" t="s">
        <v>28</v>
      </c>
      <c r="D20" s="40" t="s">
        <v>29</v>
      </c>
      <c r="E20" s="40" t="s">
        <v>30</v>
      </c>
      <c r="F20" s="37" t="s">
        <v>31</v>
      </c>
      <c r="H20" s="20" t="s">
        <v>27</v>
      </c>
      <c r="I20" s="20" t="s">
        <v>28</v>
      </c>
      <c r="J20" s="20" t="s">
        <v>29</v>
      </c>
      <c r="K20" s="20" t="s">
        <v>30</v>
      </c>
      <c r="L20" s="20" t="s">
        <v>31</v>
      </c>
    </row>
    <row r="21" spans="2:12">
      <c r="B21" s="57" t="s">
        <v>32</v>
      </c>
      <c r="C21" s="41" t="s">
        <v>33</v>
      </c>
      <c r="D21" s="41" t="s">
        <v>34</v>
      </c>
      <c r="E21" s="41" t="s">
        <v>35</v>
      </c>
      <c r="F21" s="58" t="s">
        <v>36</v>
      </c>
      <c r="H21" s="20" t="s">
        <v>32</v>
      </c>
      <c r="I21" s="20" t="s">
        <v>33</v>
      </c>
      <c r="J21" s="20" t="s">
        <v>34</v>
      </c>
      <c r="K21" s="20" t="s">
        <v>35</v>
      </c>
      <c r="L21" s="20" t="s">
        <v>36</v>
      </c>
    </row>
    <row r="22" spans="2:12">
      <c r="B22" s="54" t="s">
        <v>37</v>
      </c>
      <c r="C22" s="55" t="s">
        <v>33</v>
      </c>
      <c r="D22" s="55" t="s">
        <v>34</v>
      </c>
      <c r="E22" s="55" t="s">
        <v>35</v>
      </c>
      <c r="F22" s="56" t="s">
        <v>38</v>
      </c>
      <c r="H22" s="20" t="s">
        <v>37</v>
      </c>
      <c r="I22" s="20" t="s">
        <v>33</v>
      </c>
      <c r="J22" s="20" t="s">
        <v>34</v>
      </c>
      <c r="K22" s="20" t="s">
        <v>35</v>
      </c>
      <c r="L22" s="20" t="s">
        <v>39</v>
      </c>
    </row>
    <row r="23" spans="2:12">
      <c r="H23" s="20" t="s">
        <v>40</v>
      </c>
      <c r="I23" s="20" t="s">
        <v>33</v>
      </c>
      <c r="J23" s="20" t="s">
        <v>34</v>
      </c>
      <c r="K23" s="20" t="s">
        <v>35</v>
      </c>
      <c r="L23" s="20" t="s">
        <v>41</v>
      </c>
    </row>
    <row r="24" spans="2:12">
      <c r="H24" s="20" t="s">
        <v>42</v>
      </c>
      <c r="I24" s="20" t="s">
        <v>33</v>
      </c>
      <c r="J24" s="20" t="s">
        <v>43</v>
      </c>
      <c r="K24" s="20" t="s">
        <v>33</v>
      </c>
      <c r="L24" s="20" t="s">
        <v>44</v>
      </c>
    </row>
    <row r="25" spans="2:12">
      <c r="H25" s="20" t="s">
        <v>45</v>
      </c>
      <c r="I25" s="20" t="s">
        <v>33</v>
      </c>
      <c r="J25" s="20" t="s">
        <v>43</v>
      </c>
      <c r="K25" s="20" t="s">
        <v>33</v>
      </c>
      <c r="L25" s="20" t="s">
        <v>46</v>
      </c>
    </row>
    <row r="26" spans="2:12">
      <c r="H26" s="20" t="s">
        <v>47</v>
      </c>
      <c r="I26" s="20" t="s">
        <v>33</v>
      </c>
      <c r="J26" s="20" t="s">
        <v>34</v>
      </c>
      <c r="K26" s="20" t="s">
        <v>33</v>
      </c>
      <c r="L26" s="20" t="s">
        <v>48</v>
      </c>
    </row>
    <row r="27" spans="2:12">
      <c r="H27" s="20" t="s">
        <v>49</v>
      </c>
      <c r="I27" s="20" t="s">
        <v>33</v>
      </c>
      <c r="J27" s="20" t="s">
        <v>43</v>
      </c>
      <c r="K27" s="20" t="s">
        <v>33</v>
      </c>
      <c r="L27" s="20" t="s">
        <v>50</v>
      </c>
    </row>
    <row r="28" spans="2:12">
      <c r="H28" s="20" t="s">
        <v>51</v>
      </c>
      <c r="I28" s="20" t="s">
        <v>35</v>
      </c>
      <c r="J28" s="20" t="s">
        <v>52</v>
      </c>
      <c r="K28" s="20" t="s">
        <v>35</v>
      </c>
      <c r="L28" s="20" t="s">
        <v>53</v>
      </c>
    </row>
    <row r="29" spans="2:12">
      <c r="H29" s="20" t="s">
        <v>54</v>
      </c>
      <c r="I29" s="20" t="s">
        <v>35</v>
      </c>
      <c r="J29" s="20" t="s">
        <v>52</v>
      </c>
      <c r="K29" s="20" t="s">
        <v>35</v>
      </c>
      <c r="L29" s="20" t="s">
        <v>55</v>
      </c>
    </row>
    <row r="30" spans="2:12">
      <c r="H30" s="20"/>
      <c r="I30" s="20"/>
      <c r="J30" s="20"/>
      <c r="K30" s="20"/>
      <c r="L30" s="20"/>
    </row>
    <row r="37" spans="2:9">
      <c r="H37" s="20" t="s">
        <v>56</v>
      </c>
      <c r="I37" s="69" t="s">
        <v>57</v>
      </c>
    </row>
    <row r="38" spans="2:9" ht="30.75">
      <c r="B38" s="36" t="s">
        <v>56</v>
      </c>
      <c r="C38" s="37" t="s">
        <v>57</v>
      </c>
      <c r="H38" s="20" t="s">
        <v>58</v>
      </c>
      <c r="I38" s="69" t="s">
        <v>59</v>
      </c>
    </row>
    <row r="39" spans="2:9" ht="30.75">
      <c r="B39" s="25" t="s">
        <v>58</v>
      </c>
      <c r="C39" s="26"/>
      <c r="H39" s="20" t="s">
        <v>60</v>
      </c>
      <c r="I39" s="69" t="s">
        <v>61</v>
      </c>
    </row>
    <row r="40" spans="2:9" ht="30.75">
      <c r="B40" s="21" t="s">
        <v>60</v>
      </c>
      <c r="C40" s="22"/>
      <c r="H40" s="20" t="s">
        <v>62</v>
      </c>
      <c r="I40" s="69" t="s">
        <v>63</v>
      </c>
    </row>
    <row r="41" spans="2:9" ht="30.75">
      <c r="B41" s="21" t="s">
        <v>62</v>
      </c>
      <c r="C41" s="22"/>
      <c r="H41" s="20" t="s">
        <v>64</v>
      </c>
      <c r="I41" s="69" t="s">
        <v>65</v>
      </c>
    </row>
    <row r="42" spans="2:9">
      <c r="B42" s="21" t="s">
        <v>64</v>
      </c>
      <c r="C42" s="22"/>
      <c r="H42" s="20" t="s">
        <v>66</v>
      </c>
      <c r="I42" s="69" t="s">
        <v>67</v>
      </c>
    </row>
    <row r="43" spans="2:9">
      <c r="B43" s="35" t="s">
        <v>66</v>
      </c>
      <c r="C43" s="24"/>
    </row>
    <row r="46" spans="2:9">
      <c r="B46" s="33" t="s">
        <v>68</v>
      </c>
      <c r="C46" s="34" t="s">
        <v>69</v>
      </c>
      <c r="H46" s="20" t="s">
        <v>68</v>
      </c>
      <c r="I46" s="69" t="s">
        <v>69</v>
      </c>
    </row>
    <row r="47" spans="2:9">
      <c r="B47" s="21" t="s">
        <v>70</v>
      </c>
      <c r="C47" s="22" t="s">
        <v>71</v>
      </c>
      <c r="H47" s="20" t="s">
        <v>70</v>
      </c>
      <c r="I47" s="69" t="s">
        <v>72</v>
      </c>
    </row>
    <row r="48" spans="2:9">
      <c r="B48" s="21" t="s">
        <v>73</v>
      </c>
      <c r="C48" s="22" t="s">
        <v>74</v>
      </c>
      <c r="H48" s="20" t="s">
        <v>73</v>
      </c>
      <c r="I48" s="69" t="s">
        <v>75</v>
      </c>
    </row>
    <row r="49" spans="2:10" ht="30.75">
      <c r="B49" s="21" t="s">
        <v>76</v>
      </c>
      <c r="C49" s="22" t="s">
        <v>77</v>
      </c>
      <c r="H49" s="20" t="s">
        <v>76</v>
      </c>
      <c r="I49" s="69" t="s">
        <v>78</v>
      </c>
    </row>
    <row r="50" spans="2:10">
      <c r="B50" s="21" t="s">
        <v>79</v>
      </c>
      <c r="C50" s="22" t="s">
        <v>80</v>
      </c>
      <c r="H50" s="20" t="s">
        <v>79</v>
      </c>
      <c r="I50" s="69" t="s">
        <v>81</v>
      </c>
    </row>
    <row r="51" spans="2:10">
      <c r="B51" s="35" t="s">
        <v>82</v>
      </c>
      <c r="C51" s="24" t="s">
        <v>83</v>
      </c>
      <c r="H51" s="20" t="s">
        <v>82</v>
      </c>
      <c r="I51" s="69" t="s">
        <v>84</v>
      </c>
    </row>
    <row r="53" spans="2:10">
      <c r="B53" s="33" t="s">
        <v>85</v>
      </c>
      <c r="C53" s="38" t="s">
        <v>86</v>
      </c>
      <c r="D53" s="34" t="s">
        <v>87</v>
      </c>
      <c r="H53" s="20" t="s">
        <v>85</v>
      </c>
      <c r="I53" s="20" t="s">
        <v>88</v>
      </c>
      <c r="J53" s="20" t="s">
        <v>89</v>
      </c>
    </row>
    <row r="54" spans="2:10">
      <c r="B54" s="21" t="s">
        <v>90</v>
      </c>
      <c r="C54" s="20"/>
      <c r="D54" s="22"/>
      <c r="H54" s="20" t="s">
        <v>90</v>
      </c>
      <c r="I54" s="20">
        <v>420</v>
      </c>
      <c r="J54" s="20">
        <v>240</v>
      </c>
    </row>
    <row r="55" spans="2:10">
      <c r="B55" s="21" t="s">
        <v>91</v>
      </c>
      <c r="C55" s="20"/>
      <c r="D55" s="22"/>
      <c r="H55" s="20" t="s">
        <v>91</v>
      </c>
      <c r="I55" s="20">
        <v>180</v>
      </c>
      <c r="J55" s="20">
        <v>300</v>
      </c>
    </row>
    <row r="56" spans="2:10">
      <c r="B56" s="21" t="s">
        <v>26</v>
      </c>
      <c r="C56" s="20"/>
      <c r="D56" s="22"/>
      <c r="H56" s="20" t="s">
        <v>26</v>
      </c>
      <c r="I56" s="20">
        <v>600</v>
      </c>
      <c r="J56" s="20">
        <v>540</v>
      </c>
    </row>
    <row r="57" spans="2:10">
      <c r="B57" s="35" t="s">
        <v>92</v>
      </c>
      <c r="C57" s="39"/>
      <c r="D57" s="24"/>
      <c r="H57" s="20" t="s">
        <v>92</v>
      </c>
      <c r="I57" s="20"/>
      <c r="J57" s="70">
        <v>0.1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P431"/>
  <sheetViews>
    <sheetView showGridLines="0" topLeftCell="A196" workbookViewId="0">
      <selection activeCell="M219" sqref="M219"/>
    </sheetView>
  </sheetViews>
  <sheetFormatPr defaultRowHeight="15"/>
  <cols>
    <col min="4" max="4" width="17" bestFit="1" customWidth="1"/>
    <col min="6" max="6" width="55" bestFit="1" customWidth="1"/>
    <col min="7" max="7" width="10" bestFit="1" customWidth="1"/>
    <col min="9" max="9" width="15.42578125" customWidth="1"/>
    <col min="10" max="10" width="10" bestFit="1" customWidth="1"/>
    <col min="11" max="11" width="11.140625" bestFit="1" customWidth="1"/>
    <col min="13" max="13" width="25" customWidth="1"/>
  </cols>
  <sheetData>
    <row r="5" spans="4:16">
      <c r="D5" s="15" t="s">
        <v>93</v>
      </c>
      <c r="E5" s="16" t="s">
        <v>94</v>
      </c>
      <c r="F5" s="16" t="s">
        <v>95</v>
      </c>
      <c r="G5" s="16" t="s">
        <v>96</v>
      </c>
      <c r="H5" s="16" t="s">
        <v>97</v>
      </c>
      <c r="I5" s="17" t="s">
        <v>98</v>
      </c>
      <c r="J5" s="16" t="s">
        <v>99</v>
      </c>
      <c r="K5" s="18" t="s">
        <v>100</v>
      </c>
      <c r="M5" s="230" t="s">
        <v>101</v>
      </c>
      <c r="N5" s="231"/>
      <c r="O5" s="19"/>
      <c r="P5" s="19"/>
    </row>
    <row r="6" spans="4:16">
      <c r="D6" s="12" t="s">
        <v>102</v>
      </c>
      <c r="E6" s="4">
        <v>1</v>
      </c>
      <c r="F6" s="4" t="s">
        <v>103</v>
      </c>
      <c r="G6" s="4" t="s">
        <v>104</v>
      </c>
      <c r="H6" s="61">
        <v>0.28999999999999998</v>
      </c>
      <c r="I6" s="5">
        <f>60/H6</f>
        <v>206.89655172413794</v>
      </c>
      <c r="J6" s="61" t="s">
        <v>105</v>
      </c>
      <c r="K6" s="62" t="s">
        <v>106</v>
      </c>
      <c r="M6" s="25" t="s">
        <v>107</v>
      </c>
      <c r="N6" s="26">
        <v>191</v>
      </c>
    </row>
    <row r="7" spans="4:16">
      <c r="D7" s="13" t="s">
        <v>108</v>
      </c>
      <c r="E7" s="7">
        <f>E6+1</f>
        <v>2</v>
      </c>
      <c r="F7" s="7" t="s">
        <v>109</v>
      </c>
      <c r="G7" s="7" t="s">
        <v>104</v>
      </c>
      <c r="H7" s="31">
        <v>0.34</v>
      </c>
      <c r="I7" s="8">
        <f t="shared" ref="I7:I74" si="0">60/H7</f>
        <v>176.47058823529412</v>
      </c>
      <c r="J7" s="31" t="s">
        <v>110</v>
      </c>
      <c r="K7" s="63" t="s">
        <v>111</v>
      </c>
      <c r="M7" s="21" t="s">
        <v>112</v>
      </c>
      <c r="N7" s="22">
        <v>235</v>
      </c>
    </row>
    <row r="8" spans="4:16">
      <c r="D8" s="13" t="s">
        <v>113</v>
      </c>
      <c r="E8" s="7">
        <f t="shared" ref="E8:E70" si="1">E7+1</f>
        <v>3</v>
      </c>
      <c r="F8" s="7" t="s">
        <v>114</v>
      </c>
      <c r="G8" s="7" t="s">
        <v>104</v>
      </c>
      <c r="H8" s="31">
        <v>0.45</v>
      </c>
      <c r="I8" s="8">
        <f t="shared" si="0"/>
        <v>133.33333333333334</v>
      </c>
      <c r="J8" s="31" t="s">
        <v>110</v>
      </c>
      <c r="K8" s="63" t="s">
        <v>111</v>
      </c>
      <c r="M8" s="23" t="s">
        <v>115</v>
      </c>
      <c r="N8" s="24">
        <f>N6+N7</f>
        <v>426</v>
      </c>
    </row>
    <row r="9" spans="4:16">
      <c r="D9" s="13" t="s">
        <v>116</v>
      </c>
      <c r="E9" s="7">
        <f t="shared" si="1"/>
        <v>4</v>
      </c>
      <c r="F9" s="7" t="s">
        <v>117</v>
      </c>
      <c r="G9" s="7" t="s">
        <v>104</v>
      </c>
      <c r="H9" s="31">
        <v>0.18</v>
      </c>
      <c r="I9" s="8">
        <f t="shared" si="0"/>
        <v>333.33333333333337</v>
      </c>
      <c r="J9" s="31" t="s">
        <v>110</v>
      </c>
      <c r="K9" s="63" t="s">
        <v>106</v>
      </c>
    </row>
    <row r="10" spans="4:16">
      <c r="D10" s="13" t="s">
        <v>118</v>
      </c>
      <c r="E10" s="7">
        <f t="shared" si="1"/>
        <v>5</v>
      </c>
      <c r="F10" s="7" t="s">
        <v>119</v>
      </c>
      <c r="G10" s="7" t="s">
        <v>104</v>
      </c>
      <c r="H10" s="31">
        <v>0.3</v>
      </c>
      <c r="I10" s="8">
        <f t="shared" si="0"/>
        <v>200</v>
      </c>
      <c r="J10" s="31" t="s">
        <v>105</v>
      </c>
      <c r="K10" s="63" t="s">
        <v>111</v>
      </c>
      <c r="M10" s="230" t="s">
        <v>120</v>
      </c>
      <c r="N10" s="231"/>
    </row>
    <row r="11" spans="4:16">
      <c r="D11" s="13" t="s">
        <v>121</v>
      </c>
      <c r="E11" s="7">
        <f t="shared" si="1"/>
        <v>6</v>
      </c>
      <c r="F11" s="7" t="s">
        <v>122</v>
      </c>
      <c r="G11" s="7" t="s">
        <v>104</v>
      </c>
      <c r="H11" s="31">
        <v>0.81</v>
      </c>
      <c r="I11" s="8">
        <f t="shared" si="0"/>
        <v>74.074074074074076</v>
      </c>
      <c r="J11" s="31" t="s">
        <v>105</v>
      </c>
      <c r="K11" s="63" t="s">
        <v>111</v>
      </c>
      <c r="M11" s="25" t="s">
        <v>123</v>
      </c>
      <c r="N11" s="26">
        <v>327</v>
      </c>
    </row>
    <row r="12" spans="4:16">
      <c r="D12" s="13" t="s">
        <v>124</v>
      </c>
      <c r="E12" s="7">
        <f t="shared" si="1"/>
        <v>7</v>
      </c>
      <c r="F12" s="7" t="s">
        <v>125</v>
      </c>
      <c r="G12" s="7" t="s">
        <v>104</v>
      </c>
      <c r="H12" s="31">
        <v>0.18</v>
      </c>
      <c r="I12" s="8">
        <f t="shared" si="0"/>
        <v>333.33333333333337</v>
      </c>
      <c r="J12" s="31" t="s">
        <v>110</v>
      </c>
      <c r="K12" s="63" t="s">
        <v>111</v>
      </c>
      <c r="M12" s="21" t="s">
        <v>126</v>
      </c>
      <c r="N12" s="22">
        <v>235</v>
      </c>
    </row>
    <row r="13" spans="4:16">
      <c r="D13" s="13" t="s">
        <v>127</v>
      </c>
      <c r="E13" s="7">
        <f t="shared" si="1"/>
        <v>8</v>
      </c>
      <c r="F13" s="7" t="s">
        <v>128</v>
      </c>
      <c r="G13" s="7" t="s">
        <v>104</v>
      </c>
      <c r="H13" s="31">
        <v>0.4</v>
      </c>
      <c r="I13" s="8">
        <f t="shared" si="0"/>
        <v>150</v>
      </c>
      <c r="J13" s="31" t="s">
        <v>110</v>
      </c>
      <c r="K13" s="63" t="s">
        <v>111</v>
      </c>
      <c r="M13" s="23" t="s">
        <v>115</v>
      </c>
      <c r="N13" s="24">
        <f>N11+N12</f>
        <v>562</v>
      </c>
    </row>
    <row r="14" spans="4:16">
      <c r="D14" s="13" t="s">
        <v>129</v>
      </c>
      <c r="E14" s="7">
        <f t="shared" si="1"/>
        <v>9</v>
      </c>
      <c r="F14" s="7" t="s">
        <v>130</v>
      </c>
      <c r="G14" s="7" t="s">
        <v>104</v>
      </c>
      <c r="H14" s="31">
        <v>0.52</v>
      </c>
      <c r="I14" s="8">
        <f t="shared" si="0"/>
        <v>115.38461538461539</v>
      </c>
      <c r="J14" s="31" t="s">
        <v>105</v>
      </c>
      <c r="K14" s="63" t="s">
        <v>111</v>
      </c>
    </row>
    <row r="15" spans="4:16">
      <c r="D15" s="13" t="s">
        <v>131</v>
      </c>
      <c r="E15" s="7">
        <f t="shared" si="1"/>
        <v>10</v>
      </c>
      <c r="F15" s="7" t="s">
        <v>132</v>
      </c>
      <c r="G15" s="7" t="s">
        <v>104</v>
      </c>
      <c r="H15" s="31">
        <v>0.55000000000000004</v>
      </c>
      <c r="I15" s="8">
        <f t="shared" si="0"/>
        <v>109.09090909090908</v>
      </c>
      <c r="J15" s="31" t="s">
        <v>110</v>
      </c>
      <c r="K15" s="63" t="s">
        <v>111</v>
      </c>
      <c r="M15" s="230" t="s">
        <v>133</v>
      </c>
      <c r="N15" s="231"/>
    </row>
    <row r="16" spans="4:16">
      <c r="D16" s="13" t="s">
        <v>134</v>
      </c>
      <c r="E16" s="7">
        <f t="shared" si="1"/>
        <v>11</v>
      </c>
      <c r="F16" s="7" t="s">
        <v>135</v>
      </c>
      <c r="G16" s="7" t="s">
        <v>104</v>
      </c>
      <c r="H16" s="31">
        <v>0.15</v>
      </c>
      <c r="I16" s="8">
        <f t="shared" si="0"/>
        <v>400</v>
      </c>
      <c r="J16" s="31" t="s">
        <v>110</v>
      </c>
      <c r="K16" s="63" t="s">
        <v>106</v>
      </c>
      <c r="M16" s="27" t="s">
        <v>123</v>
      </c>
      <c r="N16" s="28">
        <v>139</v>
      </c>
    </row>
    <row r="17" spans="4:11">
      <c r="D17" s="13" t="s">
        <v>136</v>
      </c>
      <c r="E17" s="7">
        <f t="shared" si="1"/>
        <v>12</v>
      </c>
      <c r="F17" s="7" t="s">
        <v>137</v>
      </c>
      <c r="G17" s="7" t="s">
        <v>104</v>
      </c>
      <c r="H17" s="31">
        <v>0.24</v>
      </c>
      <c r="I17" s="8">
        <f t="shared" si="0"/>
        <v>250</v>
      </c>
      <c r="J17" s="31" t="s">
        <v>105</v>
      </c>
      <c r="K17" s="63" t="s">
        <v>106</v>
      </c>
    </row>
    <row r="18" spans="4:11">
      <c r="D18" s="13" t="s">
        <v>138</v>
      </c>
      <c r="E18" s="7">
        <f t="shared" si="1"/>
        <v>13</v>
      </c>
      <c r="F18" s="7" t="s">
        <v>139</v>
      </c>
      <c r="G18" s="7" t="s">
        <v>104</v>
      </c>
      <c r="H18" s="31">
        <v>0.4</v>
      </c>
      <c r="I18" s="8">
        <f t="shared" si="0"/>
        <v>150</v>
      </c>
      <c r="J18" s="31" t="s">
        <v>105</v>
      </c>
      <c r="K18" s="63" t="s">
        <v>111</v>
      </c>
    </row>
    <row r="19" spans="4:11">
      <c r="D19" s="13" t="s">
        <v>140</v>
      </c>
      <c r="E19" s="7">
        <f t="shared" si="1"/>
        <v>14</v>
      </c>
      <c r="F19" s="7" t="s">
        <v>141</v>
      </c>
      <c r="G19" s="7" t="s">
        <v>104</v>
      </c>
      <c r="H19" s="31">
        <v>0.21</v>
      </c>
      <c r="I19" s="8">
        <f t="shared" si="0"/>
        <v>285.71428571428572</v>
      </c>
      <c r="J19" s="31" t="s">
        <v>105</v>
      </c>
      <c r="K19" s="63" t="s">
        <v>106</v>
      </c>
    </row>
    <row r="20" spans="4:11">
      <c r="D20" s="13" t="s">
        <v>142</v>
      </c>
      <c r="E20" s="7">
        <f t="shared" si="1"/>
        <v>15</v>
      </c>
      <c r="F20" s="7" t="s">
        <v>143</v>
      </c>
      <c r="G20" s="7" t="s">
        <v>104</v>
      </c>
      <c r="H20" s="31">
        <v>0.20230000000000001</v>
      </c>
      <c r="I20" s="8">
        <f t="shared" si="0"/>
        <v>296.58922392486403</v>
      </c>
      <c r="J20" s="31" t="s">
        <v>110</v>
      </c>
      <c r="K20" s="63" t="s">
        <v>111</v>
      </c>
    </row>
    <row r="21" spans="4:11">
      <c r="D21" s="13" t="s">
        <v>144</v>
      </c>
      <c r="E21" s="7">
        <f t="shared" si="1"/>
        <v>16</v>
      </c>
      <c r="F21" s="7" t="s">
        <v>145</v>
      </c>
      <c r="G21" s="7" t="s">
        <v>104</v>
      </c>
      <c r="H21" s="31">
        <v>0.66</v>
      </c>
      <c r="I21" s="8">
        <f t="shared" si="0"/>
        <v>90.909090909090907</v>
      </c>
      <c r="J21" s="31" t="s">
        <v>110</v>
      </c>
      <c r="K21" s="63" t="s">
        <v>111</v>
      </c>
    </row>
    <row r="22" spans="4:11">
      <c r="D22" s="13" t="s">
        <v>146</v>
      </c>
      <c r="E22" s="7">
        <f t="shared" si="1"/>
        <v>17</v>
      </c>
      <c r="F22" s="7" t="s">
        <v>147</v>
      </c>
      <c r="G22" s="7" t="s">
        <v>104</v>
      </c>
      <c r="H22" s="31">
        <v>0.65</v>
      </c>
      <c r="I22" s="8">
        <f t="shared" si="0"/>
        <v>92.307692307692307</v>
      </c>
      <c r="J22" s="31" t="s">
        <v>105</v>
      </c>
      <c r="K22" s="63" t="s">
        <v>111</v>
      </c>
    </row>
    <row r="23" spans="4:11">
      <c r="D23" s="13" t="s">
        <v>148</v>
      </c>
      <c r="E23" s="7">
        <f t="shared" si="1"/>
        <v>18</v>
      </c>
      <c r="F23" s="7" t="s">
        <v>149</v>
      </c>
      <c r="G23" s="7" t="s">
        <v>104</v>
      </c>
      <c r="H23" s="31">
        <v>0.25</v>
      </c>
      <c r="I23" s="8">
        <f t="shared" si="0"/>
        <v>240</v>
      </c>
      <c r="J23" s="31" t="s">
        <v>105</v>
      </c>
      <c r="K23" s="63" t="s">
        <v>106</v>
      </c>
    </row>
    <row r="24" spans="4:11">
      <c r="D24" s="13" t="s">
        <v>150</v>
      </c>
      <c r="E24" s="7">
        <f t="shared" si="1"/>
        <v>19</v>
      </c>
      <c r="F24" s="7" t="s">
        <v>151</v>
      </c>
      <c r="G24" s="7" t="s">
        <v>104</v>
      </c>
      <c r="H24" s="31">
        <v>0.45</v>
      </c>
      <c r="I24" s="8">
        <f t="shared" si="0"/>
        <v>133.33333333333334</v>
      </c>
      <c r="J24" s="31" t="s">
        <v>105</v>
      </c>
      <c r="K24" s="63" t="s">
        <v>111</v>
      </c>
    </row>
    <row r="25" spans="4:11">
      <c r="D25" s="13" t="s">
        <v>152</v>
      </c>
      <c r="E25" s="7">
        <f t="shared" si="1"/>
        <v>20</v>
      </c>
      <c r="F25" s="7" t="s">
        <v>153</v>
      </c>
      <c r="G25" s="7" t="s">
        <v>104</v>
      </c>
      <c r="H25" s="31">
        <v>0.55000000000000004</v>
      </c>
      <c r="I25" s="8">
        <f t="shared" si="0"/>
        <v>109.09090909090908</v>
      </c>
      <c r="J25" s="31" t="s">
        <v>110</v>
      </c>
      <c r="K25" s="63" t="s">
        <v>111</v>
      </c>
    </row>
    <row r="26" spans="4:11">
      <c r="D26" s="13" t="s">
        <v>154</v>
      </c>
      <c r="E26" s="7">
        <f t="shared" si="1"/>
        <v>21</v>
      </c>
      <c r="F26" s="7" t="s">
        <v>155</v>
      </c>
      <c r="G26" s="7" t="s">
        <v>104</v>
      </c>
      <c r="H26" s="31">
        <v>0.25</v>
      </c>
      <c r="I26" s="8">
        <f t="shared" si="0"/>
        <v>240</v>
      </c>
      <c r="J26" s="31" t="s">
        <v>105</v>
      </c>
      <c r="K26" s="63" t="s">
        <v>106</v>
      </c>
    </row>
    <row r="27" spans="4:11">
      <c r="D27" s="13" t="s">
        <v>156</v>
      </c>
      <c r="E27" s="7">
        <f t="shared" si="1"/>
        <v>22</v>
      </c>
      <c r="F27" s="7" t="s">
        <v>157</v>
      </c>
      <c r="G27" s="7" t="s">
        <v>104</v>
      </c>
      <c r="H27" s="31">
        <v>0.24</v>
      </c>
      <c r="I27" s="8">
        <f t="shared" si="0"/>
        <v>250</v>
      </c>
      <c r="J27" s="31" t="s">
        <v>105</v>
      </c>
      <c r="K27" s="63" t="s">
        <v>106</v>
      </c>
    </row>
    <row r="28" spans="4:11">
      <c r="D28" s="13" t="s">
        <v>158</v>
      </c>
      <c r="E28" s="7">
        <f t="shared" si="1"/>
        <v>23</v>
      </c>
      <c r="F28" s="7" t="s">
        <v>159</v>
      </c>
      <c r="G28" s="7" t="s">
        <v>104</v>
      </c>
      <c r="H28" s="31">
        <v>0.26</v>
      </c>
      <c r="I28" s="8">
        <f t="shared" si="0"/>
        <v>230.76923076923077</v>
      </c>
      <c r="J28" s="31" t="s">
        <v>105</v>
      </c>
      <c r="K28" s="63" t="s">
        <v>106</v>
      </c>
    </row>
    <row r="29" spans="4:11">
      <c r="D29" s="13" t="s">
        <v>160</v>
      </c>
      <c r="E29" s="7">
        <f t="shared" si="1"/>
        <v>24</v>
      </c>
      <c r="F29" s="7" t="s">
        <v>161</v>
      </c>
      <c r="G29" s="7" t="s">
        <v>104</v>
      </c>
      <c r="H29" s="31">
        <v>0.27</v>
      </c>
      <c r="I29" s="8">
        <f t="shared" si="0"/>
        <v>222.2222222222222</v>
      </c>
      <c r="J29" s="31" t="s">
        <v>110</v>
      </c>
      <c r="K29" s="63" t="s">
        <v>111</v>
      </c>
    </row>
    <row r="30" spans="4:11">
      <c r="D30" s="13" t="s">
        <v>162</v>
      </c>
      <c r="E30" s="7">
        <f t="shared" si="1"/>
        <v>25</v>
      </c>
      <c r="F30" s="7" t="s">
        <v>163</v>
      </c>
      <c r="G30" s="7" t="s">
        <v>104</v>
      </c>
      <c r="H30" s="31">
        <v>0.28000000000000003</v>
      </c>
      <c r="I30" s="8">
        <f t="shared" si="0"/>
        <v>214.28571428571428</v>
      </c>
      <c r="J30" s="31" t="s">
        <v>105</v>
      </c>
      <c r="K30" s="63" t="s">
        <v>111</v>
      </c>
    </row>
    <row r="31" spans="4:11">
      <c r="D31" s="13" t="s">
        <v>164</v>
      </c>
      <c r="E31" s="7">
        <f t="shared" si="1"/>
        <v>26</v>
      </c>
      <c r="F31" s="7" t="s">
        <v>165</v>
      </c>
      <c r="G31" s="7" t="s">
        <v>104</v>
      </c>
      <c r="H31" s="31">
        <v>0.18</v>
      </c>
      <c r="I31" s="8">
        <f t="shared" si="0"/>
        <v>333.33333333333337</v>
      </c>
      <c r="J31" s="31" t="s">
        <v>105</v>
      </c>
      <c r="K31" s="63" t="s">
        <v>111</v>
      </c>
    </row>
    <row r="32" spans="4:11">
      <c r="D32" s="13" t="s">
        <v>166</v>
      </c>
      <c r="E32" s="7">
        <f t="shared" si="1"/>
        <v>27</v>
      </c>
      <c r="F32" s="7" t="s">
        <v>167</v>
      </c>
      <c r="G32" s="7" t="s">
        <v>104</v>
      </c>
      <c r="H32" s="31">
        <v>0.25</v>
      </c>
      <c r="I32" s="8">
        <f t="shared" si="0"/>
        <v>240</v>
      </c>
      <c r="J32" s="31" t="s">
        <v>110</v>
      </c>
      <c r="K32" s="63" t="s">
        <v>111</v>
      </c>
    </row>
    <row r="33" spans="4:11">
      <c r="D33" s="13" t="s">
        <v>168</v>
      </c>
      <c r="E33" s="7">
        <f t="shared" si="1"/>
        <v>28</v>
      </c>
      <c r="F33" s="7" t="s">
        <v>169</v>
      </c>
      <c r="G33" s="7" t="s">
        <v>104</v>
      </c>
      <c r="H33" s="31">
        <v>0.53</v>
      </c>
      <c r="I33" s="8">
        <f t="shared" si="0"/>
        <v>113.20754716981132</v>
      </c>
      <c r="J33" s="31" t="s">
        <v>110</v>
      </c>
      <c r="K33" s="63" t="s">
        <v>106</v>
      </c>
    </row>
    <row r="34" spans="4:11">
      <c r="D34" s="13" t="s">
        <v>170</v>
      </c>
      <c r="E34" s="7">
        <f t="shared" si="1"/>
        <v>29</v>
      </c>
      <c r="F34" s="7" t="s">
        <v>171</v>
      </c>
      <c r="G34" s="7" t="s">
        <v>104</v>
      </c>
      <c r="H34" s="31">
        <v>0.46</v>
      </c>
      <c r="I34" s="8">
        <f t="shared" si="0"/>
        <v>130.43478260869566</v>
      </c>
      <c r="J34" s="31" t="s">
        <v>110</v>
      </c>
      <c r="K34" s="63" t="s">
        <v>111</v>
      </c>
    </row>
    <row r="35" spans="4:11">
      <c r="D35" s="13" t="s">
        <v>172</v>
      </c>
      <c r="E35" s="7">
        <f t="shared" si="1"/>
        <v>30</v>
      </c>
      <c r="F35" s="7" t="s">
        <v>173</v>
      </c>
      <c r="G35" s="7" t="s">
        <v>104</v>
      </c>
      <c r="H35" s="31">
        <v>0.28000000000000003</v>
      </c>
      <c r="I35" s="8">
        <f t="shared" si="0"/>
        <v>214.28571428571428</v>
      </c>
      <c r="J35" s="31" t="s">
        <v>110</v>
      </c>
      <c r="K35" s="63" t="s">
        <v>111</v>
      </c>
    </row>
    <row r="36" spans="4:11">
      <c r="D36" s="13" t="s">
        <v>174</v>
      </c>
      <c r="E36" s="7">
        <f t="shared" si="1"/>
        <v>31</v>
      </c>
      <c r="F36" s="7" t="s">
        <v>175</v>
      </c>
      <c r="G36" s="7" t="s">
        <v>104</v>
      </c>
      <c r="H36" s="31">
        <v>0.24229999999999999</v>
      </c>
      <c r="I36" s="8">
        <f t="shared" si="0"/>
        <v>247.62690879075527</v>
      </c>
      <c r="J36" s="31" t="s">
        <v>105</v>
      </c>
      <c r="K36" s="63" t="s">
        <v>106</v>
      </c>
    </row>
    <row r="37" spans="4:11">
      <c r="D37" s="13" t="s">
        <v>176</v>
      </c>
      <c r="E37" s="7">
        <f t="shared" si="1"/>
        <v>32</v>
      </c>
      <c r="F37" s="7" t="s">
        <v>177</v>
      </c>
      <c r="G37" s="7" t="s">
        <v>104</v>
      </c>
      <c r="H37" s="31">
        <v>0.4</v>
      </c>
      <c r="I37" s="8">
        <f t="shared" si="0"/>
        <v>150</v>
      </c>
      <c r="J37" s="31" t="s">
        <v>110</v>
      </c>
      <c r="K37" s="63" t="s">
        <v>111</v>
      </c>
    </row>
    <row r="38" spans="4:11">
      <c r="D38" s="13" t="s">
        <v>178</v>
      </c>
      <c r="E38" s="7">
        <f t="shared" si="1"/>
        <v>33</v>
      </c>
      <c r="F38" s="7" t="s">
        <v>179</v>
      </c>
      <c r="G38" s="7" t="s">
        <v>104</v>
      </c>
      <c r="H38" s="31">
        <v>0.5</v>
      </c>
      <c r="I38" s="8">
        <f t="shared" si="0"/>
        <v>120</v>
      </c>
      <c r="J38" s="31" t="s">
        <v>110</v>
      </c>
      <c r="K38" s="63" t="s">
        <v>111</v>
      </c>
    </row>
    <row r="39" spans="4:11">
      <c r="D39" s="13" t="s">
        <v>180</v>
      </c>
      <c r="E39" s="7">
        <f t="shared" si="1"/>
        <v>34</v>
      </c>
      <c r="F39" s="7" t="s">
        <v>181</v>
      </c>
      <c r="G39" s="7" t="s">
        <v>104</v>
      </c>
      <c r="H39" s="31">
        <v>0.12</v>
      </c>
      <c r="I39" s="8">
        <f t="shared" si="0"/>
        <v>500</v>
      </c>
      <c r="J39" s="31" t="s">
        <v>110</v>
      </c>
      <c r="K39" s="63" t="s">
        <v>106</v>
      </c>
    </row>
    <row r="40" spans="4:11">
      <c r="D40" s="13" t="s">
        <v>182</v>
      </c>
      <c r="E40" s="7">
        <f t="shared" si="1"/>
        <v>35</v>
      </c>
      <c r="F40" s="7" t="s">
        <v>183</v>
      </c>
      <c r="G40" s="7" t="s">
        <v>104</v>
      </c>
      <c r="H40" s="31">
        <v>0.1</v>
      </c>
      <c r="I40" s="8">
        <f t="shared" si="0"/>
        <v>600</v>
      </c>
      <c r="J40" s="31" t="s">
        <v>110</v>
      </c>
      <c r="K40" s="63" t="s">
        <v>111</v>
      </c>
    </row>
    <row r="41" spans="4:11">
      <c r="D41" s="13" t="s">
        <v>184</v>
      </c>
      <c r="E41" s="7">
        <f t="shared" si="1"/>
        <v>36</v>
      </c>
      <c r="F41" s="7" t="s">
        <v>185</v>
      </c>
      <c r="G41" s="7" t="s">
        <v>104</v>
      </c>
      <c r="H41" s="31">
        <v>0.15</v>
      </c>
      <c r="I41" s="8">
        <f t="shared" si="0"/>
        <v>400</v>
      </c>
      <c r="J41" s="31" t="s">
        <v>110</v>
      </c>
      <c r="K41" s="63" t="s">
        <v>111</v>
      </c>
    </row>
    <row r="42" spans="4:11">
      <c r="D42" s="13" t="s">
        <v>186</v>
      </c>
      <c r="E42" s="7">
        <f t="shared" si="1"/>
        <v>37</v>
      </c>
      <c r="F42" s="7" t="s">
        <v>187</v>
      </c>
      <c r="G42" s="7" t="s">
        <v>104</v>
      </c>
      <c r="H42" s="31">
        <v>0.5</v>
      </c>
      <c r="I42" s="8">
        <f t="shared" si="0"/>
        <v>120</v>
      </c>
      <c r="J42" s="31" t="s">
        <v>110</v>
      </c>
      <c r="K42" s="63" t="s">
        <v>111</v>
      </c>
    </row>
    <row r="43" spans="4:11">
      <c r="D43" s="13" t="s">
        <v>188</v>
      </c>
      <c r="E43" s="7">
        <f t="shared" si="1"/>
        <v>38</v>
      </c>
      <c r="F43" s="7" t="s">
        <v>189</v>
      </c>
      <c r="G43" s="7" t="s">
        <v>104</v>
      </c>
      <c r="H43" s="31">
        <v>0.35</v>
      </c>
      <c r="I43" s="8">
        <f t="shared" si="0"/>
        <v>171.42857142857144</v>
      </c>
      <c r="J43" s="31" t="s">
        <v>110</v>
      </c>
      <c r="K43" s="63" t="s">
        <v>111</v>
      </c>
    </row>
    <row r="44" spans="4:11">
      <c r="D44" s="13" t="s">
        <v>190</v>
      </c>
      <c r="E44" s="7">
        <f t="shared" si="1"/>
        <v>39</v>
      </c>
      <c r="F44" s="7" t="s">
        <v>191</v>
      </c>
      <c r="G44" s="7" t="s">
        <v>104</v>
      </c>
      <c r="H44" s="31">
        <v>0.3</v>
      </c>
      <c r="I44" s="8">
        <f t="shared" si="0"/>
        <v>200</v>
      </c>
      <c r="J44" s="31" t="s">
        <v>110</v>
      </c>
      <c r="K44" s="63" t="s">
        <v>111</v>
      </c>
    </row>
    <row r="45" spans="4:11">
      <c r="D45" s="13" t="s">
        <v>192</v>
      </c>
      <c r="E45" s="7">
        <f t="shared" si="1"/>
        <v>40</v>
      </c>
      <c r="F45" s="7" t="s">
        <v>193</v>
      </c>
      <c r="G45" s="7" t="s">
        <v>104</v>
      </c>
      <c r="H45" s="31">
        <v>0.25</v>
      </c>
      <c r="I45" s="8">
        <f t="shared" si="0"/>
        <v>240</v>
      </c>
      <c r="J45" s="31" t="s">
        <v>105</v>
      </c>
      <c r="K45" s="63" t="s">
        <v>106</v>
      </c>
    </row>
    <row r="46" spans="4:11">
      <c r="D46" s="13" t="s">
        <v>194</v>
      </c>
      <c r="E46" s="7">
        <f t="shared" si="1"/>
        <v>41</v>
      </c>
      <c r="F46" s="7" t="s">
        <v>195</v>
      </c>
      <c r="G46" s="7" t="s">
        <v>104</v>
      </c>
      <c r="H46" s="31">
        <v>0.2</v>
      </c>
      <c r="I46" s="8">
        <f t="shared" si="0"/>
        <v>300</v>
      </c>
      <c r="J46" s="31" t="s">
        <v>105</v>
      </c>
      <c r="K46" s="63" t="s">
        <v>106</v>
      </c>
    </row>
    <row r="47" spans="4:11">
      <c r="D47" s="13" t="s">
        <v>196</v>
      </c>
      <c r="E47" s="7">
        <f t="shared" si="1"/>
        <v>42</v>
      </c>
      <c r="F47" s="7" t="s">
        <v>197</v>
      </c>
      <c r="G47" s="7" t="s">
        <v>104</v>
      </c>
      <c r="H47" s="31">
        <v>0.55000000000000004</v>
      </c>
      <c r="I47" s="8">
        <f t="shared" si="0"/>
        <v>109.09090909090908</v>
      </c>
      <c r="J47" s="31" t="s">
        <v>110</v>
      </c>
      <c r="K47" s="63" t="s">
        <v>111</v>
      </c>
    </row>
    <row r="48" spans="4:11">
      <c r="D48" s="13" t="s">
        <v>198</v>
      </c>
      <c r="E48" s="7">
        <f t="shared" si="1"/>
        <v>43</v>
      </c>
      <c r="F48" s="7" t="s">
        <v>199</v>
      </c>
      <c r="G48" s="7" t="s">
        <v>104</v>
      </c>
      <c r="H48" s="31">
        <v>0.25</v>
      </c>
      <c r="I48" s="8">
        <f t="shared" si="0"/>
        <v>240</v>
      </c>
      <c r="J48" s="31" t="s">
        <v>110</v>
      </c>
      <c r="K48" s="63" t="s">
        <v>111</v>
      </c>
    </row>
    <row r="49" spans="4:11">
      <c r="D49" s="13" t="s">
        <v>200</v>
      </c>
      <c r="E49" s="7">
        <f t="shared" si="1"/>
        <v>44</v>
      </c>
      <c r="F49" s="7" t="s">
        <v>201</v>
      </c>
      <c r="G49" s="7" t="s">
        <v>104</v>
      </c>
      <c r="H49" s="31">
        <v>0.25</v>
      </c>
      <c r="I49" s="8">
        <f t="shared" si="0"/>
        <v>240</v>
      </c>
      <c r="J49" s="31" t="s">
        <v>105</v>
      </c>
      <c r="K49" s="63" t="s">
        <v>111</v>
      </c>
    </row>
    <row r="50" spans="4:11">
      <c r="D50" s="13" t="s">
        <v>202</v>
      </c>
      <c r="E50" s="7">
        <f t="shared" si="1"/>
        <v>45</v>
      </c>
      <c r="F50" s="7" t="s">
        <v>203</v>
      </c>
      <c r="G50" s="7" t="s">
        <v>104</v>
      </c>
      <c r="H50" s="31">
        <v>0.5</v>
      </c>
      <c r="I50" s="8">
        <f t="shared" si="0"/>
        <v>120</v>
      </c>
      <c r="J50" s="31" t="s">
        <v>105</v>
      </c>
      <c r="K50" s="63" t="s">
        <v>111</v>
      </c>
    </row>
    <row r="51" spans="4:11">
      <c r="D51" s="13" t="s">
        <v>204</v>
      </c>
      <c r="E51" s="7">
        <v>46</v>
      </c>
      <c r="F51" s="7" t="s">
        <v>205</v>
      </c>
      <c r="G51" s="7" t="s">
        <v>104</v>
      </c>
      <c r="H51" s="31">
        <v>0.3</v>
      </c>
      <c r="I51" s="8">
        <f t="shared" si="0"/>
        <v>200</v>
      </c>
      <c r="J51" s="31" t="s">
        <v>105</v>
      </c>
      <c r="K51" s="63" t="s">
        <v>111</v>
      </c>
    </row>
    <row r="52" spans="4:11">
      <c r="D52" s="13" t="s">
        <v>206</v>
      </c>
      <c r="E52" s="7">
        <v>47</v>
      </c>
      <c r="F52" s="7" t="s">
        <v>207</v>
      </c>
      <c r="G52" s="7" t="s">
        <v>104</v>
      </c>
      <c r="H52" s="31">
        <v>0.21</v>
      </c>
      <c r="I52" s="8">
        <f t="shared" si="0"/>
        <v>285.71428571428572</v>
      </c>
      <c r="J52" s="31" t="s">
        <v>105</v>
      </c>
      <c r="K52" s="63" t="s">
        <v>111</v>
      </c>
    </row>
    <row r="53" spans="4:11">
      <c r="D53" s="13" t="s">
        <v>208</v>
      </c>
      <c r="E53" s="7">
        <v>48</v>
      </c>
      <c r="F53" s="7" t="s">
        <v>209</v>
      </c>
      <c r="G53" s="7" t="s">
        <v>104</v>
      </c>
      <c r="H53" s="31">
        <v>0.3</v>
      </c>
      <c r="I53" s="8">
        <f t="shared" si="0"/>
        <v>200</v>
      </c>
      <c r="J53" s="31" t="s">
        <v>105</v>
      </c>
      <c r="K53" s="63" t="s">
        <v>111</v>
      </c>
    </row>
    <row r="54" spans="4:11">
      <c r="D54" s="13" t="s">
        <v>210</v>
      </c>
      <c r="E54" s="7">
        <v>49</v>
      </c>
      <c r="F54" s="7" t="s">
        <v>211</v>
      </c>
      <c r="G54" s="7" t="s">
        <v>104</v>
      </c>
      <c r="H54" s="31">
        <v>3</v>
      </c>
      <c r="I54" s="8">
        <f t="shared" si="0"/>
        <v>20</v>
      </c>
      <c r="J54" s="31" t="s">
        <v>105</v>
      </c>
      <c r="K54" s="63" t="s">
        <v>111</v>
      </c>
    </row>
    <row r="55" spans="4:11">
      <c r="D55" s="13" t="s">
        <v>212</v>
      </c>
      <c r="E55" s="7">
        <f>E50+1</f>
        <v>46</v>
      </c>
      <c r="F55" s="7" t="s">
        <v>103</v>
      </c>
      <c r="G55" s="7" t="s">
        <v>104</v>
      </c>
      <c r="H55" s="31">
        <v>0.3</v>
      </c>
      <c r="I55" s="8">
        <f t="shared" si="0"/>
        <v>200</v>
      </c>
      <c r="J55" s="31" t="s">
        <v>105</v>
      </c>
      <c r="K55" s="63" t="s">
        <v>106</v>
      </c>
    </row>
    <row r="56" spans="4:11">
      <c r="D56" s="13" t="s">
        <v>213</v>
      </c>
      <c r="E56" s="7">
        <f t="shared" si="1"/>
        <v>47</v>
      </c>
      <c r="F56" s="7" t="s">
        <v>119</v>
      </c>
      <c r="G56" s="7" t="s">
        <v>104</v>
      </c>
      <c r="H56" s="31">
        <v>0.25</v>
      </c>
      <c r="I56" s="8">
        <f t="shared" si="0"/>
        <v>240</v>
      </c>
      <c r="J56" s="31" t="s">
        <v>105</v>
      </c>
      <c r="K56" s="63" t="s">
        <v>111</v>
      </c>
    </row>
    <row r="57" spans="4:11">
      <c r="D57" s="13" t="s">
        <v>214</v>
      </c>
      <c r="E57" s="7">
        <f t="shared" si="1"/>
        <v>48</v>
      </c>
      <c r="F57" s="7" t="s">
        <v>122</v>
      </c>
      <c r="G57" s="7" t="s">
        <v>104</v>
      </c>
      <c r="H57" s="31">
        <v>0.72</v>
      </c>
      <c r="I57" s="8">
        <f t="shared" si="0"/>
        <v>83.333333333333343</v>
      </c>
      <c r="J57" s="31" t="s">
        <v>105</v>
      </c>
      <c r="K57" s="63" t="s">
        <v>111</v>
      </c>
    </row>
    <row r="58" spans="4:11">
      <c r="D58" s="13" t="s">
        <v>215</v>
      </c>
      <c r="E58" s="7">
        <f t="shared" si="1"/>
        <v>49</v>
      </c>
      <c r="F58" s="7" t="s">
        <v>216</v>
      </c>
      <c r="G58" s="7" t="s">
        <v>104</v>
      </c>
      <c r="H58" s="31">
        <v>0.55000000000000004</v>
      </c>
      <c r="I58" s="8">
        <f t="shared" si="0"/>
        <v>109.09090909090908</v>
      </c>
      <c r="J58" s="31" t="s">
        <v>110</v>
      </c>
      <c r="K58" s="63" t="s">
        <v>111</v>
      </c>
    </row>
    <row r="59" spans="4:11">
      <c r="D59" s="13" t="s">
        <v>217</v>
      </c>
      <c r="E59" s="7">
        <f t="shared" si="1"/>
        <v>50</v>
      </c>
      <c r="F59" s="7" t="s">
        <v>128</v>
      </c>
      <c r="G59" s="7" t="s">
        <v>104</v>
      </c>
      <c r="H59" s="31">
        <v>0.45</v>
      </c>
      <c r="I59" s="8">
        <f t="shared" si="0"/>
        <v>133.33333333333334</v>
      </c>
      <c r="J59" s="31" t="s">
        <v>110</v>
      </c>
      <c r="K59" s="63" t="s">
        <v>111</v>
      </c>
    </row>
    <row r="60" spans="4:11">
      <c r="D60" s="13" t="s">
        <v>218</v>
      </c>
      <c r="E60" s="7">
        <f t="shared" si="1"/>
        <v>51</v>
      </c>
      <c r="F60" s="7" t="s">
        <v>143</v>
      </c>
      <c r="G60" s="7" t="s">
        <v>104</v>
      </c>
      <c r="H60" s="31">
        <v>0.3</v>
      </c>
      <c r="I60" s="8">
        <f t="shared" si="0"/>
        <v>200</v>
      </c>
      <c r="J60" s="31" t="s">
        <v>110</v>
      </c>
      <c r="K60" s="63" t="s">
        <v>111</v>
      </c>
    </row>
    <row r="61" spans="4:11">
      <c r="D61" s="13" t="s">
        <v>219</v>
      </c>
      <c r="E61" s="7">
        <f t="shared" si="1"/>
        <v>52</v>
      </c>
      <c r="F61" s="7" t="s">
        <v>151</v>
      </c>
      <c r="G61" s="7" t="s">
        <v>104</v>
      </c>
      <c r="H61" s="31">
        <v>0.4</v>
      </c>
      <c r="I61" s="8">
        <f t="shared" si="0"/>
        <v>150</v>
      </c>
      <c r="J61" s="31" t="s">
        <v>105</v>
      </c>
      <c r="K61" s="63" t="s">
        <v>111</v>
      </c>
    </row>
    <row r="62" spans="4:11">
      <c r="D62" s="13" t="s">
        <v>220</v>
      </c>
      <c r="E62" s="7">
        <f t="shared" si="1"/>
        <v>53</v>
      </c>
      <c r="F62" s="7" t="s">
        <v>163</v>
      </c>
      <c r="G62" s="7" t="s">
        <v>104</v>
      </c>
      <c r="H62" s="31">
        <v>0.17</v>
      </c>
      <c r="I62" s="8">
        <f t="shared" si="0"/>
        <v>352.94117647058823</v>
      </c>
      <c r="J62" s="31" t="s">
        <v>105</v>
      </c>
      <c r="K62" s="63" t="s">
        <v>111</v>
      </c>
    </row>
    <row r="63" spans="4:11">
      <c r="D63" s="13" t="s">
        <v>221</v>
      </c>
      <c r="E63" s="7">
        <f t="shared" si="1"/>
        <v>54</v>
      </c>
      <c r="F63" s="7" t="s">
        <v>128</v>
      </c>
      <c r="G63" s="7" t="s">
        <v>104</v>
      </c>
      <c r="H63" s="31">
        <v>0.4</v>
      </c>
      <c r="I63" s="8">
        <f t="shared" si="0"/>
        <v>150</v>
      </c>
      <c r="J63" s="31" t="s">
        <v>110</v>
      </c>
      <c r="K63" s="63" t="s">
        <v>111</v>
      </c>
    </row>
    <row r="64" spans="4:11">
      <c r="D64" s="13" t="s">
        <v>222</v>
      </c>
      <c r="E64" s="7">
        <f t="shared" si="1"/>
        <v>55</v>
      </c>
      <c r="F64" s="7" t="s">
        <v>223</v>
      </c>
      <c r="G64" s="7" t="s">
        <v>104</v>
      </c>
      <c r="H64" s="31">
        <v>0.72</v>
      </c>
      <c r="I64" s="8">
        <f t="shared" si="0"/>
        <v>83.333333333333343</v>
      </c>
      <c r="J64" s="31" t="s">
        <v>105</v>
      </c>
      <c r="K64" s="63" t="s">
        <v>111</v>
      </c>
    </row>
    <row r="65" spans="4:11">
      <c r="D65" s="13" t="s">
        <v>224</v>
      </c>
      <c r="E65" s="7">
        <f t="shared" si="1"/>
        <v>56</v>
      </c>
      <c r="F65" s="7" t="s">
        <v>137</v>
      </c>
      <c r="G65" s="7" t="s">
        <v>104</v>
      </c>
      <c r="H65" s="31">
        <v>0.24</v>
      </c>
      <c r="I65" s="8">
        <f t="shared" si="0"/>
        <v>250</v>
      </c>
      <c r="J65" s="31" t="s">
        <v>105</v>
      </c>
      <c r="K65" s="63" t="s">
        <v>106</v>
      </c>
    </row>
    <row r="66" spans="4:11">
      <c r="D66" s="13" t="s">
        <v>225</v>
      </c>
      <c r="E66" s="7">
        <f t="shared" si="1"/>
        <v>57</v>
      </c>
      <c r="F66" s="7" t="s">
        <v>109</v>
      </c>
      <c r="G66" s="7" t="s">
        <v>104</v>
      </c>
      <c r="H66" s="31">
        <v>1</v>
      </c>
      <c r="I66" s="8">
        <f t="shared" si="0"/>
        <v>60</v>
      </c>
      <c r="J66" s="31" t="s">
        <v>110</v>
      </c>
      <c r="K66" s="63" t="s">
        <v>111</v>
      </c>
    </row>
    <row r="67" spans="4:11">
      <c r="D67" s="13" t="s">
        <v>226</v>
      </c>
      <c r="E67" s="7">
        <f t="shared" si="1"/>
        <v>58</v>
      </c>
      <c r="F67" s="7" t="s">
        <v>119</v>
      </c>
      <c r="G67" s="7" t="s">
        <v>104</v>
      </c>
      <c r="H67" s="31">
        <v>0.32</v>
      </c>
      <c r="I67" s="8">
        <f t="shared" si="0"/>
        <v>187.5</v>
      </c>
      <c r="J67" s="31" t="s">
        <v>105</v>
      </c>
      <c r="K67" s="63" t="s">
        <v>111</v>
      </c>
    </row>
    <row r="68" spans="4:11">
      <c r="D68" s="13" t="s">
        <v>227</v>
      </c>
      <c r="E68" s="7">
        <f t="shared" si="1"/>
        <v>59</v>
      </c>
      <c r="F68" s="7" t="s">
        <v>228</v>
      </c>
      <c r="G68" s="7" t="s">
        <v>229</v>
      </c>
      <c r="H68" s="31">
        <v>0.3</v>
      </c>
      <c r="I68" s="8">
        <f t="shared" si="0"/>
        <v>200</v>
      </c>
      <c r="J68" s="31" t="s">
        <v>105</v>
      </c>
      <c r="K68" s="63" t="s">
        <v>106</v>
      </c>
    </row>
    <row r="69" spans="4:11">
      <c r="D69" s="13" t="s">
        <v>230</v>
      </c>
      <c r="E69" s="7">
        <f t="shared" si="1"/>
        <v>60</v>
      </c>
      <c r="F69" s="7" t="s">
        <v>231</v>
      </c>
      <c r="G69" s="7" t="s">
        <v>229</v>
      </c>
      <c r="H69" s="31">
        <v>0.45</v>
      </c>
      <c r="I69" s="8">
        <f t="shared" si="0"/>
        <v>133.33333333333334</v>
      </c>
      <c r="J69" s="31" t="s">
        <v>110</v>
      </c>
      <c r="K69" s="63" t="s">
        <v>111</v>
      </c>
    </row>
    <row r="70" spans="4:11">
      <c r="D70" s="13" t="s">
        <v>232</v>
      </c>
      <c r="E70" s="7">
        <f t="shared" si="1"/>
        <v>61</v>
      </c>
      <c r="F70" s="7" t="s">
        <v>233</v>
      </c>
      <c r="G70" s="7" t="s">
        <v>229</v>
      </c>
      <c r="H70" s="31">
        <v>0.52</v>
      </c>
      <c r="I70" s="8">
        <f t="shared" si="0"/>
        <v>115.38461538461539</v>
      </c>
      <c r="J70" s="31" t="s">
        <v>105</v>
      </c>
      <c r="K70" s="63" t="s">
        <v>111</v>
      </c>
    </row>
    <row r="71" spans="4:11">
      <c r="D71" s="13" t="s">
        <v>234</v>
      </c>
      <c r="E71" s="7">
        <f>E70+1</f>
        <v>62</v>
      </c>
      <c r="F71" s="7" t="s">
        <v>235</v>
      </c>
      <c r="G71" s="7" t="s">
        <v>229</v>
      </c>
      <c r="H71" s="31">
        <v>0.66110000000000002</v>
      </c>
      <c r="I71" s="8">
        <f t="shared" si="0"/>
        <v>90.757827862653144</v>
      </c>
      <c r="J71" s="31" t="s">
        <v>110</v>
      </c>
      <c r="K71" s="63" t="s">
        <v>111</v>
      </c>
    </row>
    <row r="72" spans="4:11">
      <c r="D72" s="13" t="s">
        <v>236</v>
      </c>
      <c r="E72" s="7">
        <f t="shared" ref="E72:E76" si="2">E71+1</f>
        <v>63</v>
      </c>
      <c r="F72" s="7" t="s">
        <v>237</v>
      </c>
      <c r="G72" s="7" t="s">
        <v>229</v>
      </c>
      <c r="H72" s="31">
        <v>0.26</v>
      </c>
      <c r="I72" s="8">
        <f t="shared" si="0"/>
        <v>230.76923076923077</v>
      </c>
      <c r="J72" s="31" t="s">
        <v>105</v>
      </c>
      <c r="K72" s="63" t="s">
        <v>106</v>
      </c>
    </row>
    <row r="73" spans="4:11">
      <c r="D73" s="13" t="s">
        <v>238</v>
      </c>
      <c r="E73" s="7">
        <f t="shared" si="2"/>
        <v>64</v>
      </c>
      <c r="F73" s="7" t="s">
        <v>239</v>
      </c>
      <c r="G73" s="7" t="s">
        <v>229</v>
      </c>
      <c r="H73" s="31">
        <v>0.25</v>
      </c>
      <c r="I73" s="8">
        <f t="shared" si="0"/>
        <v>240</v>
      </c>
      <c r="J73" s="31" t="s">
        <v>105</v>
      </c>
      <c r="K73" s="63" t="s">
        <v>106</v>
      </c>
    </row>
    <row r="74" spans="4:11">
      <c r="D74" s="13" t="s">
        <v>240</v>
      </c>
      <c r="E74" s="7">
        <f t="shared" si="2"/>
        <v>65</v>
      </c>
      <c r="F74" s="7" t="s">
        <v>241</v>
      </c>
      <c r="G74" s="7" t="s">
        <v>229</v>
      </c>
      <c r="H74" s="31">
        <v>0.25</v>
      </c>
      <c r="I74" s="8">
        <f t="shared" si="0"/>
        <v>240</v>
      </c>
      <c r="J74" s="31" t="s">
        <v>105</v>
      </c>
      <c r="K74" s="63" t="s">
        <v>106</v>
      </c>
    </row>
    <row r="75" spans="4:11">
      <c r="D75" s="13" t="s">
        <v>242</v>
      </c>
      <c r="E75" s="7">
        <f t="shared" si="2"/>
        <v>66</v>
      </c>
      <c r="F75" s="7" t="s">
        <v>243</v>
      </c>
      <c r="G75" s="7" t="s">
        <v>229</v>
      </c>
      <c r="H75" s="31">
        <v>0.4</v>
      </c>
      <c r="I75" s="8">
        <f t="shared" ref="I75:I138" si="3">60/H75</f>
        <v>150</v>
      </c>
      <c r="J75" s="31" t="s">
        <v>105</v>
      </c>
      <c r="K75" s="63" t="s">
        <v>106</v>
      </c>
    </row>
    <row r="76" spans="4:11">
      <c r="D76" s="13" t="s">
        <v>244</v>
      </c>
      <c r="E76" s="7">
        <f t="shared" si="2"/>
        <v>67</v>
      </c>
      <c r="F76" s="7" t="s">
        <v>245</v>
      </c>
      <c r="G76" s="7" t="s">
        <v>229</v>
      </c>
      <c r="H76" s="31">
        <v>0.52</v>
      </c>
      <c r="I76" s="8">
        <f t="shared" si="3"/>
        <v>115.38461538461539</v>
      </c>
      <c r="J76" s="31" t="s">
        <v>105</v>
      </c>
      <c r="K76" s="63" t="s">
        <v>111</v>
      </c>
    </row>
    <row r="77" spans="4:11">
      <c r="D77" s="13" t="s">
        <v>246</v>
      </c>
      <c r="E77" s="7">
        <f>E76+1</f>
        <v>68</v>
      </c>
      <c r="F77" s="7" t="s">
        <v>247</v>
      </c>
      <c r="G77" s="7" t="s">
        <v>229</v>
      </c>
      <c r="H77" s="31">
        <v>0.18690000000000001</v>
      </c>
      <c r="I77" s="8">
        <f t="shared" si="3"/>
        <v>321.02728731942216</v>
      </c>
      <c r="J77" s="31" t="s">
        <v>105</v>
      </c>
      <c r="K77" s="63" t="s">
        <v>111</v>
      </c>
    </row>
    <row r="78" spans="4:11">
      <c r="D78" s="13" t="s">
        <v>248</v>
      </c>
      <c r="E78" s="7">
        <f t="shared" ref="E78:E141" si="4">E77+1</f>
        <v>69</v>
      </c>
      <c r="F78" s="7" t="s">
        <v>249</v>
      </c>
      <c r="G78" s="7" t="s">
        <v>229</v>
      </c>
      <c r="H78" s="31">
        <v>0.48</v>
      </c>
      <c r="I78" s="8">
        <f t="shared" si="3"/>
        <v>125</v>
      </c>
      <c r="J78" s="31" t="s">
        <v>110</v>
      </c>
      <c r="K78" s="63" t="s">
        <v>111</v>
      </c>
    </row>
    <row r="79" spans="4:11">
      <c r="D79" s="13" t="s">
        <v>250</v>
      </c>
      <c r="E79" s="7">
        <f t="shared" si="4"/>
        <v>70</v>
      </c>
      <c r="F79" s="7" t="s">
        <v>251</v>
      </c>
      <c r="G79" s="7" t="s">
        <v>229</v>
      </c>
      <c r="H79" s="31">
        <v>0.2</v>
      </c>
      <c r="I79" s="8">
        <f t="shared" si="3"/>
        <v>300</v>
      </c>
      <c r="J79" s="31" t="s">
        <v>105</v>
      </c>
      <c r="K79" s="63" t="s">
        <v>111</v>
      </c>
    </row>
    <row r="80" spans="4:11">
      <c r="D80" s="13" t="s">
        <v>252</v>
      </c>
      <c r="E80" s="7">
        <f t="shared" si="4"/>
        <v>71</v>
      </c>
      <c r="F80" s="7" t="s">
        <v>253</v>
      </c>
      <c r="G80" s="7" t="s">
        <v>229</v>
      </c>
      <c r="H80" s="31">
        <v>0.3085</v>
      </c>
      <c r="I80" s="8">
        <f t="shared" si="3"/>
        <v>194.48946515397083</v>
      </c>
      <c r="J80" s="31" t="s">
        <v>110</v>
      </c>
      <c r="K80" s="63" t="s">
        <v>111</v>
      </c>
    </row>
    <row r="81" spans="4:11">
      <c r="D81" s="13" t="s">
        <v>254</v>
      </c>
      <c r="E81" s="7">
        <f t="shared" si="4"/>
        <v>72</v>
      </c>
      <c r="F81" s="7" t="s">
        <v>255</v>
      </c>
      <c r="G81" s="7" t="s">
        <v>229</v>
      </c>
      <c r="H81" s="31">
        <v>0.3498</v>
      </c>
      <c r="I81" s="8">
        <f t="shared" si="3"/>
        <v>171.52658662092625</v>
      </c>
      <c r="J81" s="31" t="s">
        <v>110</v>
      </c>
      <c r="K81" s="63" t="s">
        <v>111</v>
      </c>
    </row>
    <row r="82" spans="4:11">
      <c r="D82" s="13" t="s">
        <v>256</v>
      </c>
      <c r="E82" s="7">
        <f t="shared" si="4"/>
        <v>73</v>
      </c>
      <c r="F82" s="7" t="s">
        <v>257</v>
      </c>
      <c r="G82" s="7" t="s">
        <v>229</v>
      </c>
      <c r="H82" s="31">
        <v>0.39</v>
      </c>
      <c r="I82" s="8">
        <f t="shared" si="3"/>
        <v>153.84615384615384</v>
      </c>
      <c r="J82" s="31" t="s">
        <v>110</v>
      </c>
      <c r="K82" s="63" t="s">
        <v>111</v>
      </c>
    </row>
    <row r="83" spans="4:11">
      <c r="D83" s="13" t="s">
        <v>258</v>
      </c>
      <c r="E83" s="7">
        <f t="shared" si="4"/>
        <v>74</v>
      </c>
      <c r="F83" s="7" t="s">
        <v>259</v>
      </c>
      <c r="G83" s="7" t="s">
        <v>229</v>
      </c>
      <c r="H83" s="31">
        <v>0.24229999999999999</v>
      </c>
      <c r="I83" s="8">
        <f t="shared" si="3"/>
        <v>247.62690879075527</v>
      </c>
      <c r="J83" s="31" t="s">
        <v>105</v>
      </c>
      <c r="K83" s="63" t="s">
        <v>106</v>
      </c>
    </row>
    <row r="84" spans="4:11">
      <c r="D84" s="13" t="s">
        <v>260</v>
      </c>
      <c r="E84" s="7">
        <f t="shared" si="4"/>
        <v>75</v>
      </c>
      <c r="F84" s="7" t="s">
        <v>261</v>
      </c>
      <c r="G84" s="7" t="s">
        <v>229</v>
      </c>
      <c r="H84" s="31">
        <v>0.8</v>
      </c>
      <c r="I84" s="8">
        <f t="shared" si="3"/>
        <v>75</v>
      </c>
      <c r="J84" s="31" t="s">
        <v>110</v>
      </c>
      <c r="K84" s="63" t="s">
        <v>111</v>
      </c>
    </row>
    <row r="85" spans="4:11">
      <c r="D85" s="13" t="s">
        <v>262</v>
      </c>
      <c r="E85" s="7">
        <f t="shared" si="4"/>
        <v>76</v>
      </c>
      <c r="F85" s="7" t="s">
        <v>263</v>
      </c>
      <c r="G85" s="7" t="s">
        <v>229</v>
      </c>
      <c r="H85" s="31">
        <v>0.38</v>
      </c>
      <c r="I85" s="8">
        <f t="shared" si="3"/>
        <v>157.89473684210526</v>
      </c>
      <c r="J85" s="31" t="s">
        <v>110</v>
      </c>
      <c r="K85" s="63" t="s">
        <v>111</v>
      </c>
    </row>
    <row r="86" spans="4:11">
      <c r="D86" s="13" t="s">
        <v>264</v>
      </c>
      <c r="E86" s="7">
        <f t="shared" si="4"/>
        <v>77</v>
      </c>
      <c r="F86" s="7" t="s">
        <v>265</v>
      </c>
      <c r="G86" s="7" t="s">
        <v>229</v>
      </c>
      <c r="H86" s="31">
        <v>0.38</v>
      </c>
      <c r="I86" s="8">
        <f t="shared" si="3"/>
        <v>157.89473684210526</v>
      </c>
      <c r="J86" s="31" t="s">
        <v>110</v>
      </c>
      <c r="K86" s="63" t="s">
        <v>111</v>
      </c>
    </row>
    <row r="87" spans="4:11">
      <c r="D87" s="13" t="s">
        <v>266</v>
      </c>
      <c r="E87" s="7">
        <f t="shared" si="4"/>
        <v>78</v>
      </c>
      <c r="F87" s="7" t="s">
        <v>267</v>
      </c>
      <c r="G87" s="7" t="s">
        <v>229</v>
      </c>
      <c r="H87" s="31">
        <v>0.4</v>
      </c>
      <c r="I87" s="8">
        <f t="shared" si="3"/>
        <v>150</v>
      </c>
      <c r="J87" s="31" t="s">
        <v>110</v>
      </c>
      <c r="K87" s="63" t="s">
        <v>111</v>
      </c>
    </row>
    <row r="88" spans="4:11">
      <c r="D88" s="13" t="s">
        <v>268</v>
      </c>
      <c r="E88" s="7">
        <f t="shared" si="4"/>
        <v>79</v>
      </c>
      <c r="F88" s="7" t="s">
        <v>269</v>
      </c>
      <c r="G88" s="7" t="s">
        <v>229</v>
      </c>
      <c r="H88" s="31">
        <v>0.55000000000000004</v>
      </c>
      <c r="I88" s="8">
        <f t="shared" si="3"/>
        <v>109.09090909090908</v>
      </c>
      <c r="J88" s="31" t="s">
        <v>110</v>
      </c>
      <c r="K88" s="63" t="s">
        <v>111</v>
      </c>
    </row>
    <row r="89" spans="4:11">
      <c r="D89" s="13" t="s">
        <v>270</v>
      </c>
      <c r="E89" s="7">
        <f t="shared" si="4"/>
        <v>80</v>
      </c>
      <c r="F89" s="7" t="s">
        <v>271</v>
      </c>
      <c r="G89" s="7" t="s">
        <v>229</v>
      </c>
      <c r="H89" s="31">
        <v>0.1</v>
      </c>
      <c r="I89" s="8">
        <f t="shared" si="3"/>
        <v>600</v>
      </c>
      <c r="J89" s="31" t="s">
        <v>110</v>
      </c>
      <c r="K89" s="63" t="s">
        <v>106</v>
      </c>
    </row>
    <row r="90" spans="4:11">
      <c r="D90" s="13" t="s">
        <v>272</v>
      </c>
      <c r="E90" s="7">
        <f t="shared" si="4"/>
        <v>81</v>
      </c>
      <c r="F90" s="7" t="s">
        <v>273</v>
      </c>
      <c r="G90" s="7" t="s">
        <v>229</v>
      </c>
      <c r="H90" s="31">
        <v>1</v>
      </c>
      <c r="I90" s="8">
        <f t="shared" si="3"/>
        <v>60</v>
      </c>
      <c r="J90" s="31" t="s">
        <v>110</v>
      </c>
      <c r="K90" s="63" t="s">
        <v>111</v>
      </c>
    </row>
    <row r="91" spans="4:11">
      <c r="D91" s="13" t="s">
        <v>274</v>
      </c>
      <c r="E91" s="7">
        <f t="shared" si="4"/>
        <v>82</v>
      </c>
      <c r="F91" s="7" t="s">
        <v>275</v>
      </c>
      <c r="G91" s="7" t="s">
        <v>229</v>
      </c>
      <c r="H91" s="31">
        <v>0.65</v>
      </c>
      <c r="I91" s="8">
        <f t="shared" si="3"/>
        <v>92.307692307692307</v>
      </c>
      <c r="J91" s="31" t="s">
        <v>110</v>
      </c>
      <c r="K91" s="63" t="s">
        <v>111</v>
      </c>
    </row>
    <row r="92" spans="4:11">
      <c r="D92" s="13" t="s">
        <v>276</v>
      </c>
      <c r="E92" s="7">
        <f t="shared" si="4"/>
        <v>83</v>
      </c>
      <c r="F92" s="7" t="s">
        <v>277</v>
      </c>
      <c r="G92" s="7" t="s">
        <v>229</v>
      </c>
      <c r="H92" s="31">
        <v>0.21</v>
      </c>
      <c r="I92" s="8">
        <f t="shared" si="3"/>
        <v>285.71428571428572</v>
      </c>
      <c r="J92" s="31" t="s">
        <v>110</v>
      </c>
      <c r="K92" s="63" t="s">
        <v>111</v>
      </c>
    </row>
    <row r="93" spans="4:11">
      <c r="D93" s="13" t="s">
        <v>278</v>
      </c>
      <c r="E93" s="7">
        <f t="shared" si="4"/>
        <v>84</v>
      </c>
      <c r="F93" s="7" t="s">
        <v>279</v>
      </c>
      <c r="G93" s="7" t="s">
        <v>229</v>
      </c>
      <c r="H93" s="31">
        <v>0.25</v>
      </c>
      <c r="I93" s="8">
        <f t="shared" si="3"/>
        <v>240</v>
      </c>
      <c r="J93" s="31" t="s">
        <v>110</v>
      </c>
      <c r="K93" s="63" t="s">
        <v>106</v>
      </c>
    </row>
    <row r="94" spans="4:11">
      <c r="D94" s="13" t="s">
        <v>280</v>
      </c>
      <c r="E94" s="7">
        <f t="shared" si="4"/>
        <v>85</v>
      </c>
      <c r="F94" s="7" t="s">
        <v>253</v>
      </c>
      <c r="G94" s="7" t="s">
        <v>229</v>
      </c>
      <c r="H94" s="31">
        <v>0.45</v>
      </c>
      <c r="I94" s="8">
        <f t="shared" si="3"/>
        <v>133.33333333333334</v>
      </c>
      <c r="J94" s="31" t="s">
        <v>110</v>
      </c>
      <c r="K94" s="63" t="s">
        <v>111</v>
      </c>
    </row>
    <row r="95" spans="4:11">
      <c r="D95" s="13" t="s">
        <v>281</v>
      </c>
      <c r="E95" s="7">
        <f t="shared" si="4"/>
        <v>86</v>
      </c>
      <c r="F95" s="7" t="s">
        <v>233</v>
      </c>
      <c r="G95" s="7" t="s">
        <v>229</v>
      </c>
      <c r="H95" s="31">
        <v>0.75</v>
      </c>
      <c r="I95" s="8">
        <f t="shared" si="3"/>
        <v>80</v>
      </c>
      <c r="J95" s="31" t="s">
        <v>105</v>
      </c>
      <c r="K95" s="63" t="s">
        <v>111</v>
      </c>
    </row>
    <row r="96" spans="4:11">
      <c r="D96" s="13" t="s">
        <v>282</v>
      </c>
      <c r="E96" s="7">
        <f t="shared" si="4"/>
        <v>87</v>
      </c>
      <c r="F96" s="7" t="s">
        <v>237</v>
      </c>
      <c r="G96" s="7" t="s">
        <v>229</v>
      </c>
      <c r="H96" s="31">
        <v>0.25</v>
      </c>
      <c r="I96" s="8">
        <f t="shared" si="3"/>
        <v>240</v>
      </c>
      <c r="J96" s="31" t="s">
        <v>105</v>
      </c>
      <c r="K96" s="63" t="s">
        <v>106</v>
      </c>
    </row>
    <row r="97" spans="4:11">
      <c r="D97" s="13" t="s">
        <v>283</v>
      </c>
      <c r="E97" s="7">
        <f t="shared" si="4"/>
        <v>88</v>
      </c>
      <c r="F97" s="7" t="s">
        <v>239</v>
      </c>
      <c r="G97" s="7" t="s">
        <v>229</v>
      </c>
      <c r="H97" s="31">
        <v>0.25</v>
      </c>
      <c r="I97" s="8">
        <f t="shared" si="3"/>
        <v>240</v>
      </c>
      <c r="J97" s="31" t="s">
        <v>105</v>
      </c>
      <c r="K97" s="63" t="s">
        <v>106</v>
      </c>
    </row>
    <row r="98" spans="4:11">
      <c r="D98" s="13" t="s">
        <v>284</v>
      </c>
      <c r="E98" s="7">
        <f t="shared" si="4"/>
        <v>89</v>
      </c>
      <c r="F98" s="7" t="s">
        <v>241</v>
      </c>
      <c r="G98" s="7" t="s">
        <v>229</v>
      </c>
      <c r="H98" s="31">
        <v>0.35</v>
      </c>
      <c r="I98" s="8">
        <f t="shared" si="3"/>
        <v>171.42857142857144</v>
      </c>
      <c r="J98" s="31" t="s">
        <v>105</v>
      </c>
      <c r="K98" s="63" t="s">
        <v>106</v>
      </c>
    </row>
    <row r="99" spans="4:11">
      <c r="D99" s="13" t="s">
        <v>285</v>
      </c>
      <c r="E99" s="7">
        <f t="shared" si="4"/>
        <v>90</v>
      </c>
      <c r="F99" s="7" t="s">
        <v>243</v>
      </c>
      <c r="G99" s="7" t="s">
        <v>229</v>
      </c>
      <c r="H99" s="31">
        <v>0.5</v>
      </c>
      <c r="I99" s="8">
        <f t="shared" si="3"/>
        <v>120</v>
      </c>
      <c r="J99" s="31" t="s">
        <v>105</v>
      </c>
      <c r="K99" s="63" t="s">
        <v>106</v>
      </c>
    </row>
    <row r="100" spans="4:11">
      <c r="D100" s="13" t="s">
        <v>286</v>
      </c>
      <c r="E100" s="7">
        <f t="shared" si="4"/>
        <v>91</v>
      </c>
      <c r="F100" s="7" t="s">
        <v>287</v>
      </c>
      <c r="G100" s="7" t="s">
        <v>229</v>
      </c>
      <c r="H100" s="31">
        <v>0.9</v>
      </c>
      <c r="I100" s="8">
        <f t="shared" si="3"/>
        <v>66.666666666666671</v>
      </c>
      <c r="J100" s="31" t="s">
        <v>105</v>
      </c>
      <c r="K100" s="63" t="s">
        <v>111</v>
      </c>
    </row>
    <row r="101" spans="4:11">
      <c r="D101" s="13" t="s">
        <v>288</v>
      </c>
      <c r="E101" s="7">
        <f t="shared" si="4"/>
        <v>92</v>
      </c>
      <c r="F101" s="7" t="s">
        <v>289</v>
      </c>
      <c r="G101" s="7" t="s">
        <v>229</v>
      </c>
      <c r="H101" s="31">
        <v>0.7</v>
      </c>
      <c r="I101" s="8">
        <f t="shared" si="3"/>
        <v>85.714285714285722</v>
      </c>
      <c r="J101" s="31" t="s">
        <v>105</v>
      </c>
      <c r="K101" s="63" t="s">
        <v>111</v>
      </c>
    </row>
    <row r="102" spans="4:11">
      <c r="D102" s="13" t="s">
        <v>290</v>
      </c>
      <c r="E102" s="7">
        <f t="shared" si="4"/>
        <v>93</v>
      </c>
      <c r="F102" s="7" t="s">
        <v>253</v>
      </c>
      <c r="G102" s="7" t="s">
        <v>229</v>
      </c>
      <c r="H102" s="31">
        <v>0.55000000000000004</v>
      </c>
      <c r="I102" s="8">
        <f t="shared" si="3"/>
        <v>109.09090909090908</v>
      </c>
      <c r="J102" s="31" t="s">
        <v>110</v>
      </c>
      <c r="K102" s="63" t="s">
        <v>111</v>
      </c>
    </row>
    <row r="103" spans="4:11">
      <c r="D103" s="13" t="s">
        <v>291</v>
      </c>
      <c r="E103" s="7">
        <f t="shared" si="4"/>
        <v>94</v>
      </c>
      <c r="F103" s="7" t="s">
        <v>255</v>
      </c>
      <c r="G103" s="7" t="s">
        <v>229</v>
      </c>
      <c r="H103" s="31">
        <v>0.5</v>
      </c>
      <c r="I103" s="8">
        <f t="shared" si="3"/>
        <v>120</v>
      </c>
      <c r="J103" s="31" t="s">
        <v>110</v>
      </c>
      <c r="K103" s="63" t="s">
        <v>111</v>
      </c>
    </row>
    <row r="104" spans="4:11">
      <c r="D104" s="13" t="s">
        <v>292</v>
      </c>
      <c r="E104" s="7">
        <f t="shared" si="4"/>
        <v>95</v>
      </c>
      <c r="F104" s="7" t="s">
        <v>247</v>
      </c>
      <c r="G104" s="7" t="s">
        <v>229</v>
      </c>
      <c r="H104" s="31">
        <v>0.3</v>
      </c>
      <c r="I104" s="8">
        <f t="shared" si="3"/>
        <v>200</v>
      </c>
      <c r="J104" s="31" t="s">
        <v>105</v>
      </c>
      <c r="K104" s="63" t="s">
        <v>111</v>
      </c>
    </row>
    <row r="105" spans="4:11">
      <c r="D105" s="13" t="s">
        <v>293</v>
      </c>
      <c r="E105" s="7">
        <f t="shared" si="4"/>
        <v>96</v>
      </c>
      <c r="F105" s="7" t="s">
        <v>251</v>
      </c>
      <c r="G105" s="7" t="s">
        <v>229</v>
      </c>
      <c r="H105" s="31">
        <v>0.35</v>
      </c>
      <c r="I105" s="8">
        <f t="shared" si="3"/>
        <v>171.42857142857144</v>
      </c>
      <c r="J105" s="31" t="s">
        <v>105</v>
      </c>
      <c r="K105" s="63" t="s">
        <v>111</v>
      </c>
    </row>
    <row r="106" spans="4:11">
      <c r="D106" s="13" t="s">
        <v>294</v>
      </c>
      <c r="E106" s="7">
        <v>97</v>
      </c>
      <c r="F106" s="7" t="s">
        <v>295</v>
      </c>
      <c r="G106" s="7" t="s">
        <v>229</v>
      </c>
      <c r="H106" s="31">
        <v>0.55000000000000004</v>
      </c>
      <c r="I106" s="8">
        <f t="shared" si="3"/>
        <v>109.09090909090908</v>
      </c>
      <c r="J106" s="31" t="s">
        <v>105</v>
      </c>
      <c r="K106" s="63" t="s">
        <v>111</v>
      </c>
    </row>
    <row r="107" spans="4:11">
      <c r="D107" s="13" t="s">
        <v>296</v>
      </c>
      <c r="E107" s="7">
        <f>E105+1</f>
        <v>97</v>
      </c>
      <c r="F107" s="7" t="s">
        <v>297</v>
      </c>
      <c r="G107" s="7" t="s">
        <v>298</v>
      </c>
      <c r="H107" s="31">
        <v>0.6</v>
      </c>
      <c r="I107" s="8">
        <f t="shared" si="3"/>
        <v>100</v>
      </c>
      <c r="J107" s="31" t="s">
        <v>110</v>
      </c>
      <c r="K107" s="63" t="s">
        <v>111</v>
      </c>
    </row>
    <row r="108" spans="4:11">
      <c r="D108" s="13" t="s">
        <v>299</v>
      </c>
      <c r="E108" s="7">
        <f t="shared" si="4"/>
        <v>98</v>
      </c>
      <c r="F108" s="7" t="s">
        <v>300</v>
      </c>
      <c r="G108" s="7" t="s">
        <v>298</v>
      </c>
      <c r="H108" s="31">
        <v>0.35</v>
      </c>
      <c r="I108" s="8">
        <f t="shared" si="3"/>
        <v>171.42857142857144</v>
      </c>
      <c r="J108" s="31" t="s">
        <v>110</v>
      </c>
      <c r="K108" s="63" t="s">
        <v>111</v>
      </c>
    </row>
    <row r="109" spans="4:11">
      <c r="D109" s="13" t="s">
        <v>301</v>
      </c>
      <c r="E109" s="7">
        <f t="shared" si="4"/>
        <v>99</v>
      </c>
      <c r="F109" s="7" t="s">
        <v>302</v>
      </c>
      <c r="G109" s="7" t="s">
        <v>298</v>
      </c>
      <c r="H109" s="31">
        <v>0.46360000000000001</v>
      </c>
      <c r="I109" s="8">
        <f t="shared" si="3"/>
        <v>129.42191544434857</v>
      </c>
      <c r="J109" s="31" t="s">
        <v>110</v>
      </c>
      <c r="K109" s="63" t="s">
        <v>106</v>
      </c>
    </row>
    <row r="110" spans="4:11">
      <c r="D110" s="13" t="s">
        <v>303</v>
      </c>
      <c r="E110" s="7">
        <f t="shared" si="4"/>
        <v>100</v>
      </c>
      <c r="F110" s="7" t="s">
        <v>304</v>
      </c>
      <c r="G110" s="7" t="s">
        <v>298</v>
      </c>
      <c r="H110" s="31">
        <v>0.25</v>
      </c>
      <c r="I110" s="8">
        <f t="shared" si="3"/>
        <v>240</v>
      </c>
      <c r="J110" s="31" t="s">
        <v>110</v>
      </c>
      <c r="K110" s="63" t="s">
        <v>106</v>
      </c>
    </row>
    <row r="111" spans="4:11">
      <c r="D111" s="13" t="s">
        <v>305</v>
      </c>
      <c r="E111" s="7">
        <f t="shared" si="4"/>
        <v>101</v>
      </c>
      <c r="F111" s="7" t="s">
        <v>306</v>
      </c>
      <c r="G111" s="7" t="s">
        <v>298</v>
      </c>
      <c r="H111" s="31">
        <v>0.43</v>
      </c>
      <c r="I111" s="8">
        <f t="shared" si="3"/>
        <v>139.53488372093022</v>
      </c>
      <c r="J111" s="31" t="s">
        <v>105</v>
      </c>
      <c r="K111" s="63" t="s">
        <v>111</v>
      </c>
    </row>
    <row r="112" spans="4:11">
      <c r="D112" s="13" t="s">
        <v>307</v>
      </c>
      <c r="E112" s="7">
        <f t="shared" si="4"/>
        <v>102</v>
      </c>
      <c r="F112" s="7" t="s">
        <v>308</v>
      </c>
      <c r="G112" s="7" t="s">
        <v>298</v>
      </c>
      <c r="H112" s="31">
        <v>0.39</v>
      </c>
      <c r="I112" s="8">
        <f t="shared" si="3"/>
        <v>153.84615384615384</v>
      </c>
      <c r="J112" s="31" t="s">
        <v>110</v>
      </c>
      <c r="K112" s="63" t="s">
        <v>111</v>
      </c>
    </row>
    <row r="113" spans="4:11">
      <c r="D113" s="13" t="s">
        <v>309</v>
      </c>
      <c r="E113" s="7">
        <f t="shared" si="4"/>
        <v>103</v>
      </c>
      <c r="F113" s="7" t="s">
        <v>310</v>
      </c>
      <c r="G113" s="7" t="s">
        <v>298</v>
      </c>
      <c r="H113" s="31">
        <v>0.4</v>
      </c>
      <c r="I113" s="8">
        <f t="shared" si="3"/>
        <v>150</v>
      </c>
      <c r="J113" s="31" t="s">
        <v>105</v>
      </c>
      <c r="K113" s="63" t="s">
        <v>111</v>
      </c>
    </row>
    <row r="114" spans="4:11">
      <c r="D114" s="13" t="s">
        <v>311</v>
      </c>
      <c r="E114" s="7">
        <f t="shared" si="4"/>
        <v>104</v>
      </c>
      <c r="F114" s="7" t="s">
        <v>312</v>
      </c>
      <c r="G114" s="7" t="s">
        <v>298</v>
      </c>
      <c r="H114" s="31">
        <v>0.4</v>
      </c>
      <c r="I114" s="8">
        <f t="shared" si="3"/>
        <v>150</v>
      </c>
      <c r="J114" s="31" t="s">
        <v>105</v>
      </c>
      <c r="K114" s="63" t="s">
        <v>111</v>
      </c>
    </row>
    <row r="115" spans="4:11">
      <c r="D115" s="13" t="s">
        <v>313</v>
      </c>
      <c r="E115" s="7">
        <f t="shared" si="4"/>
        <v>105</v>
      </c>
      <c r="F115" s="7" t="s">
        <v>314</v>
      </c>
      <c r="G115" s="7" t="s">
        <v>298</v>
      </c>
      <c r="H115" s="31">
        <v>0.22</v>
      </c>
      <c r="I115" s="8">
        <f t="shared" si="3"/>
        <v>272.72727272727275</v>
      </c>
      <c r="J115" s="31" t="s">
        <v>105</v>
      </c>
      <c r="K115" s="63" t="s">
        <v>111</v>
      </c>
    </row>
    <row r="116" spans="4:11">
      <c r="D116" s="13" t="s">
        <v>315</v>
      </c>
      <c r="E116" s="7">
        <f t="shared" si="4"/>
        <v>106</v>
      </c>
      <c r="F116" s="7" t="s">
        <v>316</v>
      </c>
      <c r="G116" s="7" t="s">
        <v>298</v>
      </c>
      <c r="H116" s="31">
        <v>0.65</v>
      </c>
      <c r="I116" s="8">
        <f t="shared" si="3"/>
        <v>92.307692307692307</v>
      </c>
      <c r="J116" s="31" t="s">
        <v>105</v>
      </c>
      <c r="K116" s="63" t="s">
        <v>111</v>
      </c>
    </row>
    <row r="117" spans="4:11">
      <c r="D117" s="13" t="s">
        <v>317</v>
      </c>
      <c r="E117" s="7">
        <f t="shared" si="4"/>
        <v>107</v>
      </c>
      <c r="F117" s="7" t="s">
        <v>318</v>
      </c>
      <c r="G117" s="7" t="s">
        <v>298</v>
      </c>
      <c r="H117" s="31">
        <v>0.4</v>
      </c>
      <c r="I117" s="8">
        <f t="shared" si="3"/>
        <v>150</v>
      </c>
      <c r="J117" s="31" t="s">
        <v>110</v>
      </c>
      <c r="K117" s="63" t="s">
        <v>111</v>
      </c>
    </row>
    <row r="118" spans="4:11">
      <c r="D118" s="13" t="s">
        <v>319</v>
      </c>
      <c r="E118" s="7">
        <f t="shared" si="4"/>
        <v>108</v>
      </c>
      <c r="F118" s="7" t="s">
        <v>320</v>
      </c>
      <c r="G118" s="7" t="s">
        <v>298</v>
      </c>
      <c r="H118" s="31">
        <v>0.5</v>
      </c>
      <c r="I118" s="8">
        <f t="shared" si="3"/>
        <v>120</v>
      </c>
      <c r="J118" s="31" t="s">
        <v>110</v>
      </c>
      <c r="K118" s="63" t="s">
        <v>111</v>
      </c>
    </row>
    <row r="119" spans="4:11">
      <c r="D119" s="13" t="s">
        <v>321</v>
      </c>
      <c r="E119" s="7">
        <f t="shared" si="4"/>
        <v>109</v>
      </c>
      <c r="F119" s="7" t="s">
        <v>322</v>
      </c>
      <c r="G119" s="7" t="s">
        <v>298</v>
      </c>
      <c r="H119" s="31">
        <v>0.41</v>
      </c>
      <c r="I119" s="8">
        <f t="shared" si="3"/>
        <v>146.34146341463415</v>
      </c>
      <c r="J119" s="31" t="s">
        <v>110</v>
      </c>
      <c r="K119" s="63" t="s">
        <v>111</v>
      </c>
    </row>
    <row r="120" spans="4:11">
      <c r="D120" s="13" t="s">
        <v>323</v>
      </c>
      <c r="E120" s="7">
        <f t="shared" si="4"/>
        <v>110</v>
      </c>
      <c r="F120" s="7" t="s">
        <v>324</v>
      </c>
      <c r="G120" s="7" t="s">
        <v>298</v>
      </c>
      <c r="H120" s="31">
        <v>0.15</v>
      </c>
      <c r="I120" s="8">
        <f t="shared" si="3"/>
        <v>400</v>
      </c>
      <c r="J120" s="31" t="s">
        <v>110</v>
      </c>
      <c r="K120" s="63" t="s">
        <v>111</v>
      </c>
    </row>
    <row r="121" spans="4:11">
      <c r="D121" s="13" t="s">
        <v>325</v>
      </c>
      <c r="E121" s="7">
        <f t="shared" si="4"/>
        <v>111</v>
      </c>
      <c r="F121" s="7" t="s">
        <v>326</v>
      </c>
      <c r="G121" s="7" t="s">
        <v>298</v>
      </c>
      <c r="H121" s="31">
        <v>0.35</v>
      </c>
      <c r="I121" s="8">
        <f t="shared" si="3"/>
        <v>171.42857142857144</v>
      </c>
      <c r="J121" s="31" t="s">
        <v>110</v>
      </c>
      <c r="K121" s="63" t="s">
        <v>111</v>
      </c>
    </row>
    <row r="122" spans="4:11">
      <c r="D122" s="13" t="s">
        <v>327</v>
      </c>
      <c r="E122" s="7">
        <f t="shared" si="4"/>
        <v>112</v>
      </c>
      <c r="F122" s="7" t="s">
        <v>328</v>
      </c>
      <c r="G122" s="7" t="s">
        <v>298</v>
      </c>
      <c r="H122" s="31">
        <v>0.37</v>
      </c>
      <c r="I122" s="8">
        <f t="shared" si="3"/>
        <v>162.16216216216216</v>
      </c>
      <c r="J122" s="31" t="s">
        <v>110</v>
      </c>
      <c r="K122" s="63" t="s">
        <v>111</v>
      </c>
    </row>
    <row r="123" spans="4:11">
      <c r="D123" s="13" t="s">
        <v>329</v>
      </c>
      <c r="E123" s="7">
        <f t="shared" si="4"/>
        <v>113</v>
      </c>
      <c r="F123" s="7" t="s">
        <v>330</v>
      </c>
      <c r="G123" s="7" t="s">
        <v>298</v>
      </c>
      <c r="H123" s="31">
        <v>0.25</v>
      </c>
      <c r="I123" s="8">
        <f t="shared" si="3"/>
        <v>240</v>
      </c>
      <c r="J123" s="31" t="s">
        <v>110</v>
      </c>
      <c r="K123" s="63" t="s">
        <v>111</v>
      </c>
    </row>
    <row r="124" spans="4:11">
      <c r="D124" s="13" t="s">
        <v>331</v>
      </c>
      <c r="E124" s="7">
        <f t="shared" si="4"/>
        <v>114</v>
      </c>
      <c r="F124" s="7" t="s">
        <v>332</v>
      </c>
      <c r="G124" s="7" t="s">
        <v>298</v>
      </c>
      <c r="H124" s="31">
        <v>0.28000000000000003</v>
      </c>
      <c r="I124" s="8">
        <f t="shared" si="3"/>
        <v>214.28571428571428</v>
      </c>
      <c r="J124" s="31" t="s">
        <v>110</v>
      </c>
      <c r="K124" s="63" t="s">
        <v>111</v>
      </c>
    </row>
    <row r="125" spans="4:11">
      <c r="D125" s="13" t="s">
        <v>333</v>
      </c>
      <c r="E125" s="7">
        <f t="shared" si="4"/>
        <v>115</v>
      </c>
      <c r="F125" s="7" t="s">
        <v>334</v>
      </c>
      <c r="G125" s="7" t="s">
        <v>298</v>
      </c>
      <c r="H125" s="31">
        <v>0.24229999999999999</v>
      </c>
      <c r="I125" s="8">
        <f t="shared" si="3"/>
        <v>247.62690879075527</v>
      </c>
      <c r="J125" s="31" t="s">
        <v>105</v>
      </c>
      <c r="K125" s="63" t="s">
        <v>106</v>
      </c>
    </row>
    <row r="126" spans="4:11">
      <c r="D126" s="13" t="s">
        <v>335</v>
      </c>
      <c r="E126" s="7">
        <f t="shared" si="4"/>
        <v>116</v>
      </c>
      <c r="F126" s="7" t="s">
        <v>336</v>
      </c>
      <c r="G126" s="7" t="s">
        <v>298</v>
      </c>
      <c r="H126" s="31">
        <v>0.23</v>
      </c>
      <c r="I126" s="8">
        <f t="shared" si="3"/>
        <v>260.86956521739131</v>
      </c>
      <c r="J126" s="31" t="s">
        <v>110</v>
      </c>
      <c r="K126" s="63" t="s">
        <v>111</v>
      </c>
    </row>
    <row r="127" spans="4:11">
      <c r="D127" s="13" t="s">
        <v>337</v>
      </c>
      <c r="E127" s="7">
        <f t="shared" si="4"/>
        <v>117</v>
      </c>
      <c r="F127" s="7" t="s">
        <v>338</v>
      </c>
      <c r="G127" s="7" t="s">
        <v>298</v>
      </c>
      <c r="H127" s="31">
        <v>0.35</v>
      </c>
      <c r="I127" s="8">
        <f t="shared" si="3"/>
        <v>171.42857142857144</v>
      </c>
      <c r="J127" s="31" t="s">
        <v>110</v>
      </c>
      <c r="K127" s="63" t="s">
        <v>111</v>
      </c>
    </row>
    <row r="128" spans="4:11">
      <c r="D128" s="13" t="s">
        <v>339</v>
      </c>
      <c r="E128" s="7">
        <f t="shared" si="4"/>
        <v>118</v>
      </c>
      <c r="F128" s="7" t="s">
        <v>340</v>
      </c>
      <c r="G128" s="7" t="s">
        <v>298</v>
      </c>
      <c r="H128" s="31">
        <v>0.21</v>
      </c>
      <c r="I128" s="8">
        <f t="shared" si="3"/>
        <v>285.71428571428572</v>
      </c>
      <c r="J128" s="31" t="s">
        <v>110</v>
      </c>
      <c r="K128" s="63" t="s">
        <v>106</v>
      </c>
    </row>
    <row r="129" spans="4:11">
      <c r="D129" s="13" t="s">
        <v>341</v>
      </c>
      <c r="E129" s="7">
        <f t="shared" si="4"/>
        <v>119</v>
      </c>
      <c r="F129" s="7" t="s">
        <v>342</v>
      </c>
      <c r="G129" s="7" t="s">
        <v>298</v>
      </c>
      <c r="H129" s="31">
        <v>0.48</v>
      </c>
      <c r="I129" s="8">
        <f t="shared" si="3"/>
        <v>125</v>
      </c>
      <c r="J129" s="31" t="s">
        <v>105</v>
      </c>
      <c r="K129" s="63" t="s">
        <v>111</v>
      </c>
    </row>
    <row r="130" spans="4:11">
      <c r="D130" s="13" t="s">
        <v>343</v>
      </c>
      <c r="E130" s="7">
        <f t="shared" si="4"/>
        <v>120</v>
      </c>
      <c r="F130" s="7" t="s">
        <v>344</v>
      </c>
      <c r="G130" s="7" t="s">
        <v>298</v>
      </c>
      <c r="H130" s="31">
        <v>0.65</v>
      </c>
      <c r="I130" s="8">
        <f t="shared" si="3"/>
        <v>92.307692307692307</v>
      </c>
      <c r="J130" s="31" t="s">
        <v>110</v>
      </c>
      <c r="K130" s="63" t="s">
        <v>111</v>
      </c>
    </row>
    <row r="131" spans="4:11">
      <c r="D131" s="13" t="s">
        <v>345</v>
      </c>
      <c r="E131" s="7">
        <f t="shared" si="4"/>
        <v>121</v>
      </c>
      <c r="F131" s="7" t="s">
        <v>346</v>
      </c>
      <c r="G131" s="7" t="s">
        <v>298</v>
      </c>
      <c r="H131" s="31">
        <v>0.5</v>
      </c>
      <c r="I131" s="8">
        <f t="shared" si="3"/>
        <v>120</v>
      </c>
      <c r="J131" s="31" t="s">
        <v>110</v>
      </c>
      <c r="K131" s="63" t="s">
        <v>111</v>
      </c>
    </row>
    <row r="132" spans="4:11">
      <c r="D132" s="13" t="s">
        <v>347</v>
      </c>
      <c r="E132" s="7">
        <f t="shared" si="4"/>
        <v>122</v>
      </c>
      <c r="F132" s="7" t="s">
        <v>348</v>
      </c>
      <c r="G132" s="7" t="s">
        <v>298</v>
      </c>
      <c r="H132" s="31">
        <v>0.65</v>
      </c>
      <c r="I132" s="8">
        <f t="shared" si="3"/>
        <v>92.307692307692307</v>
      </c>
      <c r="J132" s="31" t="s">
        <v>110</v>
      </c>
      <c r="K132" s="63" t="s">
        <v>111</v>
      </c>
    </row>
    <row r="133" spans="4:11">
      <c r="D133" s="13" t="s">
        <v>349</v>
      </c>
      <c r="E133" s="7">
        <f t="shared" si="4"/>
        <v>123</v>
      </c>
      <c r="F133" s="7" t="s">
        <v>350</v>
      </c>
      <c r="G133" s="7" t="s">
        <v>298</v>
      </c>
      <c r="H133" s="31">
        <v>0.45</v>
      </c>
      <c r="I133" s="8">
        <f t="shared" si="3"/>
        <v>133.33333333333334</v>
      </c>
      <c r="J133" s="31" t="s">
        <v>110</v>
      </c>
      <c r="K133" s="63" t="s">
        <v>111</v>
      </c>
    </row>
    <row r="134" spans="4:11">
      <c r="D134" s="13" t="s">
        <v>351</v>
      </c>
      <c r="E134" s="7">
        <f t="shared" si="4"/>
        <v>124</v>
      </c>
      <c r="F134" s="7" t="s">
        <v>352</v>
      </c>
      <c r="G134" s="7" t="s">
        <v>298</v>
      </c>
      <c r="H134" s="31">
        <v>0.8</v>
      </c>
      <c r="I134" s="8">
        <f t="shared" si="3"/>
        <v>75</v>
      </c>
      <c r="J134" s="31" t="s">
        <v>110</v>
      </c>
      <c r="K134" s="63" t="s">
        <v>111</v>
      </c>
    </row>
    <row r="135" spans="4:11">
      <c r="D135" s="13" t="s">
        <v>353</v>
      </c>
      <c r="E135" s="7">
        <f t="shared" si="4"/>
        <v>125</v>
      </c>
      <c r="F135" s="7" t="s">
        <v>354</v>
      </c>
      <c r="G135" s="7" t="s">
        <v>298</v>
      </c>
      <c r="H135" s="31">
        <v>1</v>
      </c>
      <c r="I135" s="8">
        <f t="shared" si="3"/>
        <v>60</v>
      </c>
      <c r="J135" s="31" t="s">
        <v>110</v>
      </c>
      <c r="K135" s="63" t="s">
        <v>111</v>
      </c>
    </row>
    <row r="136" spans="4:11">
      <c r="D136" s="13" t="s">
        <v>355</v>
      </c>
      <c r="E136" s="7">
        <f t="shared" si="4"/>
        <v>126</v>
      </c>
      <c r="F136" s="7" t="s">
        <v>356</v>
      </c>
      <c r="G136" s="7" t="s">
        <v>298</v>
      </c>
      <c r="H136" s="31">
        <v>0.75</v>
      </c>
      <c r="I136" s="8">
        <f t="shared" si="3"/>
        <v>80</v>
      </c>
      <c r="J136" s="31" t="s">
        <v>110</v>
      </c>
      <c r="K136" s="63" t="s">
        <v>111</v>
      </c>
    </row>
    <row r="137" spans="4:11">
      <c r="D137" s="13" t="s">
        <v>357</v>
      </c>
      <c r="E137" s="7">
        <f t="shared" si="4"/>
        <v>127</v>
      </c>
      <c r="F137" s="7" t="s">
        <v>358</v>
      </c>
      <c r="G137" s="7" t="s">
        <v>298</v>
      </c>
      <c r="H137" s="31">
        <v>0.6</v>
      </c>
      <c r="I137" s="8">
        <f t="shared" si="3"/>
        <v>100</v>
      </c>
      <c r="J137" s="31" t="s">
        <v>110</v>
      </c>
      <c r="K137" s="63" t="s">
        <v>111</v>
      </c>
    </row>
    <row r="138" spans="4:11">
      <c r="D138" s="13" t="s">
        <v>359</v>
      </c>
      <c r="E138" s="7">
        <f t="shared" si="4"/>
        <v>128</v>
      </c>
      <c r="F138" s="7" t="s">
        <v>360</v>
      </c>
      <c r="G138" s="7" t="s">
        <v>298</v>
      </c>
      <c r="H138" s="31">
        <v>0.9</v>
      </c>
      <c r="I138" s="8">
        <f t="shared" si="3"/>
        <v>66.666666666666671</v>
      </c>
      <c r="J138" s="31" t="s">
        <v>110</v>
      </c>
      <c r="K138" s="63" t="s">
        <v>111</v>
      </c>
    </row>
    <row r="139" spans="4:11">
      <c r="D139" s="13" t="s">
        <v>361</v>
      </c>
      <c r="E139" s="7">
        <f t="shared" si="4"/>
        <v>129</v>
      </c>
      <c r="F139" s="7" t="s">
        <v>362</v>
      </c>
      <c r="G139" s="7" t="s">
        <v>298</v>
      </c>
      <c r="H139" s="31">
        <v>0.9</v>
      </c>
      <c r="I139" s="8">
        <f t="shared" ref="I139:I204" si="5">60/H139</f>
        <v>66.666666666666671</v>
      </c>
      <c r="J139" s="31" t="s">
        <v>110</v>
      </c>
      <c r="K139" s="63" t="s">
        <v>111</v>
      </c>
    </row>
    <row r="140" spans="4:11">
      <c r="D140" s="13" t="s">
        <v>363</v>
      </c>
      <c r="E140" s="7">
        <f t="shared" si="4"/>
        <v>130</v>
      </c>
      <c r="F140" s="7" t="s">
        <v>364</v>
      </c>
      <c r="G140" s="7" t="s">
        <v>298</v>
      </c>
      <c r="H140" s="31">
        <v>1.1000000000000001</v>
      </c>
      <c r="I140" s="8">
        <f t="shared" si="5"/>
        <v>54.54545454545454</v>
      </c>
      <c r="J140" s="31" t="s">
        <v>110</v>
      </c>
      <c r="K140" s="63" t="s">
        <v>111</v>
      </c>
    </row>
    <row r="141" spans="4:11">
      <c r="D141" s="13" t="s">
        <v>365</v>
      </c>
      <c r="E141" s="7">
        <f t="shared" si="4"/>
        <v>131</v>
      </c>
      <c r="F141" s="7" t="s">
        <v>366</v>
      </c>
      <c r="G141" s="7" t="s">
        <v>298</v>
      </c>
      <c r="H141" s="31">
        <v>0.75</v>
      </c>
      <c r="I141" s="8">
        <f t="shared" si="5"/>
        <v>80</v>
      </c>
      <c r="J141" s="31" t="s">
        <v>110</v>
      </c>
      <c r="K141" s="63" t="s">
        <v>111</v>
      </c>
    </row>
    <row r="142" spans="4:11">
      <c r="D142" s="13" t="s">
        <v>367</v>
      </c>
      <c r="E142" s="7">
        <f t="shared" ref="E142:E205" si="6">E141+1</f>
        <v>132</v>
      </c>
      <c r="F142" s="7" t="s">
        <v>368</v>
      </c>
      <c r="G142" s="7" t="s">
        <v>298</v>
      </c>
      <c r="H142" s="31">
        <v>0.5</v>
      </c>
      <c r="I142" s="8">
        <f t="shared" si="5"/>
        <v>120</v>
      </c>
      <c r="J142" s="31" t="s">
        <v>110</v>
      </c>
      <c r="K142" s="63" t="s">
        <v>111</v>
      </c>
    </row>
    <row r="143" spans="4:11">
      <c r="D143" s="13" t="s">
        <v>369</v>
      </c>
      <c r="E143" s="7">
        <f t="shared" si="6"/>
        <v>133</v>
      </c>
      <c r="F143" s="7" t="s">
        <v>370</v>
      </c>
      <c r="G143" s="7" t="s">
        <v>298</v>
      </c>
      <c r="H143" s="31">
        <v>0.5</v>
      </c>
      <c r="I143" s="8">
        <f t="shared" si="5"/>
        <v>120</v>
      </c>
      <c r="J143" s="31" t="s">
        <v>110</v>
      </c>
      <c r="K143" s="63" t="s">
        <v>111</v>
      </c>
    </row>
    <row r="144" spans="4:11">
      <c r="D144" s="13" t="s">
        <v>371</v>
      </c>
      <c r="E144" s="7">
        <f t="shared" si="6"/>
        <v>134</v>
      </c>
      <c r="F144" s="7" t="s">
        <v>372</v>
      </c>
      <c r="G144" s="7" t="s">
        <v>298</v>
      </c>
      <c r="H144" s="31">
        <v>0.3</v>
      </c>
      <c r="I144" s="8">
        <f t="shared" si="5"/>
        <v>200</v>
      </c>
      <c r="J144" s="31" t="s">
        <v>110</v>
      </c>
      <c r="K144" s="63" t="s">
        <v>111</v>
      </c>
    </row>
    <row r="145" spans="4:11">
      <c r="D145" s="13" t="s">
        <v>373</v>
      </c>
      <c r="E145" s="7">
        <f t="shared" si="6"/>
        <v>135</v>
      </c>
      <c r="F145" s="7" t="s">
        <v>374</v>
      </c>
      <c r="G145" s="7" t="s">
        <v>298</v>
      </c>
      <c r="H145" s="31">
        <v>0.45</v>
      </c>
      <c r="I145" s="8">
        <f t="shared" si="5"/>
        <v>133.33333333333334</v>
      </c>
      <c r="J145" s="31" t="s">
        <v>110</v>
      </c>
      <c r="K145" s="63" t="s">
        <v>111</v>
      </c>
    </row>
    <row r="146" spans="4:11">
      <c r="D146" s="13" t="s">
        <v>375</v>
      </c>
      <c r="E146" s="7">
        <f t="shared" si="6"/>
        <v>136</v>
      </c>
      <c r="F146" s="7" t="s">
        <v>376</v>
      </c>
      <c r="G146" s="7" t="s">
        <v>298</v>
      </c>
      <c r="H146" s="31">
        <v>0.45</v>
      </c>
      <c r="I146" s="8">
        <f t="shared" si="5"/>
        <v>133.33333333333334</v>
      </c>
      <c r="J146" s="31" t="s">
        <v>110</v>
      </c>
      <c r="K146" s="63" t="s">
        <v>106</v>
      </c>
    </row>
    <row r="147" spans="4:11">
      <c r="D147" s="13" t="s">
        <v>377</v>
      </c>
      <c r="E147" s="7">
        <f t="shared" si="6"/>
        <v>137</v>
      </c>
      <c r="F147" s="7" t="s">
        <v>378</v>
      </c>
      <c r="G147" s="7" t="s">
        <v>298</v>
      </c>
      <c r="H147" s="31">
        <v>0.6</v>
      </c>
      <c r="I147" s="8">
        <f t="shared" si="5"/>
        <v>100</v>
      </c>
      <c r="J147" s="31" t="s">
        <v>110</v>
      </c>
      <c r="K147" s="63" t="s">
        <v>111</v>
      </c>
    </row>
    <row r="148" spans="4:11">
      <c r="D148" s="13" t="s">
        <v>379</v>
      </c>
      <c r="E148" s="7">
        <f t="shared" si="6"/>
        <v>138</v>
      </c>
      <c r="F148" s="7" t="s">
        <v>380</v>
      </c>
      <c r="G148" s="7" t="s">
        <v>298</v>
      </c>
      <c r="H148" s="31">
        <v>0.45</v>
      </c>
      <c r="I148" s="8">
        <f t="shared" si="5"/>
        <v>133.33333333333334</v>
      </c>
      <c r="J148" s="31" t="s">
        <v>110</v>
      </c>
      <c r="K148" s="63" t="s">
        <v>111</v>
      </c>
    </row>
    <row r="149" spans="4:11">
      <c r="D149" s="13" t="s">
        <v>381</v>
      </c>
      <c r="E149" s="7">
        <f t="shared" si="6"/>
        <v>139</v>
      </c>
      <c r="F149" s="7" t="s">
        <v>382</v>
      </c>
      <c r="G149" s="7" t="s">
        <v>298</v>
      </c>
      <c r="H149" s="31">
        <v>0.5</v>
      </c>
      <c r="I149" s="8">
        <f t="shared" si="5"/>
        <v>120</v>
      </c>
      <c r="J149" s="31" t="s">
        <v>110</v>
      </c>
      <c r="K149" s="63" t="s">
        <v>111</v>
      </c>
    </row>
    <row r="150" spans="4:11">
      <c r="D150" s="13" t="s">
        <v>383</v>
      </c>
      <c r="E150" s="7">
        <f t="shared" si="6"/>
        <v>140</v>
      </c>
      <c r="F150" s="7" t="s">
        <v>384</v>
      </c>
      <c r="G150" s="7" t="s">
        <v>298</v>
      </c>
      <c r="H150" s="31">
        <v>0.3</v>
      </c>
      <c r="I150" s="8">
        <f>60/H150</f>
        <v>200</v>
      </c>
      <c r="J150" s="31" t="s">
        <v>110</v>
      </c>
      <c r="K150" s="63" t="s">
        <v>111</v>
      </c>
    </row>
    <row r="151" spans="4:11">
      <c r="D151" s="13" t="s">
        <v>385</v>
      </c>
      <c r="E151" s="7">
        <f t="shared" si="6"/>
        <v>141</v>
      </c>
      <c r="F151" s="7" t="s">
        <v>386</v>
      </c>
      <c r="G151" s="7" t="s">
        <v>298</v>
      </c>
      <c r="H151" s="31">
        <v>0.52</v>
      </c>
      <c r="I151" s="8">
        <f t="shared" ref="I151:I152" si="7">60/H151</f>
        <v>115.38461538461539</v>
      </c>
      <c r="J151" s="31" t="s">
        <v>105</v>
      </c>
      <c r="K151" s="63" t="s">
        <v>111</v>
      </c>
    </row>
    <row r="152" spans="4:11">
      <c r="D152" s="13" t="s">
        <v>387</v>
      </c>
      <c r="E152" s="7">
        <f t="shared" si="6"/>
        <v>142</v>
      </c>
      <c r="F152" s="7" t="s">
        <v>388</v>
      </c>
      <c r="G152" s="7" t="s">
        <v>298</v>
      </c>
      <c r="H152" s="31">
        <v>0.26</v>
      </c>
      <c r="I152" s="8">
        <f t="shared" si="7"/>
        <v>230.76923076923077</v>
      </c>
      <c r="J152" s="31" t="s">
        <v>110</v>
      </c>
      <c r="K152" s="63" t="s">
        <v>111</v>
      </c>
    </row>
    <row r="153" spans="4:11">
      <c r="D153" s="13" t="s">
        <v>389</v>
      </c>
      <c r="E153" s="7">
        <f t="shared" si="6"/>
        <v>143</v>
      </c>
      <c r="F153" s="7" t="s">
        <v>390</v>
      </c>
      <c r="G153" s="7" t="s">
        <v>298</v>
      </c>
      <c r="H153" s="31">
        <v>0.4</v>
      </c>
      <c r="I153" s="8">
        <f t="shared" si="5"/>
        <v>150</v>
      </c>
      <c r="J153" s="31" t="s">
        <v>110</v>
      </c>
      <c r="K153" s="63" t="s">
        <v>111</v>
      </c>
    </row>
    <row r="154" spans="4:11">
      <c r="D154" s="13" t="s">
        <v>391</v>
      </c>
      <c r="E154" s="7">
        <f t="shared" si="6"/>
        <v>144</v>
      </c>
      <c r="F154" s="7" t="s">
        <v>304</v>
      </c>
      <c r="G154" s="7" t="s">
        <v>298</v>
      </c>
      <c r="H154" s="31">
        <v>0.2</v>
      </c>
      <c r="I154" s="8">
        <f t="shared" si="5"/>
        <v>300</v>
      </c>
      <c r="J154" s="31" t="s">
        <v>110</v>
      </c>
      <c r="K154" s="63" t="s">
        <v>106</v>
      </c>
    </row>
    <row r="155" spans="4:11">
      <c r="D155" s="13" t="s">
        <v>392</v>
      </c>
      <c r="E155" s="7">
        <f t="shared" si="6"/>
        <v>145</v>
      </c>
      <c r="F155" s="7" t="s">
        <v>393</v>
      </c>
      <c r="G155" s="7" t="s">
        <v>298</v>
      </c>
      <c r="H155" s="31">
        <v>0.75</v>
      </c>
      <c r="I155" s="8">
        <f t="shared" si="5"/>
        <v>80</v>
      </c>
      <c r="J155" s="31" t="s">
        <v>105</v>
      </c>
      <c r="K155" s="63" t="s">
        <v>111</v>
      </c>
    </row>
    <row r="156" spans="4:11">
      <c r="D156" s="13" t="s">
        <v>394</v>
      </c>
      <c r="E156" s="7">
        <f t="shared" si="6"/>
        <v>146</v>
      </c>
      <c r="F156" s="7" t="s">
        <v>310</v>
      </c>
      <c r="G156" s="7" t="s">
        <v>298</v>
      </c>
      <c r="H156" s="31">
        <v>0.45</v>
      </c>
      <c r="I156" s="8">
        <f t="shared" si="5"/>
        <v>133.33333333333334</v>
      </c>
      <c r="J156" s="31" t="s">
        <v>105</v>
      </c>
      <c r="K156" s="63" t="s">
        <v>111</v>
      </c>
    </row>
    <row r="157" spans="4:11">
      <c r="D157" s="13" t="s">
        <v>395</v>
      </c>
      <c r="E157" s="7">
        <f t="shared" si="6"/>
        <v>147</v>
      </c>
      <c r="F157" s="7" t="s">
        <v>344</v>
      </c>
      <c r="G157" s="7" t="s">
        <v>298</v>
      </c>
      <c r="H157" s="31">
        <v>1.1000000000000001</v>
      </c>
      <c r="I157" s="8">
        <f t="shared" si="5"/>
        <v>54.54545454545454</v>
      </c>
      <c r="J157" s="31" t="s">
        <v>110</v>
      </c>
      <c r="K157" s="63" t="s">
        <v>111</v>
      </c>
    </row>
    <row r="158" spans="4:11">
      <c r="D158" s="13" t="s">
        <v>396</v>
      </c>
      <c r="E158" s="7">
        <f t="shared" si="6"/>
        <v>148</v>
      </c>
      <c r="F158" s="7" t="s">
        <v>300</v>
      </c>
      <c r="G158" s="7" t="s">
        <v>298</v>
      </c>
      <c r="H158" s="31">
        <v>0.4</v>
      </c>
      <c r="I158" s="8">
        <f t="shared" si="5"/>
        <v>150</v>
      </c>
      <c r="J158" s="31" t="s">
        <v>110</v>
      </c>
      <c r="K158" s="63" t="s">
        <v>111</v>
      </c>
    </row>
    <row r="159" spans="4:11">
      <c r="D159" s="13" t="s">
        <v>397</v>
      </c>
      <c r="E159" s="7">
        <f t="shared" si="6"/>
        <v>149</v>
      </c>
      <c r="F159" s="7" t="s">
        <v>398</v>
      </c>
      <c r="G159" s="7" t="s">
        <v>399</v>
      </c>
      <c r="H159" s="31">
        <v>0.51</v>
      </c>
      <c r="I159" s="8">
        <f t="shared" si="5"/>
        <v>117.64705882352941</v>
      </c>
      <c r="J159" s="31" t="s">
        <v>105</v>
      </c>
      <c r="K159" s="63" t="s">
        <v>111</v>
      </c>
    </row>
    <row r="160" spans="4:11">
      <c r="D160" s="13" t="s">
        <v>400</v>
      </c>
      <c r="E160" s="7">
        <f t="shared" si="6"/>
        <v>150</v>
      </c>
      <c r="F160" s="7" t="s">
        <v>401</v>
      </c>
      <c r="G160" s="7" t="s">
        <v>399</v>
      </c>
      <c r="H160" s="31">
        <v>0.25</v>
      </c>
      <c r="I160" s="8">
        <f t="shared" si="5"/>
        <v>240</v>
      </c>
      <c r="J160" s="31" t="s">
        <v>110</v>
      </c>
      <c r="K160" s="63" t="s">
        <v>106</v>
      </c>
    </row>
    <row r="161" spans="4:11">
      <c r="D161" s="13" t="s">
        <v>402</v>
      </c>
      <c r="E161" s="7">
        <f t="shared" si="6"/>
        <v>151</v>
      </c>
      <c r="F161" s="7" t="s">
        <v>403</v>
      </c>
      <c r="G161" s="7" t="s">
        <v>399</v>
      </c>
      <c r="H161" s="31">
        <v>0.2823</v>
      </c>
      <c r="I161" s="8">
        <f t="shared" si="5"/>
        <v>212.53985122210415</v>
      </c>
      <c r="J161" s="31" t="s">
        <v>105</v>
      </c>
      <c r="K161" s="63" t="s">
        <v>106</v>
      </c>
    </row>
    <row r="162" spans="4:11">
      <c r="D162" s="13" t="s">
        <v>404</v>
      </c>
      <c r="E162" s="7">
        <f t="shared" si="6"/>
        <v>152</v>
      </c>
      <c r="F162" s="7" t="s">
        <v>372</v>
      </c>
      <c r="G162" s="7" t="s">
        <v>399</v>
      </c>
      <c r="H162" s="31">
        <v>0.22</v>
      </c>
      <c r="I162" s="8">
        <f t="shared" si="5"/>
        <v>272.72727272727275</v>
      </c>
      <c r="J162" s="31" t="s">
        <v>105</v>
      </c>
      <c r="K162" s="63" t="s">
        <v>111</v>
      </c>
    </row>
    <row r="163" spans="4:11">
      <c r="D163" s="13" t="s">
        <v>405</v>
      </c>
      <c r="E163" s="7">
        <f t="shared" si="6"/>
        <v>153</v>
      </c>
      <c r="F163" s="7" t="s">
        <v>406</v>
      </c>
      <c r="G163" s="7" t="s">
        <v>399</v>
      </c>
      <c r="H163" s="31">
        <v>0.4</v>
      </c>
      <c r="I163" s="8">
        <f t="shared" si="5"/>
        <v>150</v>
      </c>
      <c r="J163" s="31" t="s">
        <v>105</v>
      </c>
      <c r="K163" s="63" t="s">
        <v>111</v>
      </c>
    </row>
    <row r="164" spans="4:11">
      <c r="D164" s="13" t="s">
        <v>407</v>
      </c>
      <c r="E164" s="7">
        <f t="shared" si="6"/>
        <v>154</v>
      </c>
      <c r="F164" s="7" t="s">
        <v>408</v>
      </c>
      <c r="G164" s="7" t="s">
        <v>399</v>
      </c>
      <c r="H164" s="31">
        <v>0.6</v>
      </c>
      <c r="I164" s="8">
        <f t="shared" si="5"/>
        <v>100</v>
      </c>
      <c r="J164" s="31" t="s">
        <v>110</v>
      </c>
      <c r="K164" s="63" t="s">
        <v>111</v>
      </c>
    </row>
    <row r="165" spans="4:11">
      <c r="D165" s="13" t="s">
        <v>409</v>
      </c>
      <c r="E165" s="7">
        <f t="shared" si="6"/>
        <v>155</v>
      </c>
      <c r="F165" s="7" t="s">
        <v>410</v>
      </c>
      <c r="G165" s="7" t="s">
        <v>399</v>
      </c>
      <c r="H165" s="31">
        <v>0.15</v>
      </c>
      <c r="I165" s="8">
        <f t="shared" si="5"/>
        <v>400</v>
      </c>
      <c r="J165" s="31" t="s">
        <v>110</v>
      </c>
      <c r="K165" s="63" t="s">
        <v>111</v>
      </c>
    </row>
    <row r="166" spans="4:11">
      <c r="D166" s="13" t="s">
        <v>411</v>
      </c>
      <c r="E166" s="7">
        <f t="shared" si="6"/>
        <v>156</v>
      </c>
      <c r="F166" s="7" t="s">
        <v>412</v>
      </c>
      <c r="G166" s="7" t="s">
        <v>399</v>
      </c>
      <c r="H166" s="31">
        <v>0.3</v>
      </c>
      <c r="I166" s="8">
        <f t="shared" si="5"/>
        <v>200</v>
      </c>
      <c r="J166" s="31" t="s">
        <v>110</v>
      </c>
      <c r="K166" s="63" t="s">
        <v>111</v>
      </c>
    </row>
    <row r="167" spans="4:11">
      <c r="D167" s="13" t="s">
        <v>413</v>
      </c>
      <c r="E167" s="7">
        <f t="shared" si="6"/>
        <v>157</v>
      </c>
      <c r="F167" s="7" t="s">
        <v>414</v>
      </c>
      <c r="G167" s="7" t="s">
        <v>399</v>
      </c>
      <c r="H167" s="31">
        <v>0.55000000000000004</v>
      </c>
      <c r="I167" s="8">
        <f t="shared" si="5"/>
        <v>109.09090909090908</v>
      </c>
      <c r="J167" s="31" t="s">
        <v>110</v>
      </c>
      <c r="K167" s="63" t="s">
        <v>106</v>
      </c>
    </row>
    <row r="168" spans="4:11">
      <c r="D168" s="13" t="s">
        <v>415</v>
      </c>
      <c r="E168" s="7">
        <f t="shared" si="6"/>
        <v>158</v>
      </c>
      <c r="F168" s="7" t="s">
        <v>416</v>
      </c>
      <c r="G168" s="7" t="s">
        <v>399</v>
      </c>
      <c r="H168" s="31">
        <v>0.28000000000000003</v>
      </c>
      <c r="I168" s="8">
        <f t="shared" si="5"/>
        <v>214.28571428571428</v>
      </c>
      <c r="J168" s="31" t="s">
        <v>110</v>
      </c>
      <c r="K168" s="63" t="s">
        <v>106</v>
      </c>
    </row>
    <row r="169" spans="4:11">
      <c r="D169" s="13" t="s">
        <v>417</v>
      </c>
      <c r="E169" s="7">
        <f t="shared" si="6"/>
        <v>159</v>
      </c>
      <c r="F169" s="7" t="s">
        <v>418</v>
      </c>
      <c r="G169" s="7" t="s">
        <v>399</v>
      </c>
      <c r="H169" s="31">
        <v>0.28999999999999998</v>
      </c>
      <c r="I169" s="8">
        <f t="shared" si="5"/>
        <v>206.89655172413794</v>
      </c>
      <c r="J169" s="31" t="s">
        <v>110</v>
      </c>
      <c r="K169" s="63" t="s">
        <v>111</v>
      </c>
    </row>
    <row r="170" spans="4:11">
      <c r="D170" s="13" t="s">
        <v>419</v>
      </c>
      <c r="E170" s="7">
        <f t="shared" si="6"/>
        <v>160</v>
      </c>
      <c r="F170" s="7" t="s">
        <v>420</v>
      </c>
      <c r="G170" s="7" t="s">
        <v>399</v>
      </c>
      <c r="H170" s="31">
        <v>0.9</v>
      </c>
      <c r="I170" s="8">
        <f t="shared" si="5"/>
        <v>66.666666666666671</v>
      </c>
      <c r="J170" s="31" t="s">
        <v>110</v>
      </c>
      <c r="K170" s="63" t="s">
        <v>111</v>
      </c>
    </row>
    <row r="171" spans="4:11">
      <c r="D171" s="13" t="s">
        <v>421</v>
      </c>
      <c r="E171" s="7">
        <f t="shared" si="6"/>
        <v>161</v>
      </c>
      <c r="F171" s="7" t="s">
        <v>422</v>
      </c>
      <c r="G171" s="7" t="s">
        <v>399</v>
      </c>
      <c r="H171" s="31">
        <v>0.45</v>
      </c>
      <c r="I171" s="8">
        <f t="shared" si="5"/>
        <v>133.33333333333334</v>
      </c>
      <c r="J171" s="31" t="s">
        <v>105</v>
      </c>
      <c r="K171" s="63" t="s">
        <v>111</v>
      </c>
    </row>
    <row r="172" spans="4:11">
      <c r="D172" s="13" t="s">
        <v>423</v>
      </c>
      <c r="E172" s="7">
        <f t="shared" si="6"/>
        <v>162</v>
      </c>
      <c r="F172" s="7" t="s">
        <v>424</v>
      </c>
      <c r="G172" s="7" t="s">
        <v>399</v>
      </c>
      <c r="H172" s="31">
        <v>0.45</v>
      </c>
      <c r="I172" s="8">
        <f t="shared" si="5"/>
        <v>133.33333333333334</v>
      </c>
      <c r="J172" s="31" t="s">
        <v>105</v>
      </c>
      <c r="K172" s="63" t="s">
        <v>111</v>
      </c>
    </row>
    <row r="173" spans="4:11">
      <c r="D173" s="13" t="s">
        <v>425</v>
      </c>
      <c r="E173" s="7">
        <f t="shared" si="6"/>
        <v>163</v>
      </c>
      <c r="F173" s="7" t="s">
        <v>426</v>
      </c>
      <c r="G173" s="7" t="s">
        <v>399</v>
      </c>
      <c r="H173" s="31">
        <v>0.2</v>
      </c>
      <c r="I173" s="8">
        <f t="shared" si="5"/>
        <v>300</v>
      </c>
      <c r="J173" s="31" t="s">
        <v>110</v>
      </c>
      <c r="K173" s="63" t="s">
        <v>111</v>
      </c>
    </row>
    <row r="174" spans="4:11">
      <c r="D174" s="13" t="s">
        <v>427</v>
      </c>
      <c r="E174" s="7">
        <f t="shared" si="6"/>
        <v>164</v>
      </c>
      <c r="F174" s="7" t="s">
        <v>428</v>
      </c>
      <c r="G174" s="7" t="s">
        <v>399</v>
      </c>
      <c r="H174" s="31">
        <v>0.25</v>
      </c>
      <c r="I174" s="8">
        <f t="shared" si="5"/>
        <v>240</v>
      </c>
      <c r="J174" s="31" t="s">
        <v>105</v>
      </c>
      <c r="K174" s="63" t="s">
        <v>111</v>
      </c>
    </row>
    <row r="175" spans="4:11">
      <c r="D175" s="13" t="s">
        <v>429</v>
      </c>
      <c r="E175" s="7">
        <f t="shared" si="6"/>
        <v>165</v>
      </c>
      <c r="F175" s="7" t="s">
        <v>430</v>
      </c>
      <c r="G175" s="7" t="s">
        <v>399</v>
      </c>
      <c r="H175" s="31">
        <v>0.25</v>
      </c>
      <c r="I175" s="8">
        <f t="shared" si="5"/>
        <v>240</v>
      </c>
      <c r="J175" s="31" t="s">
        <v>110</v>
      </c>
      <c r="K175" s="63" t="s">
        <v>111</v>
      </c>
    </row>
    <row r="176" spans="4:11">
      <c r="D176" s="13" t="s">
        <v>431</v>
      </c>
      <c r="E176" s="7">
        <f t="shared" si="6"/>
        <v>166</v>
      </c>
      <c r="F176" s="7" t="s">
        <v>432</v>
      </c>
      <c r="G176" s="7" t="s">
        <v>399</v>
      </c>
      <c r="H176" s="31">
        <v>0.56000000000000005</v>
      </c>
      <c r="I176" s="8">
        <f t="shared" si="5"/>
        <v>107.14285714285714</v>
      </c>
      <c r="J176" s="31" t="s">
        <v>110</v>
      </c>
      <c r="K176" s="63" t="s">
        <v>111</v>
      </c>
    </row>
    <row r="177" spans="4:11">
      <c r="D177" s="13" t="s">
        <v>433</v>
      </c>
      <c r="E177" s="7">
        <f t="shared" si="6"/>
        <v>167</v>
      </c>
      <c r="F177" s="7" t="s">
        <v>434</v>
      </c>
      <c r="G177" s="7" t="s">
        <v>399</v>
      </c>
      <c r="H177" s="31">
        <v>0.3513</v>
      </c>
      <c r="I177" s="8">
        <f t="shared" si="5"/>
        <v>170.79419299743807</v>
      </c>
      <c r="J177" s="31" t="s">
        <v>110</v>
      </c>
      <c r="K177" s="63" t="s">
        <v>111</v>
      </c>
    </row>
    <row r="178" spans="4:11">
      <c r="D178" s="13" t="s">
        <v>435</v>
      </c>
      <c r="E178" s="7">
        <f t="shared" si="6"/>
        <v>168</v>
      </c>
      <c r="F178" s="7" t="s">
        <v>436</v>
      </c>
      <c r="G178" s="7" t="s">
        <v>399</v>
      </c>
      <c r="H178" s="31">
        <v>0.48</v>
      </c>
      <c r="I178" s="8">
        <f t="shared" si="5"/>
        <v>125</v>
      </c>
      <c r="J178" s="31" t="s">
        <v>110</v>
      </c>
      <c r="K178" s="63" t="s">
        <v>111</v>
      </c>
    </row>
    <row r="179" spans="4:11">
      <c r="D179" s="13" t="s">
        <v>437</v>
      </c>
      <c r="E179" s="7">
        <f t="shared" si="6"/>
        <v>169</v>
      </c>
      <c r="F179" s="7" t="s">
        <v>438</v>
      </c>
      <c r="G179" s="7" t="s">
        <v>399</v>
      </c>
      <c r="H179" s="31">
        <v>0.35</v>
      </c>
      <c r="I179" s="8">
        <f t="shared" si="5"/>
        <v>171.42857142857144</v>
      </c>
      <c r="J179" s="31" t="s">
        <v>110</v>
      </c>
      <c r="K179" s="63" t="s">
        <v>106</v>
      </c>
    </row>
    <row r="180" spans="4:11">
      <c r="D180" s="13" t="s">
        <v>439</v>
      </c>
      <c r="E180" s="7">
        <f t="shared" si="6"/>
        <v>170</v>
      </c>
      <c r="F180" s="7" t="s">
        <v>440</v>
      </c>
      <c r="G180" s="7" t="s">
        <v>399</v>
      </c>
      <c r="H180" s="31">
        <v>0.49959999999999999</v>
      </c>
      <c r="I180" s="8">
        <f t="shared" si="5"/>
        <v>120.09607686148919</v>
      </c>
      <c r="J180" s="31" t="s">
        <v>110</v>
      </c>
      <c r="K180" s="63" t="s">
        <v>106</v>
      </c>
    </row>
    <row r="181" spans="4:11">
      <c r="D181" s="13" t="s">
        <v>441</v>
      </c>
      <c r="E181" s="7">
        <f t="shared" si="6"/>
        <v>171</v>
      </c>
      <c r="F181" s="7" t="s">
        <v>442</v>
      </c>
      <c r="G181" s="7" t="s">
        <v>399</v>
      </c>
      <c r="H181" s="31">
        <v>0.24229999999999999</v>
      </c>
      <c r="I181" s="8">
        <f t="shared" si="5"/>
        <v>247.62690879075527</v>
      </c>
      <c r="J181" s="31" t="s">
        <v>105</v>
      </c>
      <c r="K181" s="63" t="s">
        <v>106</v>
      </c>
    </row>
    <row r="182" spans="4:11">
      <c r="D182" s="13" t="s">
        <v>443</v>
      </c>
      <c r="E182" s="7">
        <f t="shared" si="6"/>
        <v>172</v>
      </c>
      <c r="F182" s="7" t="s">
        <v>444</v>
      </c>
      <c r="G182" s="7" t="s">
        <v>399</v>
      </c>
      <c r="H182" s="31">
        <v>0.2</v>
      </c>
      <c r="I182" s="8">
        <f t="shared" si="5"/>
        <v>300</v>
      </c>
      <c r="J182" s="31" t="s">
        <v>110</v>
      </c>
      <c r="K182" s="63" t="s">
        <v>106</v>
      </c>
    </row>
    <row r="183" spans="4:11">
      <c r="D183" s="13" t="s">
        <v>445</v>
      </c>
      <c r="E183" s="7">
        <f t="shared" si="6"/>
        <v>173</v>
      </c>
      <c r="F183" s="7" t="s">
        <v>446</v>
      </c>
      <c r="G183" s="7" t="s">
        <v>399</v>
      </c>
      <c r="H183" s="31">
        <v>0.46</v>
      </c>
      <c r="I183" s="8">
        <f t="shared" si="5"/>
        <v>130.43478260869566</v>
      </c>
      <c r="J183" s="31" t="s">
        <v>105</v>
      </c>
      <c r="K183" s="63" t="s">
        <v>106</v>
      </c>
    </row>
    <row r="184" spans="4:11">
      <c r="D184" s="13" t="s">
        <v>447</v>
      </c>
      <c r="E184" s="7">
        <f t="shared" si="6"/>
        <v>174</v>
      </c>
      <c r="F184" s="7" t="s">
        <v>448</v>
      </c>
      <c r="G184" s="7" t="s">
        <v>399</v>
      </c>
      <c r="H184" s="31">
        <v>0.55000000000000004</v>
      </c>
      <c r="I184" s="8">
        <f t="shared" si="5"/>
        <v>109.09090909090908</v>
      </c>
      <c r="J184" s="31" t="s">
        <v>105</v>
      </c>
      <c r="K184" s="63" t="s">
        <v>111</v>
      </c>
    </row>
    <row r="185" spans="4:11">
      <c r="D185" s="13" t="s">
        <v>449</v>
      </c>
      <c r="E185" s="7">
        <f t="shared" si="6"/>
        <v>175</v>
      </c>
      <c r="F185" s="7" t="s">
        <v>450</v>
      </c>
      <c r="G185" s="7" t="s">
        <v>399</v>
      </c>
      <c r="H185" s="31">
        <v>0.46</v>
      </c>
      <c r="I185" s="8">
        <f t="shared" si="5"/>
        <v>130.43478260869566</v>
      </c>
      <c r="J185" s="31" t="s">
        <v>110</v>
      </c>
      <c r="K185" s="63" t="s">
        <v>111</v>
      </c>
    </row>
    <row r="186" spans="4:11">
      <c r="D186" s="13" t="s">
        <v>451</v>
      </c>
      <c r="E186" s="7">
        <f t="shared" si="6"/>
        <v>176</v>
      </c>
      <c r="F186" s="7" t="s">
        <v>452</v>
      </c>
      <c r="G186" s="7" t="s">
        <v>399</v>
      </c>
      <c r="H186" s="31">
        <v>0.3</v>
      </c>
      <c r="I186" s="8">
        <f t="shared" si="5"/>
        <v>200</v>
      </c>
      <c r="J186" s="31" t="s">
        <v>110</v>
      </c>
      <c r="K186" s="63" t="s">
        <v>106</v>
      </c>
    </row>
    <row r="187" spans="4:11">
      <c r="D187" s="13" t="s">
        <v>453</v>
      </c>
      <c r="E187" s="7">
        <f t="shared" si="6"/>
        <v>177</v>
      </c>
      <c r="F187" s="7" t="s">
        <v>454</v>
      </c>
      <c r="G187" s="7" t="s">
        <v>399</v>
      </c>
      <c r="H187" s="31">
        <v>0.75</v>
      </c>
      <c r="I187" s="8">
        <f t="shared" si="5"/>
        <v>80</v>
      </c>
      <c r="J187" s="31" t="s">
        <v>110</v>
      </c>
      <c r="K187" s="63" t="s">
        <v>111</v>
      </c>
    </row>
    <row r="188" spans="4:11">
      <c r="D188" s="13" t="s">
        <v>455</v>
      </c>
      <c r="E188" s="7">
        <f t="shared" si="6"/>
        <v>178</v>
      </c>
      <c r="F188" s="7" t="s">
        <v>456</v>
      </c>
      <c r="G188" s="7" t="s">
        <v>399</v>
      </c>
      <c r="H188" s="31">
        <v>0.45</v>
      </c>
      <c r="I188" s="8">
        <f t="shared" si="5"/>
        <v>133.33333333333334</v>
      </c>
      <c r="J188" s="31" t="s">
        <v>110</v>
      </c>
      <c r="K188" s="63" t="s">
        <v>111</v>
      </c>
    </row>
    <row r="189" spans="4:11">
      <c r="D189" s="13" t="s">
        <v>457</v>
      </c>
      <c r="E189" s="7">
        <f t="shared" si="6"/>
        <v>179</v>
      </c>
      <c r="F189" s="7" t="s">
        <v>458</v>
      </c>
      <c r="G189" s="7" t="s">
        <v>399</v>
      </c>
      <c r="H189" s="31">
        <v>0.75</v>
      </c>
      <c r="I189" s="8">
        <f t="shared" si="5"/>
        <v>80</v>
      </c>
      <c r="J189" s="31" t="s">
        <v>110</v>
      </c>
      <c r="K189" s="63" t="s">
        <v>111</v>
      </c>
    </row>
    <row r="190" spans="4:11">
      <c r="D190" s="13" t="s">
        <v>459</v>
      </c>
      <c r="E190" s="7">
        <f t="shared" si="6"/>
        <v>180</v>
      </c>
      <c r="F190" s="7" t="s">
        <v>460</v>
      </c>
      <c r="G190" s="7" t="s">
        <v>399</v>
      </c>
      <c r="H190" s="31">
        <v>0.77</v>
      </c>
      <c r="I190" s="8">
        <f t="shared" si="5"/>
        <v>77.922077922077918</v>
      </c>
      <c r="J190" s="31" t="s">
        <v>110</v>
      </c>
      <c r="K190" s="63" t="s">
        <v>111</v>
      </c>
    </row>
    <row r="191" spans="4:11">
      <c r="D191" s="13" t="s">
        <v>461</v>
      </c>
      <c r="E191" s="7">
        <f t="shared" si="6"/>
        <v>181</v>
      </c>
      <c r="F191" s="7" t="s">
        <v>462</v>
      </c>
      <c r="G191" s="7" t="s">
        <v>399</v>
      </c>
      <c r="H191" s="31">
        <v>0.8</v>
      </c>
      <c r="I191" s="8">
        <f t="shared" si="5"/>
        <v>75</v>
      </c>
      <c r="J191" s="31" t="s">
        <v>110</v>
      </c>
      <c r="K191" s="63" t="s">
        <v>111</v>
      </c>
    </row>
    <row r="192" spans="4:11">
      <c r="D192" s="13" t="s">
        <v>463</v>
      </c>
      <c r="E192" s="7">
        <f t="shared" si="6"/>
        <v>182</v>
      </c>
      <c r="F192" s="7" t="s">
        <v>464</v>
      </c>
      <c r="G192" s="7" t="s">
        <v>399</v>
      </c>
      <c r="H192" s="31">
        <v>0.5</v>
      </c>
      <c r="I192" s="8">
        <f t="shared" si="5"/>
        <v>120</v>
      </c>
      <c r="J192" s="31" t="s">
        <v>110</v>
      </c>
      <c r="K192" s="63" t="s">
        <v>106</v>
      </c>
    </row>
    <row r="193" spans="4:11">
      <c r="D193" s="13" t="s">
        <v>465</v>
      </c>
      <c r="E193" s="7">
        <f t="shared" si="6"/>
        <v>183</v>
      </c>
      <c r="F193" s="7" t="s">
        <v>466</v>
      </c>
      <c r="G193" s="7" t="s">
        <v>399</v>
      </c>
      <c r="H193" s="31">
        <v>0.6</v>
      </c>
      <c r="I193" s="8">
        <f t="shared" si="5"/>
        <v>100</v>
      </c>
      <c r="J193" s="31" t="s">
        <v>110</v>
      </c>
      <c r="K193" s="63" t="s">
        <v>111</v>
      </c>
    </row>
    <row r="194" spans="4:11">
      <c r="D194" s="13" t="s">
        <v>467</v>
      </c>
      <c r="E194" s="7">
        <f t="shared" si="6"/>
        <v>184</v>
      </c>
      <c r="F194" s="7" t="s">
        <v>468</v>
      </c>
      <c r="G194" s="7" t="s">
        <v>399</v>
      </c>
      <c r="H194" s="31">
        <v>0.2</v>
      </c>
      <c r="I194" s="8">
        <f t="shared" si="5"/>
        <v>300</v>
      </c>
      <c r="J194" s="31" t="s">
        <v>110</v>
      </c>
      <c r="K194" s="63" t="s">
        <v>106</v>
      </c>
    </row>
    <row r="195" spans="4:11">
      <c r="D195" s="13" t="s">
        <v>469</v>
      </c>
      <c r="E195" s="7">
        <f t="shared" si="6"/>
        <v>185</v>
      </c>
      <c r="F195" s="7" t="s">
        <v>470</v>
      </c>
      <c r="G195" s="7" t="s">
        <v>399</v>
      </c>
      <c r="H195" s="31">
        <v>0.3</v>
      </c>
      <c r="I195" s="8">
        <f t="shared" si="5"/>
        <v>200</v>
      </c>
      <c r="J195" s="31" t="s">
        <v>110</v>
      </c>
      <c r="K195" s="63" t="s">
        <v>106</v>
      </c>
    </row>
    <row r="196" spans="4:11">
      <c r="D196" s="13" t="s">
        <v>471</v>
      </c>
      <c r="E196" s="7">
        <f t="shared" si="6"/>
        <v>186</v>
      </c>
      <c r="F196" s="7" t="s">
        <v>472</v>
      </c>
      <c r="G196" s="7" t="s">
        <v>399</v>
      </c>
      <c r="H196" s="31">
        <v>0.3</v>
      </c>
      <c r="I196" s="8">
        <f t="shared" si="5"/>
        <v>200</v>
      </c>
      <c r="J196" s="31" t="s">
        <v>110</v>
      </c>
      <c r="K196" s="63" t="s">
        <v>111</v>
      </c>
    </row>
    <row r="197" spans="4:11">
      <c r="D197" s="13" t="s">
        <v>473</v>
      </c>
      <c r="E197" s="7">
        <f t="shared" si="6"/>
        <v>187</v>
      </c>
      <c r="F197" s="7" t="s">
        <v>474</v>
      </c>
      <c r="G197" s="7" t="s">
        <v>399</v>
      </c>
      <c r="H197" s="31">
        <v>0.25</v>
      </c>
      <c r="I197" s="8">
        <f t="shared" si="5"/>
        <v>240</v>
      </c>
      <c r="J197" s="31" t="s">
        <v>110</v>
      </c>
      <c r="K197" s="63" t="s">
        <v>106</v>
      </c>
    </row>
    <row r="198" spans="4:11">
      <c r="D198" s="13" t="s">
        <v>475</v>
      </c>
      <c r="E198" s="7">
        <f t="shared" si="6"/>
        <v>188</v>
      </c>
      <c r="F198" s="7" t="s">
        <v>476</v>
      </c>
      <c r="G198" s="7" t="s">
        <v>399</v>
      </c>
      <c r="H198" s="31">
        <v>0.2</v>
      </c>
      <c r="I198" s="8">
        <f t="shared" si="5"/>
        <v>300</v>
      </c>
      <c r="J198" s="31" t="s">
        <v>110</v>
      </c>
      <c r="K198" s="63" t="s">
        <v>106</v>
      </c>
    </row>
    <row r="199" spans="4:11">
      <c r="D199" s="13" t="s">
        <v>477</v>
      </c>
      <c r="E199" s="7">
        <f t="shared" si="6"/>
        <v>189</v>
      </c>
      <c r="F199" s="7" t="s">
        <v>478</v>
      </c>
      <c r="G199" s="7" t="s">
        <v>399</v>
      </c>
      <c r="H199" s="31">
        <v>0.15</v>
      </c>
      <c r="I199" s="8">
        <f t="shared" si="5"/>
        <v>400</v>
      </c>
      <c r="J199" s="31" t="s">
        <v>110</v>
      </c>
      <c r="K199" s="63" t="s">
        <v>106</v>
      </c>
    </row>
    <row r="200" spans="4:11">
      <c r="D200" s="13" t="s">
        <v>479</v>
      </c>
      <c r="E200" s="7">
        <f t="shared" si="6"/>
        <v>190</v>
      </c>
      <c r="F200" s="7" t="s">
        <v>480</v>
      </c>
      <c r="G200" s="7" t="s">
        <v>399</v>
      </c>
      <c r="H200" s="31">
        <v>0.28000000000000003</v>
      </c>
      <c r="I200" s="8">
        <f t="shared" si="5"/>
        <v>214.28571428571428</v>
      </c>
      <c r="J200" s="31" t="s">
        <v>110</v>
      </c>
      <c r="K200" s="63" t="s">
        <v>111</v>
      </c>
    </row>
    <row r="201" spans="4:11">
      <c r="D201" s="13" t="s">
        <v>481</v>
      </c>
      <c r="E201" s="7">
        <f t="shared" si="6"/>
        <v>191</v>
      </c>
      <c r="F201" s="7" t="s">
        <v>482</v>
      </c>
      <c r="G201" s="7" t="s">
        <v>399</v>
      </c>
      <c r="H201" s="31">
        <v>0.25</v>
      </c>
      <c r="I201" s="8">
        <f t="shared" si="5"/>
        <v>240</v>
      </c>
      <c r="J201" s="31" t="s">
        <v>110</v>
      </c>
      <c r="K201" s="63" t="s">
        <v>111</v>
      </c>
    </row>
    <row r="202" spans="4:11">
      <c r="D202" s="13" t="s">
        <v>483</v>
      </c>
      <c r="E202" s="7">
        <f t="shared" si="6"/>
        <v>192</v>
      </c>
      <c r="F202" s="7" t="s">
        <v>484</v>
      </c>
      <c r="G202" s="7" t="s">
        <v>399</v>
      </c>
      <c r="H202" s="31">
        <v>0.4</v>
      </c>
      <c r="I202" s="8">
        <f t="shared" si="5"/>
        <v>150</v>
      </c>
      <c r="J202" s="31" t="s">
        <v>110</v>
      </c>
      <c r="K202" s="63" t="s">
        <v>111</v>
      </c>
    </row>
    <row r="203" spans="4:11">
      <c r="D203" s="13" t="s">
        <v>485</v>
      </c>
      <c r="E203" s="7">
        <f t="shared" si="6"/>
        <v>193</v>
      </c>
      <c r="F203" s="7" t="s">
        <v>486</v>
      </c>
      <c r="G203" s="7" t="s">
        <v>399</v>
      </c>
      <c r="H203" s="31">
        <v>0.51</v>
      </c>
      <c r="I203" s="8">
        <f t="shared" si="5"/>
        <v>117.64705882352941</v>
      </c>
      <c r="J203" s="31" t="s">
        <v>110</v>
      </c>
      <c r="K203" s="63" t="s">
        <v>111</v>
      </c>
    </row>
    <row r="204" spans="4:11">
      <c r="D204" s="13" t="s">
        <v>487</v>
      </c>
      <c r="E204" s="7">
        <f t="shared" si="6"/>
        <v>194</v>
      </c>
      <c r="F204" s="7" t="s">
        <v>488</v>
      </c>
      <c r="G204" s="7" t="s">
        <v>399</v>
      </c>
      <c r="H204" s="31">
        <v>0.2</v>
      </c>
      <c r="I204" s="8">
        <f t="shared" si="5"/>
        <v>300</v>
      </c>
      <c r="J204" s="31" t="s">
        <v>110</v>
      </c>
      <c r="K204" s="63" t="s">
        <v>106</v>
      </c>
    </row>
    <row r="205" spans="4:11">
      <c r="D205" s="13" t="s">
        <v>489</v>
      </c>
      <c r="E205" s="7">
        <f t="shared" si="6"/>
        <v>195</v>
      </c>
      <c r="F205" s="7" t="s">
        <v>490</v>
      </c>
      <c r="G205" s="7" t="s">
        <v>399</v>
      </c>
      <c r="H205" s="31">
        <v>0.6</v>
      </c>
      <c r="I205" s="8">
        <f t="shared" ref="I205:I271" si="8">60/H205</f>
        <v>100</v>
      </c>
      <c r="J205" s="31" t="s">
        <v>110</v>
      </c>
      <c r="K205" s="63" t="s">
        <v>106</v>
      </c>
    </row>
    <row r="206" spans="4:11">
      <c r="D206" s="13" t="s">
        <v>491</v>
      </c>
      <c r="E206" s="7">
        <f t="shared" ref="E206:E269" si="9">E205+1</f>
        <v>196</v>
      </c>
      <c r="F206" s="7" t="s">
        <v>492</v>
      </c>
      <c r="G206" s="7" t="s">
        <v>399</v>
      </c>
      <c r="H206" s="31">
        <v>0.3</v>
      </c>
      <c r="I206" s="8">
        <f t="shared" si="8"/>
        <v>200</v>
      </c>
      <c r="J206" s="31" t="s">
        <v>110</v>
      </c>
      <c r="K206" s="63" t="s">
        <v>106</v>
      </c>
    </row>
    <row r="207" spans="4:11">
      <c r="D207" s="13" t="s">
        <v>493</v>
      </c>
      <c r="E207" s="7">
        <f t="shared" si="9"/>
        <v>197</v>
      </c>
      <c r="F207" s="7" t="s">
        <v>494</v>
      </c>
      <c r="G207" s="7" t="s">
        <v>399</v>
      </c>
      <c r="H207" s="31">
        <v>0.4</v>
      </c>
      <c r="I207" s="8">
        <f t="shared" si="8"/>
        <v>150</v>
      </c>
      <c r="J207" s="31" t="s">
        <v>110</v>
      </c>
      <c r="K207" s="63" t="s">
        <v>111</v>
      </c>
    </row>
    <row r="208" spans="4:11">
      <c r="D208" s="13" t="s">
        <v>495</v>
      </c>
      <c r="E208" s="7">
        <f t="shared" si="9"/>
        <v>198</v>
      </c>
      <c r="F208" s="7" t="s">
        <v>496</v>
      </c>
      <c r="G208" s="7" t="s">
        <v>399</v>
      </c>
      <c r="H208" s="31">
        <v>0.8</v>
      </c>
      <c r="I208" s="8">
        <f t="shared" si="8"/>
        <v>75</v>
      </c>
      <c r="J208" s="31" t="s">
        <v>110</v>
      </c>
      <c r="K208" s="63" t="s">
        <v>111</v>
      </c>
    </row>
    <row r="209" spans="4:11">
      <c r="D209" s="13" t="s">
        <v>497</v>
      </c>
      <c r="E209" s="7">
        <f t="shared" si="9"/>
        <v>199</v>
      </c>
      <c r="F209" s="7" t="s">
        <v>498</v>
      </c>
      <c r="G209" s="7" t="s">
        <v>399</v>
      </c>
      <c r="H209" s="31">
        <v>0.72</v>
      </c>
      <c r="I209" s="8">
        <f t="shared" si="8"/>
        <v>83.333333333333343</v>
      </c>
      <c r="J209" s="31" t="s">
        <v>110</v>
      </c>
      <c r="K209" s="63" t="s">
        <v>111</v>
      </c>
    </row>
    <row r="210" spans="4:11">
      <c r="D210" s="13" t="s">
        <v>499</v>
      </c>
      <c r="E210" s="7">
        <f t="shared" si="9"/>
        <v>200</v>
      </c>
      <c r="F210" s="7" t="s">
        <v>500</v>
      </c>
      <c r="G210" s="7" t="s">
        <v>399</v>
      </c>
      <c r="H210" s="31">
        <v>0.65</v>
      </c>
      <c r="I210" s="8">
        <f t="shared" si="8"/>
        <v>92.307692307692307</v>
      </c>
      <c r="J210" s="31" t="s">
        <v>110</v>
      </c>
      <c r="K210" s="63" t="s">
        <v>111</v>
      </c>
    </row>
    <row r="211" spans="4:11">
      <c r="D211" s="13" t="s">
        <v>501</v>
      </c>
      <c r="E211" s="7">
        <f t="shared" si="9"/>
        <v>201</v>
      </c>
      <c r="F211" s="7" t="s">
        <v>502</v>
      </c>
      <c r="G211" s="7" t="s">
        <v>399</v>
      </c>
      <c r="H211" s="31">
        <v>1.45</v>
      </c>
      <c r="I211" s="8">
        <f t="shared" si="8"/>
        <v>41.379310344827587</v>
      </c>
      <c r="J211" s="31" t="s">
        <v>110</v>
      </c>
      <c r="K211" s="63" t="s">
        <v>111</v>
      </c>
    </row>
    <row r="212" spans="4:11">
      <c r="D212" s="13" t="s">
        <v>503</v>
      </c>
      <c r="E212" s="7">
        <f t="shared" si="9"/>
        <v>202</v>
      </c>
      <c r="F212" s="7" t="s">
        <v>504</v>
      </c>
      <c r="G212" s="7" t="s">
        <v>399</v>
      </c>
      <c r="H212" s="31">
        <v>0.7</v>
      </c>
      <c r="I212" s="8">
        <f t="shared" si="8"/>
        <v>85.714285714285722</v>
      </c>
      <c r="J212" s="31" t="s">
        <v>110</v>
      </c>
      <c r="K212" s="63" t="s">
        <v>111</v>
      </c>
    </row>
    <row r="213" spans="4:11">
      <c r="D213" s="13" t="s">
        <v>505</v>
      </c>
      <c r="E213" s="7">
        <f t="shared" si="9"/>
        <v>203</v>
      </c>
      <c r="F213" s="7" t="s">
        <v>506</v>
      </c>
      <c r="G213" s="7" t="s">
        <v>399</v>
      </c>
      <c r="H213" s="31">
        <v>0.98</v>
      </c>
      <c r="I213" s="8">
        <f t="shared" si="8"/>
        <v>61.224489795918366</v>
      </c>
      <c r="J213" s="31" t="s">
        <v>110</v>
      </c>
      <c r="K213" s="63" t="s">
        <v>111</v>
      </c>
    </row>
    <row r="214" spans="4:11">
      <c r="D214" s="13" t="s">
        <v>507</v>
      </c>
      <c r="E214" s="7">
        <f t="shared" si="9"/>
        <v>204</v>
      </c>
      <c r="F214" s="7" t="s">
        <v>508</v>
      </c>
      <c r="G214" s="7" t="s">
        <v>399</v>
      </c>
      <c r="H214" s="31">
        <v>0.88</v>
      </c>
      <c r="I214" s="8">
        <f t="shared" si="8"/>
        <v>68.181818181818187</v>
      </c>
      <c r="J214" s="31" t="s">
        <v>110</v>
      </c>
      <c r="K214" s="63" t="s">
        <v>111</v>
      </c>
    </row>
    <row r="215" spans="4:11">
      <c r="D215" s="13" t="s">
        <v>509</v>
      </c>
      <c r="E215" s="7">
        <f t="shared" si="9"/>
        <v>205</v>
      </c>
      <c r="F215" s="7" t="s">
        <v>510</v>
      </c>
      <c r="G215" s="7" t="s">
        <v>399</v>
      </c>
      <c r="H215" s="31">
        <v>0.2</v>
      </c>
      <c r="I215" s="8">
        <f t="shared" si="8"/>
        <v>300</v>
      </c>
      <c r="J215" s="31" t="s">
        <v>110</v>
      </c>
      <c r="K215" s="63" t="s">
        <v>111</v>
      </c>
    </row>
    <row r="216" spans="4:11">
      <c r="D216" s="13" t="s">
        <v>511</v>
      </c>
      <c r="E216" s="7">
        <f t="shared" si="9"/>
        <v>206</v>
      </c>
      <c r="F216" s="7" t="s">
        <v>512</v>
      </c>
      <c r="G216" s="7" t="s">
        <v>399</v>
      </c>
      <c r="H216" s="31">
        <v>0.8</v>
      </c>
      <c r="I216" s="8">
        <f t="shared" si="8"/>
        <v>75</v>
      </c>
      <c r="J216" s="31" t="s">
        <v>110</v>
      </c>
      <c r="K216" s="63" t="s">
        <v>111</v>
      </c>
    </row>
    <row r="217" spans="4:11">
      <c r="D217" s="13" t="s">
        <v>513</v>
      </c>
      <c r="E217" s="7">
        <f t="shared" si="9"/>
        <v>207</v>
      </c>
      <c r="F217" s="7" t="s">
        <v>514</v>
      </c>
      <c r="G217" s="7" t="s">
        <v>399</v>
      </c>
      <c r="H217" s="31">
        <v>0.75</v>
      </c>
      <c r="I217" s="8">
        <f t="shared" si="8"/>
        <v>80</v>
      </c>
      <c r="J217" s="31" t="s">
        <v>110</v>
      </c>
      <c r="K217" s="63" t="s">
        <v>111</v>
      </c>
    </row>
    <row r="218" spans="4:11">
      <c r="D218" s="13" t="s">
        <v>515</v>
      </c>
      <c r="E218" s="7">
        <f t="shared" si="9"/>
        <v>208</v>
      </c>
      <c r="F218" s="7" t="s">
        <v>516</v>
      </c>
      <c r="G218" s="7" t="s">
        <v>399</v>
      </c>
      <c r="H218" s="31">
        <v>0.9</v>
      </c>
      <c r="I218" s="8">
        <f t="shared" si="8"/>
        <v>66.666666666666671</v>
      </c>
      <c r="J218" s="31" t="s">
        <v>110</v>
      </c>
      <c r="K218" s="63" t="s">
        <v>111</v>
      </c>
    </row>
    <row r="219" spans="4:11">
      <c r="D219" s="13" t="s">
        <v>517</v>
      </c>
      <c r="E219" s="7">
        <f t="shared" si="9"/>
        <v>209</v>
      </c>
      <c r="F219" s="7" t="s">
        <v>518</v>
      </c>
      <c r="G219" s="7" t="s">
        <v>399</v>
      </c>
      <c r="H219" s="31">
        <v>0.3</v>
      </c>
      <c r="I219" s="8">
        <f t="shared" si="8"/>
        <v>200</v>
      </c>
      <c r="J219" s="31" t="s">
        <v>110</v>
      </c>
      <c r="K219" s="63" t="s">
        <v>111</v>
      </c>
    </row>
    <row r="220" spans="4:11">
      <c r="D220" s="13" t="s">
        <v>519</v>
      </c>
      <c r="E220" s="7">
        <f t="shared" si="9"/>
        <v>210</v>
      </c>
      <c r="F220" s="7" t="s">
        <v>520</v>
      </c>
      <c r="G220" s="7" t="s">
        <v>399</v>
      </c>
      <c r="H220" s="31">
        <v>0.35</v>
      </c>
      <c r="I220" s="8">
        <f t="shared" si="8"/>
        <v>171.42857142857144</v>
      </c>
      <c r="J220" s="31" t="s">
        <v>110</v>
      </c>
      <c r="K220" s="63" t="s">
        <v>111</v>
      </c>
    </row>
    <row r="221" spans="4:11">
      <c r="D221" s="13" t="s">
        <v>521</v>
      </c>
      <c r="E221" s="7">
        <f t="shared" si="9"/>
        <v>211</v>
      </c>
      <c r="F221" s="7" t="s">
        <v>522</v>
      </c>
      <c r="G221" s="7" t="s">
        <v>399</v>
      </c>
      <c r="H221" s="31">
        <v>0.3</v>
      </c>
      <c r="I221" s="8">
        <f t="shared" si="8"/>
        <v>200</v>
      </c>
      <c r="J221" s="31" t="s">
        <v>110</v>
      </c>
      <c r="K221" s="63" t="s">
        <v>111</v>
      </c>
    </row>
    <row r="222" spans="4:11">
      <c r="D222" s="13" t="s">
        <v>523</v>
      </c>
      <c r="E222" s="7">
        <v>212</v>
      </c>
      <c r="F222" s="7" t="s">
        <v>524</v>
      </c>
      <c r="G222" s="7" t="s">
        <v>399</v>
      </c>
      <c r="H222" s="31">
        <v>0.15</v>
      </c>
      <c r="I222" s="8">
        <f t="shared" si="8"/>
        <v>400</v>
      </c>
      <c r="J222" s="31" t="s">
        <v>105</v>
      </c>
      <c r="K222" s="63" t="s">
        <v>106</v>
      </c>
    </row>
    <row r="223" spans="4:11">
      <c r="D223" s="13" t="s">
        <v>525</v>
      </c>
      <c r="E223" s="7">
        <f>E221+1</f>
        <v>212</v>
      </c>
      <c r="F223" s="7" t="s">
        <v>398</v>
      </c>
      <c r="G223" s="7" t="s">
        <v>399</v>
      </c>
      <c r="H223" s="31">
        <v>0.6</v>
      </c>
      <c r="I223" s="8">
        <f t="shared" si="8"/>
        <v>100</v>
      </c>
      <c r="J223" s="31" t="s">
        <v>110</v>
      </c>
      <c r="K223" s="63" t="s">
        <v>111</v>
      </c>
    </row>
    <row r="224" spans="4:11">
      <c r="D224" s="13" t="s">
        <v>526</v>
      </c>
      <c r="E224" s="7">
        <f t="shared" si="9"/>
        <v>213</v>
      </c>
      <c r="F224" s="7" t="s">
        <v>406</v>
      </c>
      <c r="G224" s="7" t="s">
        <v>399</v>
      </c>
      <c r="H224" s="31">
        <v>0.45</v>
      </c>
      <c r="I224" s="8">
        <f t="shared" si="8"/>
        <v>133.33333333333334</v>
      </c>
      <c r="J224" s="31" t="s">
        <v>110</v>
      </c>
      <c r="K224" s="63" t="s">
        <v>111</v>
      </c>
    </row>
    <row r="225" spans="4:11">
      <c r="D225" s="13" t="s">
        <v>527</v>
      </c>
      <c r="E225" s="7">
        <f t="shared" si="9"/>
        <v>214</v>
      </c>
      <c r="F225" s="7" t="s">
        <v>418</v>
      </c>
      <c r="G225" s="7" t="s">
        <v>399</v>
      </c>
      <c r="H225" s="31">
        <v>0.35</v>
      </c>
      <c r="I225" s="8">
        <f t="shared" si="8"/>
        <v>171.42857142857144</v>
      </c>
      <c r="J225" s="31" t="s">
        <v>110</v>
      </c>
      <c r="K225" s="63" t="s">
        <v>111</v>
      </c>
    </row>
    <row r="226" spans="4:11">
      <c r="D226" s="13" t="s">
        <v>528</v>
      </c>
      <c r="E226" s="7">
        <f t="shared" si="9"/>
        <v>215</v>
      </c>
      <c r="F226" s="7" t="s">
        <v>414</v>
      </c>
      <c r="G226" s="7" t="s">
        <v>399</v>
      </c>
      <c r="H226" s="31">
        <v>0.75</v>
      </c>
      <c r="I226" s="8">
        <f t="shared" si="8"/>
        <v>80</v>
      </c>
      <c r="J226" s="31" t="s">
        <v>110</v>
      </c>
      <c r="K226" s="63" t="s">
        <v>106</v>
      </c>
    </row>
    <row r="227" spans="4:11">
      <c r="D227" s="13" t="s">
        <v>529</v>
      </c>
      <c r="E227" s="7">
        <f t="shared" si="9"/>
        <v>216</v>
      </c>
      <c r="F227" s="7" t="s">
        <v>420</v>
      </c>
      <c r="G227" s="7" t="s">
        <v>399</v>
      </c>
      <c r="H227" s="31">
        <v>0.9</v>
      </c>
      <c r="I227" s="8">
        <f t="shared" si="8"/>
        <v>66.666666666666671</v>
      </c>
      <c r="J227" s="31" t="s">
        <v>110</v>
      </c>
      <c r="K227" s="63" t="s">
        <v>111</v>
      </c>
    </row>
    <row r="228" spans="4:11">
      <c r="D228" s="13" t="s">
        <v>530</v>
      </c>
      <c r="E228" s="7">
        <f t="shared" si="9"/>
        <v>217</v>
      </c>
      <c r="F228" s="7" t="s">
        <v>422</v>
      </c>
      <c r="G228" s="7" t="s">
        <v>399</v>
      </c>
      <c r="H228" s="31">
        <v>0.55000000000000004</v>
      </c>
      <c r="I228" s="8">
        <f t="shared" si="8"/>
        <v>109.09090909090908</v>
      </c>
      <c r="J228" s="31" t="s">
        <v>105</v>
      </c>
      <c r="K228" s="63" t="s">
        <v>111</v>
      </c>
    </row>
    <row r="229" spans="4:11">
      <c r="D229" s="13" t="s">
        <v>531</v>
      </c>
      <c r="E229" s="7">
        <f t="shared" si="9"/>
        <v>218</v>
      </c>
      <c r="F229" s="7" t="s">
        <v>428</v>
      </c>
      <c r="G229" s="7" t="s">
        <v>399</v>
      </c>
      <c r="H229" s="31">
        <v>0.49</v>
      </c>
      <c r="I229" s="8">
        <f t="shared" si="8"/>
        <v>122.44897959183673</v>
      </c>
      <c r="J229" s="31" t="s">
        <v>105</v>
      </c>
      <c r="K229" s="63" t="s">
        <v>111</v>
      </c>
    </row>
    <row r="230" spans="4:11">
      <c r="D230" s="13" t="s">
        <v>532</v>
      </c>
      <c r="E230" s="7">
        <f t="shared" si="9"/>
        <v>219</v>
      </c>
      <c r="F230" s="7" t="s">
        <v>372</v>
      </c>
      <c r="G230" s="7" t="s">
        <v>399</v>
      </c>
      <c r="H230" s="31">
        <v>0.5</v>
      </c>
      <c r="I230" s="8">
        <f t="shared" si="8"/>
        <v>120</v>
      </c>
      <c r="J230" s="31" t="s">
        <v>110</v>
      </c>
      <c r="K230" s="63" t="s">
        <v>111</v>
      </c>
    </row>
    <row r="231" spans="4:11">
      <c r="D231" s="13" t="s">
        <v>533</v>
      </c>
      <c r="E231" s="7">
        <f t="shared" si="9"/>
        <v>220</v>
      </c>
      <c r="F231" s="7" t="s">
        <v>454</v>
      </c>
      <c r="G231" s="7" t="s">
        <v>399</v>
      </c>
      <c r="H231" s="31">
        <v>0.95</v>
      </c>
      <c r="I231" s="8">
        <f t="shared" si="8"/>
        <v>63.15789473684211</v>
      </c>
      <c r="J231" s="31" t="s">
        <v>110</v>
      </c>
      <c r="K231" s="63" t="s">
        <v>111</v>
      </c>
    </row>
    <row r="232" spans="4:11">
      <c r="D232" s="13" t="s">
        <v>534</v>
      </c>
      <c r="E232" s="7">
        <f t="shared" si="9"/>
        <v>221</v>
      </c>
      <c r="F232" s="7" t="s">
        <v>372</v>
      </c>
      <c r="G232" s="7" t="s">
        <v>399</v>
      </c>
      <c r="H232" s="31">
        <v>0.5</v>
      </c>
      <c r="I232" s="8">
        <f t="shared" si="8"/>
        <v>120</v>
      </c>
      <c r="J232" s="31" t="s">
        <v>105</v>
      </c>
      <c r="K232" s="63" t="s">
        <v>111</v>
      </c>
    </row>
    <row r="233" spans="4:11">
      <c r="D233" s="13" t="s">
        <v>535</v>
      </c>
      <c r="E233" s="7">
        <f t="shared" si="9"/>
        <v>222</v>
      </c>
      <c r="F233" s="7" t="s">
        <v>446</v>
      </c>
      <c r="G233" s="7" t="s">
        <v>399</v>
      </c>
      <c r="H233" s="31">
        <v>0.65</v>
      </c>
      <c r="I233" s="8">
        <f t="shared" si="8"/>
        <v>92.307692307692307</v>
      </c>
      <c r="J233" s="31" t="s">
        <v>110</v>
      </c>
      <c r="K233" s="63" t="s">
        <v>106</v>
      </c>
    </row>
    <row r="234" spans="4:11">
      <c r="D234" s="13" t="s">
        <v>536</v>
      </c>
      <c r="E234" s="7">
        <f t="shared" si="9"/>
        <v>223</v>
      </c>
      <c r="F234" s="7" t="s">
        <v>537</v>
      </c>
      <c r="G234" s="7" t="s">
        <v>399</v>
      </c>
      <c r="H234" s="31">
        <v>2.35</v>
      </c>
      <c r="I234" s="8">
        <f t="shared" si="8"/>
        <v>25.531914893617021</v>
      </c>
      <c r="J234" s="31" t="s">
        <v>110</v>
      </c>
      <c r="K234" s="63" t="s">
        <v>106</v>
      </c>
    </row>
    <row r="235" spans="4:11">
      <c r="D235" s="13" t="s">
        <v>538</v>
      </c>
      <c r="E235" s="7">
        <f t="shared" si="9"/>
        <v>224</v>
      </c>
      <c r="F235" s="7" t="s">
        <v>539</v>
      </c>
      <c r="G235" s="7" t="s">
        <v>399</v>
      </c>
      <c r="H235" s="31">
        <v>0.97</v>
      </c>
      <c r="I235" s="8">
        <f t="shared" si="8"/>
        <v>61.855670103092784</v>
      </c>
      <c r="J235" s="31" t="s">
        <v>110</v>
      </c>
      <c r="K235" s="63" t="s">
        <v>111</v>
      </c>
    </row>
    <row r="236" spans="4:11">
      <c r="D236" s="13" t="s">
        <v>540</v>
      </c>
      <c r="E236" s="7">
        <f t="shared" si="9"/>
        <v>225</v>
      </c>
      <c r="F236" s="7" t="s">
        <v>541</v>
      </c>
      <c r="G236" s="7" t="s">
        <v>399</v>
      </c>
      <c r="H236" s="31">
        <v>0.65</v>
      </c>
      <c r="I236" s="8">
        <f t="shared" si="8"/>
        <v>92.307692307692307</v>
      </c>
      <c r="J236" s="31" t="s">
        <v>110</v>
      </c>
      <c r="K236" s="63" t="s">
        <v>106</v>
      </c>
    </row>
    <row r="237" spans="4:11">
      <c r="D237" s="13" t="s">
        <v>542</v>
      </c>
      <c r="E237" s="7">
        <f t="shared" si="9"/>
        <v>226</v>
      </c>
      <c r="F237" s="7" t="s">
        <v>543</v>
      </c>
      <c r="G237" s="7" t="s">
        <v>399</v>
      </c>
      <c r="H237" s="31">
        <v>4.2</v>
      </c>
      <c r="I237" s="8">
        <f t="shared" si="8"/>
        <v>14.285714285714285</v>
      </c>
      <c r="J237" s="31" t="s">
        <v>110</v>
      </c>
      <c r="K237" s="63" t="s">
        <v>111</v>
      </c>
    </row>
    <row r="238" spans="4:11">
      <c r="D238" s="13" t="s">
        <v>544</v>
      </c>
      <c r="E238" s="7">
        <f t="shared" si="9"/>
        <v>227</v>
      </c>
      <c r="F238" s="7" t="s">
        <v>545</v>
      </c>
      <c r="G238" s="7" t="s">
        <v>399</v>
      </c>
      <c r="H238" s="31">
        <v>0.82</v>
      </c>
      <c r="I238" s="8">
        <f t="shared" si="8"/>
        <v>73.170731707317074</v>
      </c>
      <c r="J238" s="31" t="s">
        <v>110</v>
      </c>
      <c r="K238" s="63" t="s">
        <v>106</v>
      </c>
    </row>
    <row r="239" spans="4:11">
      <c r="D239" s="13" t="s">
        <v>546</v>
      </c>
      <c r="E239" s="7">
        <f t="shared" si="9"/>
        <v>228</v>
      </c>
      <c r="F239" s="7" t="s">
        <v>547</v>
      </c>
      <c r="G239" s="7" t="s">
        <v>399</v>
      </c>
      <c r="H239" s="31">
        <v>0.65</v>
      </c>
      <c r="I239" s="8">
        <f t="shared" si="8"/>
        <v>92.307692307692307</v>
      </c>
      <c r="J239" s="31" t="s">
        <v>105</v>
      </c>
      <c r="K239" s="63" t="s">
        <v>106</v>
      </c>
    </row>
    <row r="240" spans="4:11">
      <c r="D240" s="13" t="s">
        <v>548</v>
      </c>
      <c r="E240" s="7">
        <f t="shared" si="9"/>
        <v>229</v>
      </c>
      <c r="F240" s="7" t="s">
        <v>549</v>
      </c>
      <c r="G240" s="7" t="s">
        <v>399</v>
      </c>
      <c r="H240" s="31">
        <v>0.35</v>
      </c>
      <c r="I240" s="8">
        <f t="shared" si="8"/>
        <v>171.42857142857144</v>
      </c>
      <c r="J240" s="31" t="s">
        <v>105</v>
      </c>
      <c r="K240" s="63" t="s">
        <v>111</v>
      </c>
    </row>
    <row r="241" spans="4:11">
      <c r="D241" s="13" t="s">
        <v>550</v>
      </c>
      <c r="E241" s="7">
        <f t="shared" si="9"/>
        <v>230</v>
      </c>
      <c r="F241" s="7" t="s">
        <v>551</v>
      </c>
      <c r="G241" s="7" t="s">
        <v>399</v>
      </c>
      <c r="H241" s="31">
        <v>0.75</v>
      </c>
      <c r="I241" s="8">
        <f t="shared" si="8"/>
        <v>80</v>
      </c>
      <c r="J241" s="31" t="s">
        <v>105</v>
      </c>
      <c r="K241" s="63" t="s">
        <v>111</v>
      </c>
    </row>
    <row r="242" spans="4:11">
      <c r="D242" s="13" t="s">
        <v>552</v>
      </c>
      <c r="E242" s="7">
        <f t="shared" si="9"/>
        <v>231</v>
      </c>
      <c r="F242" s="7" t="s">
        <v>553</v>
      </c>
      <c r="G242" s="7" t="s">
        <v>399</v>
      </c>
      <c r="H242" s="31">
        <v>0.95</v>
      </c>
      <c r="I242" s="8">
        <f t="shared" si="8"/>
        <v>63.15789473684211</v>
      </c>
      <c r="J242" s="31" t="s">
        <v>105</v>
      </c>
      <c r="K242" s="63" t="s">
        <v>111</v>
      </c>
    </row>
    <row r="243" spans="4:11">
      <c r="D243" s="13" t="s">
        <v>554</v>
      </c>
      <c r="E243" s="7">
        <f t="shared" si="9"/>
        <v>232</v>
      </c>
      <c r="F243" s="7" t="s">
        <v>555</v>
      </c>
      <c r="G243" s="7" t="s">
        <v>399</v>
      </c>
      <c r="H243" s="31">
        <v>0.85</v>
      </c>
      <c r="I243" s="8">
        <f t="shared" si="8"/>
        <v>70.588235294117652</v>
      </c>
      <c r="J243" s="31" t="s">
        <v>105</v>
      </c>
      <c r="K243" s="63" t="s">
        <v>111</v>
      </c>
    </row>
    <row r="244" spans="4:11">
      <c r="D244" s="13" t="s">
        <v>556</v>
      </c>
      <c r="E244" s="7">
        <f t="shared" si="9"/>
        <v>233</v>
      </c>
      <c r="F244" s="7" t="s">
        <v>557</v>
      </c>
      <c r="G244" s="7" t="s">
        <v>399</v>
      </c>
      <c r="H244" s="31">
        <v>0.75</v>
      </c>
      <c r="I244" s="8">
        <f t="shared" si="8"/>
        <v>80</v>
      </c>
      <c r="J244" s="31" t="s">
        <v>105</v>
      </c>
      <c r="K244" s="63" t="s">
        <v>111</v>
      </c>
    </row>
    <row r="245" spans="4:11">
      <c r="D245" s="13" t="s">
        <v>558</v>
      </c>
      <c r="E245" s="7">
        <f t="shared" si="9"/>
        <v>234</v>
      </c>
      <c r="F245" s="7" t="s">
        <v>559</v>
      </c>
      <c r="G245" s="7" t="s">
        <v>399</v>
      </c>
      <c r="H245" s="31">
        <v>0.5</v>
      </c>
      <c r="I245" s="8">
        <f t="shared" si="8"/>
        <v>120</v>
      </c>
      <c r="J245" s="31" t="s">
        <v>105</v>
      </c>
      <c r="K245" s="63" t="s">
        <v>106</v>
      </c>
    </row>
    <row r="246" spans="4:11">
      <c r="D246" s="13" t="s">
        <v>560</v>
      </c>
      <c r="E246" s="7">
        <f t="shared" si="9"/>
        <v>235</v>
      </c>
      <c r="F246" s="7" t="s">
        <v>561</v>
      </c>
      <c r="G246" s="7" t="s">
        <v>399</v>
      </c>
      <c r="H246" s="31">
        <v>0.65</v>
      </c>
      <c r="I246" s="8">
        <f t="shared" si="8"/>
        <v>92.307692307692307</v>
      </c>
      <c r="J246" s="31" t="s">
        <v>105</v>
      </c>
      <c r="K246" s="63" t="s">
        <v>111</v>
      </c>
    </row>
    <row r="247" spans="4:11">
      <c r="D247" s="13" t="s">
        <v>562</v>
      </c>
      <c r="E247" s="7">
        <f t="shared" si="9"/>
        <v>236</v>
      </c>
      <c r="F247" s="7" t="s">
        <v>563</v>
      </c>
      <c r="G247" s="7" t="s">
        <v>399</v>
      </c>
      <c r="H247" s="31">
        <v>0.66</v>
      </c>
      <c r="I247" s="8">
        <f t="shared" si="8"/>
        <v>90.909090909090907</v>
      </c>
      <c r="J247" s="31" t="s">
        <v>105</v>
      </c>
      <c r="K247" s="63" t="s">
        <v>111</v>
      </c>
    </row>
    <row r="248" spans="4:11">
      <c r="D248" s="13" t="s">
        <v>564</v>
      </c>
      <c r="E248" s="7">
        <f t="shared" si="9"/>
        <v>237</v>
      </c>
      <c r="F248" s="7" t="s">
        <v>565</v>
      </c>
      <c r="G248" s="7" t="s">
        <v>399</v>
      </c>
      <c r="H248" s="31">
        <v>0.15</v>
      </c>
      <c r="I248" s="8">
        <f t="shared" si="8"/>
        <v>400</v>
      </c>
      <c r="J248" s="31" t="s">
        <v>105</v>
      </c>
      <c r="K248" s="63" t="s">
        <v>111</v>
      </c>
    </row>
    <row r="249" spans="4:11">
      <c r="D249" s="13" t="s">
        <v>566</v>
      </c>
      <c r="E249" s="7">
        <f t="shared" si="9"/>
        <v>238</v>
      </c>
      <c r="F249" s="7" t="s">
        <v>567</v>
      </c>
      <c r="G249" s="7" t="s">
        <v>399</v>
      </c>
      <c r="H249" s="31">
        <v>0.16</v>
      </c>
      <c r="I249" s="8">
        <f t="shared" si="8"/>
        <v>375</v>
      </c>
      <c r="J249" s="31" t="s">
        <v>105</v>
      </c>
      <c r="K249" s="63" t="s">
        <v>111</v>
      </c>
    </row>
    <row r="250" spans="4:11">
      <c r="D250" s="13" t="s">
        <v>568</v>
      </c>
      <c r="E250" s="7">
        <f t="shared" si="9"/>
        <v>239</v>
      </c>
      <c r="F250" s="7" t="s">
        <v>569</v>
      </c>
      <c r="G250" s="7" t="s">
        <v>570</v>
      </c>
      <c r="H250" s="31">
        <v>0.4</v>
      </c>
      <c r="I250" s="8">
        <f t="shared" si="8"/>
        <v>150</v>
      </c>
      <c r="J250" s="31" t="s">
        <v>110</v>
      </c>
      <c r="K250" s="63" t="s">
        <v>111</v>
      </c>
    </row>
    <row r="251" spans="4:11">
      <c r="D251" s="13" t="s">
        <v>571</v>
      </c>
      <c r="E251" s="7">
        <f t="shared" si="9"/>
        <v>240</v>
      </c>
      <c r="F251" s="7" t="s">
        <v>572</v>
      </c>
      <c r="G251" s="7" t="s">
        <v>570</v>
      </c>
      <c r="H251" s="31">
        <v>0.53</v>
      </c>
      <c r="I251" s="8">
        <f t="shared" si="8"/>
        <v>113.20754716981132</v>
      </c>
      <c r="J251" s="31" t="s">
        <v>105</v>
      </c>
      <c r="K251" s="63" t="s">
        <v>111</v>
      </c>
    </row>
    <row r="252" spans="4:11">
      <c r="D252" s="13" t="s">
        <v>573</v>
      </c>
      <c r="E252" s="7">
        <f t="shared" si="9"/>
        <v>241</v>
      </c>
      <c r="F252" s="7" t="s">
        <v>574</v>
      </c>
      <c r="G252" s="7" t="s">
        <v>570</v>
      </c>
      <c r="H252" s="31">
        <v>0.48</v>
      </c>
      <c r="I252" s="8">
        <f t="shared" si="8"/>
        <v>125</v>
      </c>
      <c r="J252" s="31" t="s">
        <v>110</v>
      </c>
      <c r="K252" s="63" t="s">
        <v>111</v>
      </c>
    </row>
    <row r="253" spans="4:11">
      <c r="D253" s="13" t="s">
        <v>575</v>
      </c>
      <c r="E253" s="7">
        <f t="shared" si="9"/>
        <v>242</v>
      </c>
      <c r="F253" s="7" t="s">
        <v>576</v>
      </c>
      <c r="G253" s="7" t="s">
        <v>570</v>
      </c>
      <c r="H253" s="31">
        <v>0.7</v>
      </c>
      <c r="I253" s="8">
        <f t="shared" si="8"/>
        <v>85.714285714285722</v>
      </c>
      <c r="J253" s="31" t="s">
        <v>110</v>
      </c>
      <c r="K253" s="63" t="s">
        <v>111</v>
      </c>
    </row>
    <row r="254" spans="4:11">
      <c r="D254" s="13" t="s">
        <v>577</v>
      </c>
      <c r="E254" s="7">
        <f t="shared" si="9"/>
        <v>243</v>
      </c>
      <c r="F254" s="7" t="s">
        <v>578</v>
      </c>
      <c r="G254" s="7" t="s">
        <v>570</v>
      </c>
      <c r="H254" s="31">
        <v>0.3</v>
      </c>
      <c r="I254" s="8">
        <f t="shared" si="8"/>
        <v>200</v>
      </c>
      <c r="J254" s="31" t="s">
        <v>105</v>
      </c>
      <c r="K254" s="63" t="s">
        <v>111</v>
      </c>
    </row>
    <row r="255" spans="4:11">
      <c r="D255" s="13" t="s">
        <v>579</v>
      </c>
      <c r="E255" s="7">
        <f t="shared" si="9"/>
        <v>244</v>
      </c>
      <c r="F255" s="7" t="s">
        <v>580</v>
      </c>
      <c r="G255" s="7" t="s">
        <v>570</v>
      </c>
      <c r="H255" s="31">
        <v>0.4</v>
      </c>
      <c r="I255" s="8">
        <f t="shared" si="8"/>
        <v>150</v>
      </c>
      <c r="J255" s="31" t="s">
        <v>105</v>
      </c>
      <c r="K255" s="63" t="s">
        <v>106</v>
      </c>
    </row>
    <row r="256" spans="4:11">
      <c r="D256" s="13" t="s">
        <v>581</v>
      </c>
      <c r="E256" s="7">
        <f t="shared" si="9"/>
        <v>245</v>
      </c>
      <c r="F256" s="7" t="s">
        <v>582</v>
      </c>
      <c r="G256" s="7" t="s">
        <v>570</v>
      </c>
      <c r="H256" s="31">
        <v>1.2</v>
      </c>
      <c r="I256" s="8">
        <f t="shared" si="8"/>
        <v>50</v>
      </c>
      <c r="J256" s="31" t="s">
        <v>105</v>
      </c>
      <c r="K256" s="63" t="s">
        <v>111</v>
      </c>
    </row>
    <row r="257" spans="4:11">
      <c r="D257" s="13" t="s">
        <v>583</v>
      </c>
      <c r="E257" s="7">
        <f t="shared" si="9"/>
        <v>246</v>
      </c>
      <c r="F257" s="7" t="s">
        <v>584</v>
      </c>
      <c r="G257" s="7" t="s">
        <v>570</v>
      </c>
      <c r="H257" s="31">
        <v>0.4</v>
      </c>
      <c r="I257" s="8">
        <f t="shared" si="8"/>
        <v>150</v>
      </c>
      <c r="J257" s="31" t="s">
        <v>105</v>
      </c>
      <c r="K257" s="63" t="s">
        <v>111</v>
      </c>
    </row>
    <row r="258" spans="4:11">
      <c r="D258" s="13" t="s">
        <v>585</v>
      </c>
      <c r="E258" s="7">
        <f t="shared" si="9"/>
        <v>247</v>
      </c>
      <c r="F258" s="7" t="s">
        <v>586</v>
      </c>
      <c r="G258" s="7" t="s">
        <v>570</v>
      </c>
      <c r="H258" s="31">
        <v>0.23</v>
      </c>
      <c r="I258" s="8">
        <f t="shared" si="8"/>
        <v>260.86956521739131</v>
      </c>
      <c r="J258" s="31" t="s">
        <v>105</v>
      </c>
      <c r="K258" s="63" t="s">
        <v>111</v>
      </c>
    </row>
    <row r="259" spans="4:11">
      <c r="D259" s="13" t="s">
        <v>587</v>
      </c>
      <c r="E259" s="7">
        <f t="shared" si="9"/>
        <v>248</v>
      </c>
      <c r="F259" s="7" t="s">
        <v>588</v>
      </c>
      <c r="G259" s="7" t="s">
        <v>570</v>
      </c>
      <c r="H259" s="31">
        <v>0.27</v>
      </c>
      <c r="I259" s="8">
        <f t="shared" si="8"/>
        <v>222.2222222222222</v>
      </c>
      <c r="J259" s="31" t="s">
        <v>105</v>
      </c>
      <c r="K259" s="63" t="s">
        <v>111</v>
      </c>
    </row>
    <row r="260" spans="4:11">
      <c r="D260" s="13" t="s">
        <v>589</v>
      </c>
      <c r="E260" s="7">
        <f t="shared" si="9"/>
        <v>249</v>
      </c>
      <c r="F260" s="7" t="s">
        <v>590</v>
      </c>
      <c r="G260" s="7" t="s">
        <v>570</v>
      </c>
      <c r="H260" s="31">
        <v>0.28000000000000003</v>
      </c>
      <c r="I260" s="8">
        <f t="shared" si="8"/>
        <v>214.28571428571428</v>
      </c>
      <c r="J260" s="31" t="s">
        <v>110</v>
      </c>
      <c r="K260" s="63" t="s">
        <v>111</v>
      </c>
    </row>
    <row r="261" spans="4:11">
      <c r="D261" s="13" t="s">
        <v>591</v>
      </c>
      <c r="E261" s="7">
        <f t="shared" si="9"/>
        <v>250</v>
      </c>
      <c r="F261" s="7" t="s">
        <v>592</v>
      </c>
      <c r="G261" s="7" t="s">
        <v>570</v>
      </c>
      <c r="H261" s="31">
        <v>7.1199999999999999E-2</v>
      </c>
      <c r="I261" s="8">
        <f t="shared" si="8"/>
        <v>842.69662921348311</v>
      </c>
      <c r="J261" s="31" t="s">
        <v>110</v>
      </c>
      <c r="K261" s="63" t="s">
        <v>106</v>
      </c>
    </row>
    <row r="262" spans="4:11">
      <c r="D262" s="13" t="s">
        <v>593</v>
      </c>
      <c r="E262" s="7">
        <f t="shared" si="9"/>
        <v>251</v>
      </c>
      <c r="F262" s="7" t="s">
        <v>594</v>
      </c>
      <c r="G262" s="7" t="s">
        <v>570</v>
      </c>
      <c r="H262" s="31">
        <v>0.50509999999999999</v>
      </c>
      <c r="I262" s="8">
        <f t="shared" si="8"/>
        <v>118.78835874084339</v>
      </c>
      <c r="J262" s="31" t="s">
        <v>110</v>
      </c>
      <c r="K262" s="63" t="s">
        <v>106</v>
      </c>
    </row>
    <row r="263" spans="4:11">
      <c r="D263" s="13" t="s">
        <v>595</v>
      </c>
      <c r="E263" s="7">
        <f t="shared" si="9"/>
        <v>252</v>
      </c>
      <c r="F263" s="7" t="s">
        <v>596</v>
      </c>
      <c r="G263" s="7" t="s">
        <v>570</v>
      </c>
      <c r="H263" s="31">
        <v>1.1313</v>
      </c>
      <c r="I263" s="8">
        <f t="shared" si="8"/>
        <v>53.036329885971895</v>
      </c>
      <c r="J263" s="31" t="s">
        <v>110</v>
      </c>
      <c r="K263" s="63" t="s">
        <v>111</v>
      </c>
    </row>
    <row r="264" spans="4:11">
      <c r="D264" s="13" t="s">
        <v>597</v>
      </c>
      <c r="E264" s="7">
        <f t="shared" si="9"/>
        <v>253</v>
      </c>
      <c r="F264" s="7" t="s">
        <v>598</v>
      </c>
      <c r="G264" s="7" t="s">
        <v>570</v>
      </c>
      <c r="H264" s="31">
        <v>1.07</v>
      </c>
      <c r="I264" s="8">
        <f t="shared" si="8"/>
        <v>56.074766355140184</v>
      </c>
      <c r="J264" s="31" t="s">
        <v>110</v>
      </c>
      <c r="K264" s="63" t="s">
        <v>111</v>
      </c>
    </row>
    <row r="265" spans="4:11">
      <c r="D265" s="13" t="s">
        <v>599</v>
      </c>
      <c r="E265" s="7">
        <f t="shared" si="9"/>
        <v>254</v>
      </c>
      <c r="F265" s="7" t="s">
        <v>600</v>
      </c>
      <c r="G265" s="7" t="s">
        <v>570</v>
      </c>
      <c r="H265" s="31">
        <v>0.81</v>
      </c>
      <c r="I265" s="8">
        <f t="shared" si="8"/>
        <v>74.074074074074076</v>
      </c>
      <c r="J265" s="31" t="s">
        <v>110</v>
      </c>
      <c r="K265" s="63" t="s">
        <v>106</v>
      </c>
    </row>
    <row r="266" spans="4:11">
      <c r="D266" s="13" t="s">
        <v>601</v>
      </c>
      <c r="E266" s="7">
        <f t="shared" si="9"/>
        <v>255</v>
      </c>
      <c r="F266" s="7" t="s">
        <v>602</v>
      </c>
      <c r="G266" s="7" t="s">
        <v>570</v>
      </c>
      <c r="H266" s="31">
        <v>1.01</v>
      </c>
      <c r="I266" s="8">
        <f t="shared" si="8"/>
        <v>59.405940594059409</v>
      </c>
      <c r="J266" s="31" t="s">
        <v>110</v>
      </c>
      <c r="K266" s="63" t="s">
        <v>111</v>
      </c>
    </row>
    <row r="267" spans="4:11">
      <c r="D267" s="13" t="s">
        <v>603</v>
      </c>
      <c r="E267" s="7">
        <f t="shared" si="9"/>
        <v>256</v>
      </c>
      <c r="F267" s="7" t="s">
        <v>604</v>
      </c>
      <c r="G267" s="7" t="s">
        <v>570</v>
      </c>
      <c r="H267" s="31">
        <v>0.24229999999999999</v>
      </c>
      <c r="I267" s="8">
        <f t="shared" si="8"/>
        <v>247.62690879075527</v>
      </c>
      <c r="J267" s="31" t="s">
        <v>105</v>
      </c>
      <c r="K267" s="63" t="s">
        <v>106</v>
      </c>
    </row>
    <row r="268" spans="4:11">
      <c r="D268" s="13" t="s">
        <v>605</v>
      </c>
      <c r="E268" s="7">
        <f t="shared" si="9"/>
        <v>257</v>
      </c>
      <c r="F268" s="7" t="s">
        <v>606</v>
      </c>
      <c r="G268" s="7" t="s">
        <v>570</v>
      </c>
      <c r="H268" s="31">
        <v>0.40770000000000001</v>
      </c>
      <c r="I268" s="8">
        <f t="shared" si="8"/>
        <v>147.16703458425312</v>
      </c>
      <c r="J268" s="31" t="s">
        <v>110</v>
      </c>
      <c r="K268" s="63" t="s">
        <v>111</v>
      </c>
    </row>
    <row r="269" spans="4:11">
      <c r="D269" s="13" t="s">
        <v>607</v>
      </c>
      <c r="E269" s="7">
        <f t="shared" si="9"/>
        <v>258</v>
      </c>
      <c r="F269" s="7" t="s">
        <v>608</v>
      </c>
      <c r="G269" s="7" t="s">
        <v>570</v>
      </c>
      <c r="H269" s="31">
        <v>0.3</v>
      </c>
      <c r="I269" s="8">
        <f t="shared" si="8"/>
        <v>200</v>
      </c>
      <c r="J269" s="31" t="s">
        <v>110</v>
      </c>
      <c r="K269" s="63" t="s">
        <v>111</v>
      </c>
    </row>
    <row r="270" spans="4:11">
      <c r="D270" s="13" t="s">
        <v>609</v>
      </c>
      <c r="E270" s="7">
        <f t="shared" ref="E270:E333" si="10">E269+1</f>
        <v>259</v>
      </c>
      <c r="F270" s="7" t="s">
        <v>610</v>
      </c>
      <c r="G270" s="7" t="s">
        <v>570</v>
      </c>
      <c r="H270" s="31">
        <v>1.24</v>
      </c>
      <c r="I270" s="8">
        <f t="shared" si="8"/>
        <v>48.387096774193552</v>
      </c>
      <c r="J270" s="31" t="s">
        <v>105</v>
      </c>
      <c r="K270" s="63" t="s">
        <v>111</v>
      </c>
    </row>
    <row r="271" spans="4:11">
      <c r="D271" s="13" t="s">
        <v>611</v>
      </c>
      <c r="E271" s="7">
        <f t="shared" si="10"/>
        <v>260</v>
      </c>
      <c r="F271" s="7" t="s">
        <v>612</v>
      </c>
      <c r="G271" s="7" t="s">
        <v>570</v>
      </c>
      <c r="H271" s="31">
        <v>0.2</v>
      </c>
      <c r="I271" s="8">
        <f t="shared" si="8"/>
        <v>300</v>
      </c>
      <c r="J271" s="31" t="s">
        <v>105</v>
      </c>
      <c r="K271" s="63" t="s">
        <v>111</v>
      </c>
    </row>
    <row r="272" spans="4:11">
      <c r="D272" s="13" t="s">
        <v>613</v>
      </c>
      <c r="E272" s="7">
        <f t="shared" si="10"/>
        <v>261</v>
      </c>
      <c r="F272" s="7" t="s">
        <v>614</v>
      </c>
      <c r="G272" s="7" t="s">
        <v>570</v>
      </c>
      <c r="H272" s="31">
        <v>0.17</v>
      </c>
      <c r="I272" s="8">
        <f t="shared" ref="I272:I335" si="11">60/H272</f>
        <v>352.94117647058823</v>
      </c>
      <c r="J272" s="31" t="s">
        <v>105</v>
      </c>
      <c r="K272" s="63" t="s">
        <v>106</v>
      </c>
    </row>
    <row r="273" spans="4:11">
      <c r="D273" s="13" t="s">
        <v>615</v>
      </c>
      <c r="E273" s="7">
        <f t="shared" si="10"/>
        <v>262</v>
      </c>
      <c r="F273" s="7" t="s">
        <v>616</v>
      </c>
      <c r="G273" s="7" t="s">
        <v>570</v>
      </c>
      <c r="H273" s="31">
        <v>1</v>
      </c>
      <c r="I273" s="8">
        <f t="shared" si="11"/>
        <v>60</v>
      </c>
      <c r="J273" s="31" t="s">
        <v>110</v>
      </c>
      <c r="K273" s="63" t="s">
        <v>111</v>
      </c>
    </row>
    <row r="274" spans="4:11">
      <c r="D274" s="13" t="s">
        <v>617</v>
      </c>
      <c r="E274" s="7">
        <f t="shared" si="10"/>
        <v>263</v>
      </c>
      <c r="F274" s="7" t="s">
        <v>618</v>
      </c>
      <c r="G274" s="7" t="s">
        <v>570</v>
      </c>
      <c r="H274" s="31">
        <v>1.2</v>
      </c>
      <c r="I274" s="8">
        <f t="shared" si="11"/>
        <v>50</v>
      </c>
      <c r="J274" s="31" t="s">
        <v>110</v>
      </c>
      <c r="K274" s="63" t="s">
        <v>111</v>
      </c>
    </row>
    <row r="275" spans="4:11">
      <c r="D275" s="13" t="s">
        <v>619</v>
      </c>
      <c r="E275" s="7">
        <f t="shared" si="10"/>
        <v>264</v>
      </c>
      <c r="F275" s="7" t="s">
        <v>620</v>
      </c>
      <c r="G275" s="7" t="s">
        <v>570</v>
      </c>
      <c r="H275" s="31">
        <v>0.35</v>
      </c>
      <c r="I275" s="8">
        <f t="shared" si="11"/>
        <v>171.42857142857144</v>
      </c>
      <c r="J275" s="31" t="s">
        <v>110</v>
      </c>
      <c r="K275" s="63" t="s">
        <v>111</v>
      </c>
    </row>
    <row r="276" spans="4:11">
      <c r="D276" s="13" t="s">
        <v>621</v>
      </c>
      <c r="E276" s="7">
        <f t="shared" si="10"/>
        <v>265</v>
      </c>
      <c r="F276" s="7" t="s">
        <v>622</v>
      </c>
      <c r="G276" s="7" t="s">
        <v>570</v>
      </c>
      <c r="H276" s="31">
        <v>0.55000000000000004</v>
      </c>
      <c r="I276" s="8">
        <f t="shared" si="11"/>
        <v>109.09090909090908</v>
      </c>
      <c r="J276" s="31" t="s">
        <v>110</v>
      </c>
      <c r="K276" s="63" t="s">
        <v>111</v>
      </c>
    </row>
    <row r="277" spans="4:11">
      <c r="D277" s="13" t="s">
        <v>623</v>
      </c>
      <c r="E277" s="7">
        <f t="shared" si="10"/>
        <v>266</v>
      </c>
      <c r="F277" s="7" t="s">
        <v>624</v>
      </c>
      <c r="G277" s="7" t="s">
        <v>570</v>
      </c>
      <c r="H277" s="31">
        <v>0.2</v>
      </c>
      <c r="I277" s="8">
        <f t="shared" si="11"/>
        <v>300</v>
      </c>
      <c r="J277" s="31" t="s">
        <v>110</v>
      </c>
      <c r="K277" s="63" t="s">
        <v>106</v>
      </c>
    </row>
    <row r="278" spans="4:11">
      <c r="D278" s="13" t="s">
        <v>625</v>
      </c>
      <c r="E278" s="7">
        <f t="shared" si="10"/>
        <v>267</v>
      </c>
      <c r="F278" s="7" t="s">
        <v>626</v>
      </c>
      <c r="G278" s="7" t="s">
        <v>570</v>
      </c>
      <c r="H278" s="31">
        <v>1.25</v>
      </c>
      <c r="I278" s="8">
        <f t="shared" si="11"/>
        <v>48</v>
      </c>
      <c r="J278" s="31" t="s">
        <v>105</v>
      </c>
      <c r="K278" s="63" t="s">
        <v>111</v>
      </c>
    </row>
    <row r="279" spans="4:11">
      <c r="D279" s="13" t="s">
        <v>627</v>
      </c>
      <c r="E279" s="7">
        <f t="shared" si="10"/>
        <v>268</v>
      </c>
      <c r="F279" s="7" t="s">
        <v>628</v>
      </c>
      <c r="G279" s="7" t="s">
        <v>570</v>
      </c>
      <c r="H279" s="31">
        <v>0.7</v>
      </c>
      <c r="I279" s="8">
        <f t="shared" si="11"/>
        <v>85.714285714285722</v>
      </c>
      <c r="J279" s="31" t="s">
        <v>110</v>
      </c>
      <c r="K279" s="63" t="s">
        <v>111</v>
      </c>
    </row>
    <row r="280" spans="4:11">
      <c r="D280" s="13" t="s">
        <v>629</v>
      </c>
      <c r="E280" s="7">
        <f t="shared" si="10"/>
        <v>269</v>
      </c>
      <c r="F280" s="7" t="s">
        <v>630</v>
      </c>
      <c r="G280" s="7" t="s">
        <v>570</v>
      </c>
      <c r="H280" s="31">
        <v>0.25</v>
      </c>
      <c r="I280" s="8">
        <f t="shared" si="11"/>
        <v>240</v>
      </c>
      <c r="J280" s="31" t="s">
        <v>110</v>
      </c>
      <c r="K280" s="63" t="s">
        <v>111</v>
      </c>
    </row>
    <row r="281" spans="4:11">
      <c r="D281" s="13" t="s">
        <v>631</v>
      </c>
      <c r="E281" s="7">
        <f t="shared" si="10"/>
        <v>270</v>
      </c>
      <c r="F281" s="7" t="s">
        <v>632</v>
      </c>
      <c r="G281" s="7" t="s">
        <v>570</v>
      </c>
      <c r="H281" s="31">
        <v>0.5</v>
      </c>
      <c r="I281" s="8">
        <f t="shared" si="11"/>
        <v>120</v>
      </c>
      <c r="J281" s="31" t="s">
        <v>110</v>
      </c>
      <c r="K281" s="63" t="s">
        <v>111</v>
      </c>
    </row>
    <row r="282" spans="4:11">
      <c r="D282" s="13" t="s">
        <v>633</v>
      </c>
      <c r="E282" s="7">
        <f t="shared" si="10"/>
        <v>271</v>
      </c>
      <c r="F282" s="7" t="s">
        <v>580</v>
      </c>
      <c r="G282" s="7" t="s">
        <v>570</v>
      </c>
      <c r="H282" s="31">
        <v>0.3</v>
      </c>
      <c r="I282" s="8">
        <f t="shared" si="11"/>
        <v>200</v>
      </c>
      <c r="J282" s="31" t="s">
        <v>105</v>
      </c>
      <c r="K282" s="63" t="s">
        <v>106</v>
      </c>
    </row>
    <row r="283" spans="4:11">
      <c r="D283" s="13" t="s">
        <v>634</v>
      </c>
      <c r="E283" s="7">
        <f t="shared" si="10"/>
        <v>272</v>
      </c>
      <c r="F283" s="7" t="s">
        <v>582</v>
      </c>
      <c r="G283" s="7" t="s">
        <v>570</v>
      </c>
      <c r="H283" s="31">
        <v>1.2</v>
      </c>
      <c r="I283" s="8">
        <f t="shared" si="11"/>
        <v>50</v>
      </c>
      <c r="J283" s="31" t="s">
        <v>105</v>
      </c>
      <c r="K283" s="63" t="s">
        <v>111</v>
      </c>
    </row>
    <row r="284" spans="4:11">
      <c r="D284" s="13" t="s">
        <v>635</v>
      </c>
      <c r="E284" s="7">
        <f t="shared" si="10"/>
        <v>273</v>
      </c>
      <c r="F284" s="7" t="s">
        <v>636</v>
      </c>
      <c r="G284" s="7" t="s">
        <v>570</v>
      </c>
      <c r="H284" s="31">
        <v>0.56000000000000005</v>
      </c>
      <c r="I284" s="8">
        <f t="shared" si="11"/>
        <v>107.14285714285714</v>
      </c>
      <c r="J284" s="31" t="s">
        <v>105</v>
      </c>
      <c r="K284" s="63" t="s">
        <v>111</v>
      </c>
    </row>
    <row r="285" spans="4:11">
      <c r="D285" s="13" t="s">
        <v>637</v>
      </c>
      <c r="E285" s="7">
        <f t="shared" si="10"/>
        <v>274</v>
      </c>
      <c r="F285" s="7" t="s">
        <v>586</v>
      </c>
      <c r="G285" s="7" t="s">
        <v>570</v>
      </c>
      <c r="H285" s="31">
        <v>0.2</v>
      </c>
      <c r="I285" s="8">
        <f t="shared" si="11"/>
        <v>300</v>
      </c>
      <c r="J285" s="31" t="s">
        <v>105</v>
      </c>
      <c r="K285" s="63" t="s">
        <v>111</v>
      </c>
    </row>
    <row r="286" spans="4:11">
      <c r="D286" s="13" t="s">
        <v>638</v>
      </c>
      <c r="E286" s="7">
        <f t="shared" si="10"/>
        <v>275</v>
      </c>
      <c r="F286" s="7" t="s">
        <v>588</v>
      </c>
      <c r="G286" s="7" t="s">
        <v>570</v>
      </c>
      <c r="H286" s="31">
        <v>0.2</v>
      </c>
      <c r="I286" s="8">
        <f t="shared" si="11"/>
        <v>300</v>
      </c>
      <c r="J286" s="31" t="s">
        <v>105</v>
      </c>
      <c r="K286" s="63" t="s">
        <v>111</v>
      </c>
    </row>
    <row r="287" spans="4:11">
      <c r="D287" s="13" t="s">
        <v>639</v>
      </c>
      <c r="E287" s="7">
        <f t="shared" si="10"/>
        <v>276</v>
      </c>
      <c r="F287" s="7" t="s">
        <v>572</v>
      </c>
      <c r="G287" s="7" t="s">
        <v>570</v>
      </c>
      <c r="H287" s="31">
        <v>0.53</v>
      </c>
      <c r="I287" s="8">
        <f t="shared" si="11"/>
        <v>113.20754716981132</v>
      </c>
      <c r="J287" s="31" t="s">
        <v>105</v>
      </c>
      <c r="K287" s="63" t="s">
        <v>111</v>
      </c>
    </row>
    <row r="288" spans="4:11">
      <c r="D288" s="13" t="s">
        <v>640</v>
      </c>
      <c r="E288" s="7">
        <f t="shared" si="10"/>
        <v>277</v>
      </c>
      <c r="F288" s="7" t="s">
        <v>582</v>
      </c>
      <c r="G288" s="7" t="s">
        <v>570</v>
      </c>
      <c r="H288" s="31">
        <v>1.7</v>
      </c>
      <c r="I288" s="8">
        <f t="shared" si="11"/>
        <v>35.294117647058826</v>
      </c>
      <c r="J288" s="31" t="s">
        <v>105</v>
      </c>
      <c r="K288" s="63" t="s">
        <v>111</v>
      </c>
    </row>
    <row r="289" spans="4:11">
      <c r="D289" s="13" t="s">
        <v>641</v>
      </c>
      <c r="E289" s="7">
        <f t="shared" si="10"/>
        <v>278</v>
      </c>
      <c r="F289" s="7" t="s">
        <v>612</v>
      </c>
      <c r="G289" s="7" t="s">
        <v>570</v>
      </c>
      <c r="H289" s="31">
        <v>0.45</v>
      </c>
      <c r="I289" s="8">
        <f t="shared" si="11"/>
        <v>133.33333333333334</v>
      </c>
      <c r="J289" s="31" t="s">
        <v>105</v>
      </c>
      <c r="K289" s="63" t="s">
        <v>111</v>
      </c>
    </row>
    <row r="290" spans="4:11">
      <c r="D290" s="13" t="s">
        <v>642</v>
      </c>
      <c r="E290" s="7">
        <f t="shared" si="10"/>
        <v>279</v>
      </c>
      <c r="F290" s="7" t="s">
        <v>643</v>
      </c>
      <c r="G290" s="7" t="s">
        <v>570</v>
      </c>
      <c r="H290" s="31">
        <v>0.5</v>
      </c>
      <c r="I290" s="8">
        <f t="shared" si="11"/>
        <v>120</v>
      </c>
      <c r="J290" s="31" t="s">
        <v>105</v>
      </c>
      <c r="K290" s="63" t="s">
        <v>111</v>
      </c>
    </row>
    <row r="291" spans="4:11">
      <c r="D291" s="13" t="s">
        <v>644</v>
      </c>
      <c r="E291" s="7">
        <f t="shared" si="10"/>
        <v>280</v>
      </c>
      <c r="F291" s="7" t="s">
        <v>645</v>
      </c>
      <c r="G291" s="7" t="s">
        <v>646</v>
      </c>
      <c r="H291" s="31">
        <v>0.6</v>
      </c>
      <c r="I291" s="8">
        <f t="shared" si="11"/>
        <v>100</v>
      </c>
      <c r="J291" s="31" t="s">
        <v>105</v>
      </c>
      <c r="K291" s="63" t="s">
        <v>111</v>
      </c>
    </row>
    <row r="292" spans="4:11">
      <c r="D292" s="13" t="s">
        <v>647</v>
      </c>
      <c r="E292" s="7">
        <f t="shared" si="10"/>
        <v>281</v>
      </c>
      <c r="F292" s="7" t="s">
        <v>648</v>
      </c>
      <c r="G292" s="7" t="s">
        <v>646</v>
      </c>
      <c r="H292" s="31">
        <v>0.39</v>
      </c>
      <c r="I292" s="8">
        <f t="shared" si="11"/>
        <v>153.84615384615384</v>
      </c>
      <c r="J292" s="31" t="s">
        <v>110</v>
      </c>
      <c r="K292" s="63" t="s">
        <v>111</v>
      </c>
    </row>
    <row r="293" spans="4:11">
      <c r="D293" s="13" t="s">
        <v>649</v>
      </c>
      <c r="E293" s="7">
        <f t="shared" si="10"/>
        <v>282</v>
      </c>
      <c r="F293" s="7" t="s">
        <v>650</v>
      </c>
      <c r="G293" s="7" t="s">
        <v>646</v>
      </c>
      <c r="H293" s="31">
        <v>0.65</v>
      </c>
      <c r="I293" s="8">
        <f t="shared" si="11"/>
        <v>92.307692307692307</v>
      </c>
      <c r="J293" s="31" t="s">
        <v>105</v>
      </c>
      <c r="K293" s="63" t="s">
        <v>111</v>
      </c>
    </row>
    <row r="294" spans="4:11">
      <c r="D294" s="13" t="s">
        <v>651</v>
      </c>
      <c r="E294" s="7">
        <f t="shared" si="10"/>
        <v>283</v>
      </c>
      <c r="F294" s="7" t="s">
        <v>652</v>
      </c>
      <c r="G294" s="7" t="s">
        <v>646</v>
      </c>
      <c r="H294" s="31">
        <v>0.74</v>
      </c>
      <c r="I294" s="8">
        <f t="shared" si="11"/>
        <v>81.081081081081081</v>
      </c>
      <c r="J294" s="31" t="s">
        <v>105</v>
      </c>
      <c r="K294" s="63" t="s">
        <v>111</v>
      </c>
    </row>
    <row r="295" spans="4:11">
      <c r="D295" s="13" t="s">
        <v>653</v>
      </c>
      <c r="E295" s="7">
        <f t="shared" si="10"/>
        <v>284</v>
      </c>
      <c r="F295" s="7" t="s">
        <v>654</v>
      </c>
      <c r="G295" s="7" t="s">
        <v>646</v>
      </c>
      <c r="H295" s="31">
        <v>0.84</v>
      </c>
      <c r="I295" s="8">
        <f t="shared" si="11"/>
        <v>71.428571428571431</v>
      </c>
      <c r="J295" s="31" t="s">
        <v>105</v>
      </c>
      <c r="K295" s="63" t="s">
        <v>111</v>
      </c>
    </row>
    <row r="296" spans="4:11">
      <c r="D296" s="13" t="s">
        <v>655</v>
      </c>
      <c r="E296" s="7">
        <f t="shared" si="10"/>
        <v>285</v>
      </c>
      <c r="F296" s="7" t="s">
        <v>656</v>
      </c>
      <c r="G296" s="7" t="s">
        <v>646</v>
      </c>
      <c r="H296" s="31">
        <v>0.75</v>
      </c>
      <c r="I296" s="8">
        <f t="shared" si="11"/>
        <v>80</v>
      </c>
      <c r="J296" s="31" t="s">
        <v>105</v>
      </c>
      <c r="K296" s="63" t="s">
        <v>111</v>
      </c>
    </row>
    <row r="297" spans="4:11">
      <c r="D297" s="13" t="s">
        <v>657</v>
      </c>
      <c r="E297" s="7">
        <f t="shared" si="10"/>
        <v>286</v>
      </c>
      <c r="F297" s="7" t="s">
        <v>658</v>
      </c>
      <c r="G297" s="7" t="s">
        <v>646</v>
      </c>
      <c r="H297" s="31">
        <v>0.95</v>
      </c>
      <c r="I297" s="8">
        <f t="shared" si="11"/>
        <v>63.15789473684211</v>
      </c>
      <c r="J297" s="31" t="s">
        <v>105</v>
      </c>
      <c r="K297" s="63" t="s">
        <v>111</v>
      </c>
    </row>
    <row r="298" spans="4:11">
      <c r="D298" s="13" t="s">
        <v>659</v>
      </c>
      <c r="E298" s="7">
        <f t="shared" si="10"/>
        <v>287</v>
      </c>
      <c r="F298" s="7" t="s">
        <v>660</v>
      </c>
      <c r="G298" s="7" t="s">
        <v>646</v>
      </c>
      <c r="H298" s="31">
        <v>1.1000000000000001</v>
      </c>
      <c r="I298" s="8">
        <f t="shared" si="11"/>
        <v>54.54545454545454</v>
      </c>
      <c r="J298" s="31" t="s">
        <v>105</v>
      </c>
      <c r="K298" s="63" t="s">
        <v>111</v>
      </c>
    </row>
    <row r="299" spans="4:11">
      <c r="D299" s="13" t="s">
        <v>661</v>
      </c>
      <c r="E299" s="7">
        <f t="shared" si="10"/>
        <v>288</v>
      </c>
      <c r="F299" s="7" t="s">
        <v>662</v>
      </c>
      <c r="G299" s="7" t="s">
        <v>646</v>
      </c>
      <c r="H299" s="31">
        <v>0.41</v>
      </c>
      <c r="I299" s="8">
        <f t="shared" si="11"/>
        <v>146.34146341463415</v>
      </c>
      <c r="J299" s="31" t="s">
        <v>105</v>
      </c>
      <c r="K299" s="63" t="s">
        <v>106</v>
      </c>
    </row>
    <row r="300" spans="4:11">
      <c r="D300" s="13" t="s">
        <v>663</v>
      </c>
      <c r="E300" s="7">
        <f t="shared" si="10"/>
        <v>289</v>
      </c>
      <c r="F300" s="7" t="s">
        <v>664</v>
      </c>
      <c r="G300" s="7" t="s">
        <v>646</v>
      </c>
      <c r="H300" s="31">
        <v>0.62</v>
      </c>
      <c r="I300" s="8">
        <f t="shared" si="11"/>
        <v>96.774193548387103</v>
      </c>
      <c r="J300" s="31" t="s">
        <v>105</v>
      </c>
      <c r="K300" s="63" t="s">
        <v>111</v>
      </c>
    </row>
    <row r="301" spans="4:11">
      <c r="D301" s="13" t="s">
        <v>665</v>
      </c>
      <c r="E301" s="7">
        <f t="shared" si="10"/>
        <v>290</v>
      </c>
      <c r="F301" s="7" t="s">
        <v>666</v>
      </c>
      <c r="G301" s="7" t="s">
        <v>646</v>
      </c>
      <c r="H301" s="31">
        <v>0.4</v>
      </c>
      <c r="I301" s="8">
        <f t="shared" si="11"/>
        <v>150</v>
      </c>
      <c r="J301" s="31" t="s">
        <v>110</v>
      </c>
      <c r="K301" s="63" t="s">
        <v>106</v>
      </c>
    </row>
    <row r="302" spans="4:11">
      <c r="D302" s="13" t="s">
        <v>667</v>
      </c>
      <c r="E302" s="7">
        <f t="shared" si="10"/>
        <v>291</v>
      </c>
      <c r="F302" s="7" t="s">
        <v>668</v>
      </c>
      <c r="G302" s="7" t="s">
        <v>646</v>
      </c>
      <c r="H302" s="31">
        <v>0.85</v>
      </c>
      <c r="I302" s="8">
        <f t="shared" si="11"/>
        <v>70.588235294117652</v>
      </c>
      <c r="J302" s="31" t="s">
        <v>110</v>
      </c>
      <c r="K302" s="63" t="s">
        <v>111</v>
      </c>
    </row>
    <row r="303" spans="4:11">
      <c r="D303" s="13" t="s">
        <v>669</v>
      </c>
      <c r="E303" s="7">
        <f t="shared" si="10"/>
        <v>292</v>
      </c>
      <c r="F303" s="7" t="s">
        <v>670</v>
      </c>
      <c r="G303" s="7" t="s">
        <v>646</v>
      </c>
      <c r="H303" s="31">
        <v>0.8</v>
      </c>
      <c r="I303" s="8">
        <f t="shared" si="11"/>
        <v>75</v>
      </c>
      <c r="J303" s="31" t="s">
        <v>110</v>
      </c>
      <c r="K303" s="63" t="s">
        <v>111</v>
      </c>
    </row>
    <row r="304" spans="4:11">
      <c r="D304" s="13" t="s">
        <v>671</v>
      </c>
      <c r="E304" s="7">
        <f t="shared" si="10"/>
        <v>293</v>
      </c>
      <c r="F304" s="7" t="s">
        <v>672</v>
      </c>
      <c r="G304" s="7" t="s">
        <v>646</v>
      </c>
      <c r="H304" s="31">
        <v>0.4</v>
      </c>
      <c r="I304" s="8">
        <f t="shared" si="11"/>
        <v>150</v>
      </c>
      <c r="J304" s="31" t="s">
        <v>110</v>
      </c>
      <c r="K304" s="63" t="s">
        <v>111</v>
      </c>
    </row>
    <row r="305" spans="4:11">
      <c r="D305" s="13" t="s">
        <v>673</v>
      </c>
      <c r="E305" s="7">
        <f t="shared" si="10"/>
        <v>294</v>
      </c>
      <c r="F305" s="7" t="s">
        <v>674</v>
      </c>
      <c r="G305" s="7" t="s">
        <v>646</v>
      </c>
      <c r="H305" s="31">
        <v>0.45</v>
      </c>
      <c r="I305" s="8">
        <f t="shared" si="11"/>
        <v>133.33333333333334</v>
      </c>
      <c r="J305" s="31" t="s">
        <v>110</v>
      </c>
      <c r="K305" s="63" t="s">
        <v>111</v>
      </c>
    </row>
    <row r="306" spans="4:11">
      <c r="D306" s="13" t="s">
        <v>675</v>
      </c>
      <c r="E306" s="7">
        <f t="shared" si="10"/>
        <v>295</v>
      </c>
      <c r="F306" s="7" t="s">
        <v>606</v>
      </c>
      <c r="G306" s="7" t="s">
        <v>646</v>
      </c>
      <c r="H306" s="31">
        <v>0.71</v>
      </c>
      <c r="I306" s="8">
        <f t="shared" si="11"/>
        <v>84.507042253521135</v>
      </c>
      <c r="J306" s="31" t="s">
        <v>110</v>
      </c>
      <c r="K306" s="63" t="s">
        <v>111</v>
      </c>
    </row>
    <row r="307" spans="4:11">
      <c r="D307" s="13" t="s">
        <v>676</v>
      </c>
      <c r="E307" s="7">
        <f t="shared" si="10"/>
        <v>296</v>
      </c>
      <c r="F307" s="7" t="s">
        <v>677</v>
      </c>
      <c r="G307" s="7" t="s">
        <v>646</v>
      </c>
      <c r="H307" s="31">
        <v>1.1000000000000001</v>
      </c>
      <c r="I307" s="8">
        <f t="shared" si="11"/>
        <v>54.54545454545454</v>
      </c>
      <c r="J307" s="31" t="s">
        <v>110</v>
      </c>
      <c r="K307" s="63" t="s">
        <v>111</v>
      </c>
    </row>
    <row r="308" spans="4:11">
      <c r="D308" s="13" t="s">
        <v>678</v>
      </c>
      <c r="E308" s="7">
        <f t="shared" si="10"/>
        <v>297</v>
      </c>
      <c r="F308" s="7" t="s">
        <v>679</v>
      </c>
      <c r="G308" s="7" t="s">
        <v>646</v>
      </c>
      <c r="H308" s="31">
        <v>1.2</v>
      </c>
      <c r="I308" s="8">
        <f t="shared" si="11"/>
        <v>50</v>
      </c>
      <c r="J308" s="31" t="s">
        <v>110</v>
      </c>
      <c r="K308" s="63" t="s">
        <v>111</v>
      </c>
    </row>
    <row r="309" spans="4:11">
      <c r="D309" s="13" t="s">
        <v>680</v>
      </c>
      <c r="E309" s="7">
        <f t="shared" si="10"/>
        <v>298</v>
      </c>
      <c r="F309" s="7" t="s">
        <v>681</v>
      </c>
      <c r="G309" s="7" t="s">
        <v>646</v>
      </c>
      <c r="H309" s="31">
        <v>0.31</v>
      </c>
      <c r="I309" s="8">
        <f t="shared" si="11"/>
        <v>193.54838709677421</v>
      </c>
      <c r="J309" s="31" t="s">
        <v>110</v>
      </c>
      <c r="K309" s="63" t="s">
        <v>111</v>
      </c>
    </row>
    <row r="310" spans="4:11">
      <c r="D310" s="13" t="s">
        <v>682</v>
      </c>
      <c r="E310" s="7">
        <f t="shared" si="10"/>
        <v>299</v>
      </c>
      <c r="F310" s="7" t="s">
        <v>683</v>
      </c>
      <c r="G310" s="7" t="s">
        <v>646</v>
      </c>
      <c r="H310" s="31">
        <v>1</v>
      </c>
      <c r="I310" s="8">
        <f t="shared" si="11"/>
        <v>60</v>
      </c>
      <c r="J310" s="31" t="s">
        <v>110</v>
      </c>
      <c r="K310" s="63" t="s">
        <v>106</v>
      </c>
    </row>
    <row r="311" spans="4:11">
      <c r="D311" s="13" t="s">
        <v>684</v>
      </c>
      <c r="E311" s="7">
        <f t="shared" si="10"/>
        <v>300</v>
      </c>
      <c r="F311" s="7" t="s">
        <v>685</v>
      </c>
      <c r="G311" s="7" t="s">
        <v>646</v>
      </c>
      <c r="H311" s="31">
        <v>0.54</v>
      </c>
      <c r="I311" s="8">
        <f t="shared" si="11"/>
        <v>111.1111111111111</v>
      </c>
      <c r="J311" s="31" t="s">
        <v>105</v>
      </c>
      <c r="K311" s="63" t="s">
        <v>106</v>
      </c>
    </row>
    <row r="312" spans="4:11">
      <c r="D312" s="13" t="s">
        <v>686</v>
      </c>
      <c r="E312" s="7">
        <f t="shared" si="10"/>
        <v>301</v>
      </c>
      <c r="F312" s="7" t="s">
        <v>687</v>
      </c>
      <c r="G312" s="7" t="s">
        <v>646</v>
      </c>
      <c r="H312" s="31">
        <v>0.65</v>
      </c>
      <c r="I312" s="8">
        <f t="shared" si="11"/>
        <v>92.307692307692307</v>
      </c>
      <c r="J312" s="31" t="s">
        <v>110</v>
      </c>
      <c r="K312" s="63" t="s">
        <v>111</v>
      </c>
    </row>
    <row r="313" spans="4:11">
      <c r="D313" s="13" t="s">
        <v>688</v>
      </c>
      <c r="E313" s="7">
        <f t="shared" si="10"/>
        <v>302</v>
      </c>
      <c r="F313" s="7" t="s">
        <v>689</v>
      </c>
      <c r="G313" s="7" t="s">
        <v>646</v>
      </c>
      <c r="H313" s="31">
        <v>1.01</v>
      </c>
      <c r="I313" s="8">
        <f t="shared" si="11"/>
        <v>59.405940594059409</v>
      </c>
      <c r="J313" s="31" t="s">
        <v>110</v>
      </c>
      <c r="K313" s="63" t="s">
        <v>111</v>
      </c>
    </row>
    <row r="314" spans="4:11">
      <c r="D314" s="13" t="s">
        <v>690</v>
      </c>
      <c r="E314" s="7">
        <f t="shared" si="10"/>
        <v>303</v>
      </c>
      <c r="F314" s="7" t="s">
        <v>691</v>
      </c>
      <c r="G314" s="7" t="s">
        <v>646</v>
      </c>
      <c r="H314" s="31">
        <v>0.8</v>
      </c>
      <c r="I314" s="8">
        <f t="shared" si="11"/>
        <v>75</v>
      </c>
      <c r="J314" s="31" t="s">
        <v>110</v>
      </c>
      <c r="K314" s="63" t="s">
        <v>111</v>
      </c>
    </row>
    <row r="315" spans="4:11">
      <c r="D315" s="13" t="s">
        <v>692</v>
      </c>
      <c r="E315" s="7">
        <f t="shared" si="10"/>
        <v>304</v>
      </c>
      <c r="F315" s="7" t="s">
        <v>693</v>
      </c>
      <c r="G315" s="7" t="s">
        <v>646</v>
      </c>
      <c r="H315" s="31">
        <v>0.7</v>
      </c>
      <c r="I315" s="8">
        <f t="shared" si="11"/>
        <v>85.714285714285722</v>
      </c>
      <c r="J315" s="31" t="s">
        <v>110</v>
      </c>
      <c r="K315" s="63" t="s">
        <v>111</v>
      </c>
    </row>
    <row r="316" spans="4:11">
      <c r="D316" s="13" t="s">
        <v>694</v>
      </c>
      <c r="E316" s="7">
        <f t="shared" si="10"/>
        <v>305</v>
      </c>
      <c r="F316" s="7" t="s">
        <v>695</v>
      </c>
      <c r="G316" s="7" t="s">
        <v>646</v>
      </c>
      <c r="H316" s="31">
        <v>0.5</v>
      </c>
      <c r="I316" s="8">
        <f t="shared" si="11"/>
        <v>120</v>
      </c>
      <c r="J316" s="31" t="s">
        <v>110</v>
      </c>
      <c r="K316" s="63" t="s">
        <v>106</v>
      </c>
    </row>
    <row r="317" spans="4:11">
      <c r="D317" s="13" t="s">
        <v>696</v>
      </c>
      <c r="E317" s="7">
        <f t="shared" si="10"/>
        <v>306</v>
      </c>
      <c r="F317" s="7" t="s">
        <v>697</v>
      </c>
      <c r="G317" s="7" t="s">
        <v>646</v>
      </c>
      <c r="H317" s="31">
        <v>0.75</v>
      </c>
      <c r="I317" s="8">
        <f t="shared" si="11"/>
        <v>80</v>
      </c>
      <c r="J317" s="31" t="s">
        <v>110</v>
      </c>
      <c r="K317" s="63" t="s">
        <v>111</v>
      </c>
    </row>
    <row r="318" spans="4:11">
      <c r="D318" s="13" t="s">
        <v>698</v>
      </c>
      <c r="E318" s="7">
        <f t="shared" si="10"/>
        <v>307</v>
      </c>
      <c r="F318" s="7" t="s">
        <v>699</v>
      </c>
      <c r="G318" s="7" t="s">
        <v>646</v>
      </c>
      <c r="H318" s="31">
        <v>0.75</v>
      </c>
      <c r="I318" s="8">
        <f t="shared" si="11"/>
        <v>80</v>
      </c>
      <c r="J318" s="31" t="s">
        <v>110</v>
      </c>
      <c r="K318" s="63" t="s">
        <v>106</v>
      </c>
    </row>
    <row r="319" spans="4:11">
      <c r="D319" s="13" t="s">
        <v>700</v>
      </c>
      <c r="E319" s="7">
        <f t="shared" si="10"/>
        <v>308</v>
      </c>
      <c r="F319" s="7" t="s">
        <v>701</v>
      </c>
      <c r="G319" s="7" t="s">
        <v>646</v>
      </c>
      <c r="H319" s="31">
        <v>0.8</v>
      </c>
      <c r="I319" s="8">
        <f t="shared" si="11"/>
        <v>75</v>
      </c>
      <c r="J319" s="31" t="s">
        <v>110</v>
      </c>
      <c r="K319" s="63" t="s">
        <v>111</v>
      </c>
    </row>
    <row r="320" spans="4:11">
      <c r="D320" s="13" t="s">
        <v>702</v>
      </c>
      <c r="E320" s="7">
        <f t="shared" si="10"/>
        <v>309</v>
      </c>
      <c r="F320" s="7" t="s">
        <v>703</v>
      </c>
      <c r="G320" s="7" t="s">
        <v>646</v>
      </c>
      <c r="H320" s="31">
        <v>0.5</v>
      </c>
      <c r="I320" s="8">
        <f t="shared" si="11"/>
        <v>120</v>
      </c>
      <c r="J320" s="31" t="s">
        <v>110</v>
      </c>
      <c r="K320" s="63" t="s">
        <v>106</v>
      </c>
    </row>
    <row r="321" spans="4:11">
      <c r="D321" s="13" t="s">
        <v>704</v>
      </c>
      <c r="E321" s="7">
        <f t="shared" si="10"/>
        <v>310</v>
      </c>
      <c r="F321" s="7" t="s">
        <v>705</v>
      </c>
      <c r="G321" s="7" t="s">
        <v>646</v>
      </c>
      <c r="H321" s="31">
        <v>0.4</v>
      </c>
      <c r="I321" s="8">
        <f t="shared" si="11"/>
        <v>150</v>
      </c>
      <c r="J321" s="31" t="s">
        <v>110</v>
      </c>
      <c r="K321" s="63" t="s">
        <v>111</v>
      </c>
    </row>
    <row r="322" spans="4:11">
      <c r="D322" s="13" t="s">
        <v>706</v>
      </c>
      <c r="E322" s="7">
        <f t="shared" si="10"/>
        <v>311</v>
      </c>
      <c r="F322" s="7" t="s">
        <v>707</v>
      </c>
      <c r="G322" s="7" t="s">
        <v>646</v>
      </c>
      <c r="H322" s="31">
        <v>1.05</v>
      </c>
      <c r="I322" s="8">
        <f t="shared" si="11"/>
        <v>57.142857142857139</v>
      </c>
      <c r="J322" s="31" t="s">
        <v>110</v>
      </c>
      <c r="K322" s="63" t="s">
        <v>106</v>
      </c>
    </row>
    <row r="323" spans="4:11">
      <c r="D323" s="13" t="s">
        <v>708</v>
      </c>
      <c r="E323" s="7">
        <f t="shared" si="10"/>
        <v>312</v>
      </c>
      <c r="F323" s="7" t="s">
        <v>709</v>
      </c>
      <c r="G323" s="7" t="s">
        <v>646</v>
      </c>
      <c r="H323" s="31">
        <v>0.3</v>
      </c>
      <c r="I323" s="8">
        <f t="shared" si="11"/>
        <v>200</v>
      </c>
      <c r="J323" s="31" t="s">
        <v>110</v>
      </c>
      <c r="K323" s="63" t="s">
        <v>111</v>
      </c>
    </row>
    <row r="324" spans="4:11">
      <c r="D324" s="13" t="s">
        <v>710</v>
      </c>
      <c r="E324" s="7">
        <f t="shared" si="10"/>
        <v>313</v>
      </c>
      <c r="F324" s="7" t="s">
        <v>711</v>
      </c>
      <c r="G324" s="7" t="s">
        <v>646</v>
      </c>
      <c r="H324" s="31">
        <v>0.5</v>
      </c>
      <c r="I324" s="8">
        <f t="shared" si="11"/>
        <v>120</v>
      </c>
      <c r="J324" s="31" t="s">
        <v>110</v>
      </c>
      <c r="K324" s="63" t="s">
        <v>111</v>
      </c>
    </row>
    <row r="325" spans="4:11">
      <c r="D325" s="13" t="s">
        <v>712</v>
      </c>
      <c r="E325" s="7">
        <f t="shared" si="10"/>
        <v>314</v>
      </c>
      <c r="F325" s="7" t="s">
        <v>713</v>
      </c>
      <c r="G325" s="7" t="s">
        <v>646</v>
      </c>
      <c r="H325" s="31">
        <v>0.55000000000000004</v>
      </c>
      <c r="I325" s="8">
        <f t="shared" si="11"/>
        <v>109.09090909090908</v>
      </c>
      <c r="J325" s="31" t="s">
        <v>110</v>
      </c>
      <c r="K325" s="63" t="s">
        <v>111</v>
      </c>
    </row>
    <row r="326" spans="4:11">
      <c r="D326" s="13" t="s">
        <v>714</v>
      </c>
      <c r="E326" s="7">
        <f t="shared" si="10"/>
        <v>315</v>
      </c>
      <c r="F326" s="7" t="s">
        <v>715</v>
      </c>
      <c r="G326" s="7" t="s">
        <v>646</v>
      </c>
      <c r="H326" s="31">
        <v>0.94</v>
      </c>
      <c r="I326" s="8">
        <f t="shared" si="11"/>
        <v>63.829787234042556</v>
      </c>
      <c r="J326" s="31" t="s">
        <v>110</v>
      </c>
      <c r="K326" s="63" t="s">
        <v>111</v>
      </c>
    </row>
    <row r="327" spans="4:11">
      <c r="D327" s="13" t="s">
        <v>716</v>
      </c>
      <c r="E327" s="7">
        <f t="shared" si="10"/>
        <v>316</v>
      </c>
      <c r="F327" s="7" t="s">
        <v>717</v>
      </c>
      <c r="G327" s="7" t="s">
        <v>646</v>
      </c>
      <c r="H327" s="31">
        <v>0.85</v>
      </c>
      <c r="I327" s="8">
        <f t="shared" si="11"/>
        <v>70.588235294117652</v>
      </c>
      <c r="J327" s="31" t="s">
        <v>110</v>
      </c>
      <c r="K327" s="63" t="s">
        <v>111</v>
      </c>
    </row>
    <row r="328" spans="4:11">
      <c r="D328" s="13" t="s">
        <v>718</v>
      </c>
      <c r="E328" s="7">
        <f t="shared" si="10"/>
        <v>317</v>
      </c>
      <c r="F328" s="7" t="s">
        <v>719</v>
      </c>
      <c r="G328" s="7" t="s">
        <v>646</v>
      </c>
      <c r="H328" s="31">
        <v>1.1000000000000001</v>
      </c>
      <c r="I328" s="8">
        <f t="shared" si="11"/>
        <v>54.54545454545454</v>
      </c>
      <c r="J328" s="31" t="s">
        <v>110</v>
      </c>
      <c r="K328" s="63" t="s">
        <v>111</v>
      </c>
    </row>
    <row r="329" spans="4:11">
      <c r="D329" s="13" t="s">
        <v>720</v>
      </c>
      <c r="E329" s="7">
        <f t="shared" si="10"/>
        <v>318</v>
      </c>
      <c r="F329" s="7" t="s">
        <v>721</v>
      </c>
      <c r="G329" s="7" t="s">
        <v>646</v>
      </c>
      <c r="H329" s="31">
        <v>1.25</v>
      </c>
      <c r="I329" s="8">
        <f t="shared" si="11"/>
        <v>48</v>
      </c>
      <c r="J329" s="31" t="s">
        <v>110</v>
      </c>
      <c r="K329" s="63" t="s">
        <v>111</v>
      </c>
    </row>
    <row r="330" spans="4:11">
      <c r="D330" s="13" t="s">
        <v>722</v>
      </c>
      <c r="E330" s="7">
        <f t="shared" si="10"/>
        <v>319</v>
      </c>
      <c r="F330" s="7" t="s">
        <v>723</v>
      </c>
      <c r="G330" s="7" t="s">
        <v>646</v>
      </c>
      <c r="H330" s="31">
        <v>0.85</v>
      </c>
      <c r="I330" s="8">
        <f t="shared" si="11"/>
        <v>70.588235294117652</v>
      </c>
      <c r="J330" s="31" t="s">
        <v>110</v>
      </c>
      <c r="K330" s="63" t="s">
        <v>111</v>
      </c>
    </row>
    <row r="331" spans="4:11">
      <c r="D331" s="13" t="s">
        <v>724</v>
      </c>
      <c r="E331" s="7">
        <f t="shared" si="10"/>
        <v>320</v>
      </c>
      <c r="F331" s="7" t="s">
        <v>725</v>
      </c>
      <c r="G331" s="7" t="s">
        <v>646</v>
      </c>
      <c r="H331" s="31">
        <v>0.7</v>
      </c>
      <c r="I331" s="8">
        <f t="shared" si="11"/>
        <v>85.714285714285722</v>
      </c>
      <c r="J331" s="31" t="s">
        <v>110</v>
      </c>
      <c r="K331" s="63" t="s">
        <v>111</v>
      </c>
    </row>
    <row r="332" spans="4:11">
      <c r="D332" s="13" t="s">
        <v>726</v>
      </c>
      <c r="E332" s="7">
        <f t="shared" si="10"/>
        <v>321</v>
      </c>
      <c r="F332" s="7" t="s">
        <v>727</v>
      </c>
      <c r="G332" s="7" t="s">
        <v>646</v>
      </c>
      <c r="H332" s="31">
        <v>0.65</v>
      </c>
      <c r="I332" s="8">
        <f t="shared" si="11"/>
        <v>92.307692307692307</v>
      </c>
      <c r="J332" s="31" t="s">
        <v>110</v>
      </c>
      <c r="K332" s="63" t="s">
        <v>111</v>
      </c>
    </row>
    <row r="333" spans="4:11">
      <c r="D333" s="13" t="s">
        <v>728</v>
      </c>
      <c r="E333" s="7">
        <f t="shared" si="10"/>
        <v>322</v>
      </c>
      <c r="F333" s="7" t="s">
        <v>729</v>
      </c>
      <c r="G333" s="7" t="s">
        <v>646</v>
      </c>
      <c r="H333" s="31">
        <v>0.8</v>
      </c>
      <c r="I333" s="8">
        <f t="shared" si="11"/>
        <v>75</v>
      </c>
      <c r="J333" s="31" t="s">
        <v>110</v>
      </c>
      <c r="K333" s="63" t="s">
        <v>111</v>
      </c>
    </row>
    <row r="334" spans="4:11">
      <c r="D334" s="13" t="s">
        <v>730</v>
      </c>
      <c r="E334" s="7">
        <f t="shared" ref="E334:E397" si="12">E333+1</f>
        <v>323</v>
      </c>
      <c r="F334" s="7" t="s">
        <v>731</v>
      </c>
      <c r="G334" s="7" t="s">
        <v>646</v>
      </c>
      <c r="H334" s="31">
        <v>0.85</v>
      </c>
      <c r="I334" s="8">
        <f t="shared" si="11"/>
        <v>70.588235294117652</v>
      </c>
      <c r="J334" s="31" t="s">
        <v>110</v>
      </c>
      <c r="K334" s="63" t="s">
        <v>111</v>
      </c>
    </row>
    <row r="335" spans="4:11">
      <c r="D335" s="13" t="s">
        <v>732</v>
      </c>
      <c r="E335" s="7">
        <f t="shared" si="12"/>
        <v>324</v>
      </c>
      <c r="F335" s="7" t="s">
        <v>733</v>
      </c>
      <c r="G335" s="7" t="s">
        <v>646</v>
      </c>
      <c r="H335" s="31">
        <v>1</v>
      </c>
      <c r="I335" s="8">
        <f t="shared" si="11"/>
        <v>60</v>
      </c>
      <c r="J335" s="31" t="s">
        <v>110</v>
      </c>
      <c r="K335" s="63" t="s">
        <v>111</v>
      </c>
    </row>
    <row r="336" spans="4:11">
      <c r="D336" s="13" t="s">
        <v>734</v>
      </c>
      <c r="E336" s="7">
        <f t="shared" si="12"/>
        <v>325</v>
      </c>
      <c r="F336" s="7" t="s">
        <v>735</v>
      </c>
      <c r="G336" s="7" t="s">
        <v>646</v>
      </c>
      <c r="H336" s="31">
        <v>0.9</v>
      </c>
      <c r="I336" s="8">
        <f t="shared" ref="I336:I402" si="13">60/H336</f>
        <v>66.666666666666671</v>
      </c>
      <c r="J336" s="31" t="s">
        <v>110</v>
      </c>
      <c r="K336" s="63" t="s">
        <v>111</v>
      </c>
    </row>
    <row r="337" spans="4:11">
      <c r="D337" s="13" t="s">
        <v>736</v>
      </c>
      <c r="E337" s="7">
        <f t="shared" si="12"/>
        <v>326</v>
      </c>
      <c r="F337" s="7" t="s">
        <v>737</v>
      </c>
      <c r="G337" s="7" t="s">
        <v>646</v>
      </c>
      <c r="H337" s="31">
        <v>0.75</v>
      </c>
      <c r="I337" s="8">
        <f t="shared" si="13"/>
        <v>80</v>
      </c>
      <c r="J337" s="31" t="s">
        <v>110</v>
      </c>
      <c r="K337" s="63" t="s">
        <v>106</v>
      </c>
    </row>
    <row r="338" spans="4:11">
      <c r="D338" s="13" t="s">
        <v>738</v>
      </c>
      <c r="E338" s="7">
        <f t="shared" si="12"/>
        <v>327</v>
      </c>
      <c r="F338" s="7" t="s">
        <v>739</v>
      </c>
      <c r="G338" s="7" t="s">
        <v>646</v>
      </c>
      <c r="H338" s="31">
        <v>2</v>
      </c>
      <c r="I338" s="8">
        <f t="shared" si="13"/>
        <v>30</v>
      </c>
      <c r="J338" s="31" t="s">
        <v>110</v>
      </c>
      <c r="K338" s="63" t="s">
        <v>111</v>
      </c>
    </row>
    <row r="339" spans="4:11">
      <c r="D339" s="13" t="s">
        <v>740</v>
      </c>
      <c r="E339" s="7">
        <f t="shared" si="12"/>
        <v>328</v>
      </c>
      <c r="F339" s="7" t="s">
        <v>741</v>
      </c>
      <c r="G339" s="7" t="s">
        <v>646</v>
      </c>
      <c r="H339" s="31">
        <v>0.4</v>
      </c>
      <c r="I339" s="8">
        <f t="shared" si="13"/>
        <v>150</v>
      </c>
      <c r="J339" s="31" t="s">
        <v>110</v>
      </c>
      <c r="K339" s="63" t="s">
        <v>111</v>
      </c>
    </row>
    <row r="340" spans="4:11">
      <c r="D340" s="13" t="s">
        <v>742</v>
      </c>
      <c r="E340" s="7">
        <f t="shared" si="12"/>
        <v>329</v>
      </c>
      <c r="F340" s="7" t="s">
        <v>743</v>
      </c>
      <c r="G340" s="7" t="s">
        <v>646</v>
      </c>
      <c r="H340" s="31">
        <v>0.8</v>
      </c>
      <c r="I340" s="8">
        <f t="shared" si="13"/>
        <v>75</v>
      </c>
      <c r="J340" s="31" t="s">
        <v>110</v>
      </c>
      <c r="K340" s="63" t="s">
        <v>111</v>
      </c>
    </row>
    <row r="341" spans="4:11">
      <c r="D341" s="13" t="s">
        <v>744</v>
      </c>
      <c r="E341" s="7">
        <f t="shared" si="12"/>
        <v>330</v>
      </c>
      <c r="F341" s="7" t="s">
        <v>745</v>
      </c>
      <c r="G341" s="7" t="s">
        <v>646</v>
      </c>
      <c r="H341" s="31">
        <v>0.8</v>
      </c>
      <c r="I341" s="8">
        <f t="shared" si="13"/>
        <v>75</v>
      </c>
      <c r="J341" s="31" t="s">
        <v>110</v>
      </c>
      <c r="K341" s="63" t="s">
        <v>111</v>
      </c>
    </row>
    <row r="342" spans="4:11">
      <c r="D342" s="13" t="s">
        <v>746</v>
      </c>
      <c r="E342" s="7">
        <f t="shared" si="12"/>
        <v>331</v>
      </c>
      <c r="F342" s="7" t="s">
        <v>652</v>
      </c>
      <c r="G342" s="7" t="s">
        <v>646</v>
      </c>
      <c r="H342" s="31">
        <v>1</v>
      </c>
      <c r="I342" s="8">
        <f>60/H342</f>
        <v>60</v>
      </c>
      <c r="J342" s="31" t="s">
        <v>105</v>
      </c>
      <c r="K342" s="63" t="s">
        <v>111</v>
      </c>
    </row>
    <row r="343" spans="4:11">
      <c r="D343" s="13" t="s">
        <v>747</v>
      </c>
      <c r="E343" s="7">
        <f t="shared" si="12"/>
        <v>332</v>
      </c>
      <c r="F343" s="7" t="s">
        <v>654</v>
      </c>
      <c r="G343" s="7" t="s">
        <v>646</v>
      </c>
      <c r="H343" s="31">
        <v>1.1200000000000001</v>
      </c>
      <c r="I343" s="8">
        <f t="shared" si="13"/>
        <v>53.571428571428569</v>
      </c>
      <c r="J343" s="31" t="s">
        <v>105</v>
      </c>
      <c r="K343" s="63" t="s">
        <v>111</v>
      </c>
    </row>
    <row r="344" spans="4:11">
      <c r="D344" s="13" t="s">
        <v>748</v>
      </c>
      <c r="E344" s="7">
        <f t="shared" si="12"/>
        <v>333</v>
      </c>
      <c r="F344" s="7" t="s">
        <v>658</v>
      </c>
      <c r="G344" s="7" t="s">
        <v>646</v>
      </c>
      <c r="H344" s="31">
        <v>1.38</v>
      </c>
      <c r="I344" s="8">
        <f t="shared" si="13"/>
        <v>43.478260869565219</v>
      </c>
      <c r="J344" s="31" t="s">
        <v>105</v>
      </c>
      <c r="K344" s="63" t="s">
        <v>111</v>
      </c>
    </row>
    <row r="345" spans="4:11">
      <c r="D345" s="13" t="s">
        <v>749</v>
      </c>
      <c r="E345" s="7">
        <f t="shared" si="12"/>
        <v>334</v>
      </c>
      <c r="F345" s="7" t="s">
        <v>664</v>
      </c>
      <c r="G345" s="7" t="s">
        <v>646</v>
      </c>
      <c r="H345" s="31">
        <v>0.85</v>
      </c>
      <c r="I345" s="8">
        <f t="shared" si="13"/>
        <v>70.588235294117652</v>
      </c>
      <c r="J345" s="31" t="s">
        <v>105</v>
      </c>
      <c r="K345" s="63" t="s">
        <v>111</v>
      </c>
    </row>
    <row r="346" spans="4:11">
      <c r="D346" s="13" t="s">
        <v>750</v>
      </c>
      <c r="E346" s="7">
        <f t="shared" si="12"/>
        <v>335</v>
      </c>
      <c r="F346" s="7" t="s">
        <v>645</v>
      </c>
      <c r="G346" s="7" t="s">
        <v>646</v>
      </c>
      <c r="H346" s="31">
        <v>0.75</v>
      </c>
      <c r="I346" s="8">
        <f t="shared" si="13"/>
        <v>80</v>
      </c>
      <c r="J346" s="31" t="s">
        <v>105</v>
      </c>
      <c r="K346" s="63" t="s">
        <v>111</v>
      </c>
    </row>
    <row r="347" spans="4:11">
      <c r="D347" s="13" t="s">
        <v>751</v>
      </c>
      <c r="E347" s="7">
        <f t="shared" si="12"/>
        <v>336</v>
      </c>
      <c r="F347" s="7" t="s">
        <v>650</v>
      </c>
      <c r="G347" s="7" t="s">
        <v>646</v>
      </c>
      <c r="H347" s="31">
        <v>0.75</v>
      </c>
      <c r="I347" s="8">
        <f t="shared" si="13"/>
        <v>80</v>
      </c>
      <c r="J347" s="31" t="s">
        <v>105</v>
      </c>
      <c r="K347" s="63" t="s">
        <v>111</v>
      </c>
    </row>
    <row r="348" spans="4:11">
      <c r="D348" s="13" t="s">
        <v>752</v>
      </c>
      <c r="E348" s="7">
        <f t="shared" si="12"/>
        <v>337</v>
      </c>
      <c r="F348" s="7" t="s">
        <v>652</v>
      </c>
      <c r="G348" s="7" t="s">
        <v>646</v>
      </c>
      <c r="H348" s="31">
        <v>0.75</v>
      </c>
      <c r="I348" s="8">
        <f t="shared" si="13"/>
        <v>80</v>
      </c>
      <c r="J348" s="31" t="s">
        <v>105</v>
      </c>
      <c r="K348" s="63" t="s">
        <v>111</v>
      </c>
    </row>
    <row r="349" spans="4:11">
      <c r="D349" s="13" t="s">
        <v>753</v>
      </c>
      <c r="E349" s="7">
        <f t="shared" si="12"/>
        <v>338</v>
      </c>
      <c r="F349" s="7" t="s">
        <v>754</v>
      </c>
      <c r="G349" s="7" t="s">
        <v>646</v>
      </c>
      <c r="H349" s="31">
        <v>2</v>
      </c>
      <c r="I349" s="8">
        <f t="shared" si="13"/>
        <v>30</v>
      </c>
      <c r="J349" s="31" t="s">
        <v>105</v>
      </c>
      <c r="K349" s="63" t="s">
        <v>111</v>
      </c>
    </row>
    <row r="350" spans="4:11">
      <c r="D350" s="13" t="s">
        <v>755</v>
      </c>
      <c r="E350" s="7">
        <f t="shared" si="12"/>
        <v>339</v>
      </c>
      <c r="F350" s="7" t="s">
        <v>660</v>
      </c>
      <c r="G350" s="7" t="s">
        <v>646</v>
      </c>
      <c r="H350" s="31">
        <v>1.1000000000000001</v>
      </c>
      <c r="I350" s="8">
        <f t="shared" si="13"/>
        <v>54.54545454545454</v>
      </c>
      <c r="J350" s="31" t="s">
        <v>105</v>
      </c>
      <c r="K350" s="63" t="s">
        <v>111</v>
      </c>
    </row>
    <row r="351" spans="4:11">
      <c r="D351" s="13" t="s">
        <v>756</v>
      </c>
      <c r="E351" s="7">
        <f t="shared" si="12"/>
        <v>340</v>
      </c>
      <c r="F351" s="7" t="s">
        <v>681</v>
      </c>
      <c r="G351" s="7" t="s">
        <v>646</v>
      </c>
      <c r="H351" s="31">
        <v>1.2</v>
      </c>
      <c r="I351" s="8">
        <f t="shared" si="13"/>
        <v>50</v>
      </c>
      <c r="J351" s="31" t="s">
        <v>110</v>
      </c>
      <c r="K351" s="63" t="s">
        <v>111</v>
      </c>
    </row>
    <row r="352" spans="4:11">
      <c r="D352" s="13" t="s">
        <v>757</v>
      </c>
      <c r="E352" s="7">
        <f t="shared" si="12"/>
        <v>341</v>
      </c>
      <c r="F352" s="7" t="s">
        <v>656</v>
      </c>
      <c r="G352" s="7" t="s">
        <v>646</v>
      </c>
      <c r="H352" s="31">
        <v>1.25</v>
      </c>
      <c r="I352" s="8">
        <f t="shared" si="13"/>
        <v>48</v>
      </c>
      <c r="J352" s="31" t="s">
        <v>105</v>
      </c>
      <c r="K352" s="63" t="s">
        <v>111</v>
      </c>
    </row>
    <row r="353" spans="4:11">
      <c r="D353" s="13" t="s">
        <v>758</v>
      </c>
      <c r="E353" s="7">
        <f t="shared" si="12"/>
        <v>342</v>
      </c>
      <c r="F353" s="7" t="s">
        <v>650</v>
      </c>
      <c r="G353" s="7" t="s">
        <v>646</v>
      </c>
      <c r="H353" s="31">
        <v>0.65</v>
      </c>
      <c r="I353" s="8">
        <f t="shared" si="13"/>
        <v>92.307692307692307</v>
      </c>
      <c r="J353" s="31" t="s">
        <v>105</v>
      </c>
      <c r="K353" s="63" t="s">
        <v>111</v>
      </c>
    </row>
    <row r="354" spans="4:11">
      <c r="D354" s="13" t="s">
        <v>759</v>
      </c>
      <c r="E354" s="7">
        <f t="shared" si="12"/>
        <v>343</v>
      </c>
      <c r="F354" s="7" t="s">
        <v>656</v>
      </c>
      <c r="G354" s="7" t="s">
        <v>646</v>
      </c>
      <c r="H354" s="31">
        <v>0.75</v>
      </c>
      <c r="I354" s="8">
        <f t="shared" si="13"/>
        <v>80</v>
      </c>
      <c r="J354" s="31" t="s">
        <v>105</v>
      </c>
      <c r="K354" s="63" t="s">
        <v>111</v>
      </c>
    </row>
    <row r="355" spans="4:11">
      <c r="D355" s="13" t="s">
        <v>760</v>
      </c>
      <c r="E355" s="7">
        <f t="shared" si="12"/>
        <v>344</v>
      </c>
      <c r="F355" s="7" t="s">
        <v>677</v>
      </c>
      <c r="G355" s="7" t="s">
        <v>646</v>
      </c>
      <c r="H355" s="31">
        <v>1.1499999999999999</v>
      </c>
      <c r="I355" s="8">
        <f t="shared" si="13"/>
        <v>52.173913043478265</v>
      </c>
      <c r="J355" s="31" t="s">
        <v>110</v>
      </c>
      <c r="K355" s="63" t="s">
        <v>111</v>
      </c>
    </row>
    <row r="356" spans="4:11">
      <c r="D356" s="13" t="s">
        <v>761</v>
      </c>
      <c r="E356" s="7">
        <f t="shared" si="12"/>
        <v>345</v>
      </c>
      <c r="F356" s="7" t="s">
        <v>660</v>
      </c>
      <c r="G356" s="7" t="s">
        <v>646</v>
      </c>
      <c r="H356" s="31">
        <v>1.2</v>
      </c>
      <c r="I356" s="8">
        <f t="shared" si="13"/>
        <v>50</v>
      </c>
      <c r="J356" s="31" t="s">
        <v>105</v>
      </c>
      <c r="K356" s="63" t="s">
        <v>111</v>
      </c>
    </row>
    <row r="357" spans="4:11">
      <c r="D357" s="13" t="s">
        <v>762</v>
      </c>
      <c r="E357" s="7">
        <f t="shared" si="12"/>
        <v>346</v>
      </c>
      <c r="F357" s="7" t="s">
        <v>668</v>
      </c>
      <c r="G357" s="7" t="s">
        <v>646</v>
      </c>
      <c r="H357" s="31">
        <v>1.2</v>
      </c>
      <c r="I357" s="8">
        <f t="shared" si="13"/>
        <v>50</v>
      </c>
      <c r="J357" s="31" t="s">
        <v>110</v>
      </c>
      <c r="K357" s="63" t="s">
        <v>111</v>
      </c>
    </row>
    <row r="358" spans="4:11">
      <c r="D358" s="13" t="s">
        <v>763</v>
      </c>
      <c r="E358" s="7">
        <f t="shared" si="12"/>
        <v>347</v>
      </c>
      <c r="F358" s="7" t="s">
        <v>764</v>
      </c>
      <c r="G358" s="7" t="s">
        <v>765</v>
      </c>
      <c r="H358" s="31">
        <v>0</v>
      </c>
      <c r="I358" s="8" t="e">
        <f t="shared" si="13"/>
        <v>#DIV/0!</v>
      </c>
      <c r="J358" s="31" t="s">
        <v>105</v>
      </c>
      <c r="K358" s="63" t="s">
        <v>106</v>
      </c>
    </row>
    <row r="359" spans="4:11">
      <c r="D359" s="13" t="s">
        <v>766</v>
      </c>
      <c r="E359" s="7">
        <f t="shared" si="12"/>
        <v>348</v>
      </c>
      <c r="F359" s="7" t="s">
        <v>767</v>
      </c>
      <c r="G359" s="7" t="s">
        <v>765</v>
      </c>
      <c r="H359" s="31">
        <v>0</v>
      </c>
      <c r="I359" s="8" t="e">
        <f t="shared" si="13"/>
        <v>#DIV/0!</v>
      </c>
      <c r="J359" s="31" t="s">
        <v>110</v>
      </c>
      <c r="K359" s="63" t="s">
        <v>106</v>
      </c>
    </row>
    <row r="360" spans="4:11">
      <c r="D360" s="13" t="s">
        <v>768</v>
      </c>
      <c r="E360" s="7">
        <f t="shared" si="12"/>
        <v>349</v>
      </c>
      <c r="F360" s="7" t="s">
        <v>769</v>
      </c>
      <c r="G360" s="7" t="s">
        <v>765</v>
      </c>
      <c r="H360" s="31">
        <v>0.6</v>
      </c>
      <c r="I360" s="8">
        <f t="shared" si="13"/>
        <v>100</v>
      </c>
      <c r="J360" s="31" t="s">
        <v>105</v>
      </c>
      <c r="K360" s="63" t="s">
        <v>106</v>
      </c>
    </row>
    <row r="361" spans="4:11">
      <c r="D361" s="13" t="s">
        <v>770</v>
      </c>
      <c r="E361" s="7">
        <f t="shared" si="12"/>
        <v>350</v>
      </c>
      <c r="F361" s="7" t="s">
        <v>771</v>
      </c>
      <c r="G361" s="7" t="s">
        <v>765</v>
      </c>
      <c r="H361" s="31">
        <v>0</v>
      </c>
      <c r="I361" s="8" t="e">
        <f t="shared" si="13"/>
        <v>#DIV/0!</v>
      </c>
      <c r="J361" s="31" t="s">
        <v>105</v>
      </c>
      <c r="K361" s="63" t="s">
        <v>106</v>
      </c>
    </row>
    <row r="362" spans="4:11">
      <c r="D362" s="13" t="s">
        <v>772</v>
      </c>
      <c r="E362" s="7">
        <f t="shared" si="12"/>
        <v>351</v>
      </c>
      <c r="F362" s="7" t="s">
        <v>773</v>
      </c>
      <c r="G362" s="7" t="s">
        <v>646</v>
      </c>
      <c r="H362" s="31">
        <v>0.65</v>
      </c>
      <c r="I362" s="8">
        <f t="shared" si="13"/>
        <v>92.307692307692307</v>
      </c>
      <c r="J362" s="31" t="s">
        <v>105</v>
      </c>
      <c r="K362" s="63" t="s">
        <v>106</v>
      </c>
    </row>
    <row r="363" spans="4:11">
      <c r="D363" s="13" t="s">
        <v>774</v>
      </c>
      <c r="E363" s="7">
        <f t="shared" si="12"/>
        <v>352</v>
      </c>
      <c r="F363" s="7" t="s">
        <v>775</v>
      </c>
      <c r="G363" s="7" t="s">
        <v>646</v>
      </c>
      <c r="H363" s="31">
        <v>0.75</v>
      </c>
      <c r="I363" s="8">
        <f t="shared" si="13"/>
        <v>80</v>
      </c>
      <c r="J363" s="31" t="s">
        <v>105</v>
      </c>
      <c r="K363" s="63" t="s">
        <v>111</v>
      </c>
    </row>
    <row r="364" spans="4:11">
      <c r="D364" s="13" t="s">
        <v>776</v>
      </c>
      <c r="E364" s="7">
        <f t="shared" si="12"/>
        <v>353</v>
      </c>
      <c r="F364" s="7" t="s">
        <v>777</v>
      </c>
      <c r="G364" s="7" t="s">
        <v>646</v>
      </c>
      <c r="H364" s="31">
        <v>0.6</v>
      </c>
      <c r="I364" s="8">
        <f t="shared" si="13"/>
        <v>100</v>
      </c>
      <c r="J364" s="31" t="s">
        <v>105</v>
      </c>
      <c r="K364" s="63" t="s">
        <v>111</v>
      </c>
    </row>
    <row r="365" spans="4:11">
      <c r="D365" s="13" t="s">
        <v>778</v>
      </c>
      <c r="E365" s="7">
        <f t="shared" si="12"/>
        <v>354</v>
      </c>
      <c r="F365" s="7" t="s">
        <v>779</v>
      </c>
      <c r="G365" s="7" t="s">
        <v>646</v>
      </c>
      <c r="H365" s="31">
        <v>0.25</v>
      </c>
      <c r="I365" s="8">
        <f t="shared" si="13"/>
        <v>240</v>
      </c>
      <c r="J365" s="31" t="s">
        <v>105</v>
      </c>
      <c r="K365" s="63" t="s">
        <v>106</v>
      </c>
    </row>
    <row r="366" spans="4:11">
      <c r="D366" s="13" t="s">
        <v>780</v>
      </c>
      <c r="E366" s="7">
        <f t="shared" si="12"/>
        <v>355</v>
      </c>
      <c r="F366" s="7" t="s">
        <v>781</v>
      </c>
      <c r="G366" s="7" t="s">
        <v>646</v>
      </c>
      <c r="H366" s="31">
        <v>0.25</v>
      </c>
      <c r="I366" s="8">
        <f t="shared" si="13"/>
        <v>240</v>
      </c>
      <c r="J366" s="31" t="s">
        <v>105</v>
      </c>
      <c r="K366" s="63" t="s">
        <v>111</v>
      </c>
    </row>
    <row r="367" spans="4:11">
      <c r="D367" s="13" t="s">
        <v>782</v>
      </c>
      <c r="E367" s="7">
        <f t="shared" si="12"/>
        <v>356</v>
      </c>
      <c r="F367" s="7" t="s">
        <v>783</v>
      </c>
      <c r="G367" s="7" t="s">
        <v>646</v>
      </c>
      <c r="H367" s="31">
        <v>0.85</v>
      </c>
      <c r="I367" s="8">
        <f t="shared" si="13"/>
        <v>70.588235294117652</v>
      </c>
      <c r="J367" s="31" t="s">
        <v>105</v>
      </c>
      <c r="K367" s="63" t="s">
        <v>111</v>
      </c>
    </row>
    <row r="368" spans="4:11">
      <c r="D368" s="13" t="s">
        <v>784</v>
      </c>
      <c r="E368" s="7">
        <f t="shared" si="12"/>
        <v>357</v>
      </c>
      <c r="F368" s="7" t="s">
        <v>785</v>
      </c>
      <c r="G368" s="7" t="s">
        <v>646</v>
      </c>
      <c r="H368" s="31">
        <v>0.85</v>
      </c>
      <c r="I368" s="8">
        <f t="shared" si="13"/>
        <v>70.588235294117652</v>
      </c>
      <c r="J368" s="31" t="s">
        <v>105</v>
      </c>
      <c r="K368" s="63" t="s">
        <v>106</v>
      </c>
    </row>
    <row r="369" spans="4:11">
      <c r="D369" s="13" t="s">
        <v>786</v>
      </c>
      <c r="E369" s="7">
        <f t="shared" si="12"/>
        <v>358</v>
      </c>
      <c r="F369" s="7" t="s">
        <v>787</v>
      </c>
      <c r="G369" s="7" t="s">
        <v>646</v>
      </c>
      <c r="H369" s="31">
        <v>0.95</v>
      </c>
      <c r="I369" s="8">
        <f t="shared" si="13"/>
        <v>63.15789473684211</v>
      </c>
      <c r="J369" s="31" t="s">
        <v>105</v>
      </c>
      <c r="K369" s="63" t="s">
        <v>111</v>
      </c>
    </row>
    <row r="370" spans="4:11">
      <c r="D370" s="13" t="s">
        <v>788</v>
      </c>
      <c r="E370" s="7">
        <f t="shared" si="12"/>
        <v>359</v>
      </c>
      <c r="F370" s="7" t="s">
        <v>789</v>
      </c>
      <c r="G370" s="7" t="s">
        <v>646</v>
      </c>
      <c r="H370" s="31">
        <v>0.75</v>
      </c>
      <c r="I370" s="8">
        <f t="shared" si="13"/>
        <v>80</v>
      </c>
      <c r="J370" s="31" t="s">
        <v>105</v>
      </c>
      <c r="K370" s="63" t="s">
        <v>111</v>
      </c>
    </row>
    <row r="371" spans="4:11">
      <c r="D371" s="13" t="s">
        <v>790</v>
      </c>
      <c r="E371" s="7">
        <f t="shared" si="12"/>
        <v>360</v>
      </c>
      <c r="F371" s="7" t="s">
        <v>791</v>
      </c>
      <c r="G371" s="7" t="s">
        <v>646</v>
      </c>
      <c r="H371" s="31">
        <v>0.98</v>
      </c>
      <c r="I371" s="8">
        <f t="shared" si="13"/>
        <v>61.224489795918366</v>
      </c>
      <c r="J371" s="31" t="s">
        <v>105</v>
      </c>
      <c r="K371" s="63" t="s">
        <v>111</v>
      </c>
    </row>
    <row r="372" spans="4:11">
      <c r="D372" s="13" t="s">
        <v>792</v>
      </c>
      <c r="E372" s="7">
        <f t="shared" si="12"/>
        <v>361</v>
      </c>
      <c r="F372" s="7" t="s">
        <v>793</v>
      </c>
      <c r="G372" s="7" t="s">
        <v>646</v>
      </c>
      <c r="H372" s="31">
        <v>0.75</v>
      </c>
      <c r="I372" s="8">
        <f t="shared" si="13"/>
        <v>80</v>
      </c>
      <c r="J372" s="31" t="s">
        <v>105</v>
      </c>
      <c r="K372" s="63" t="s">
        <v>111</v>
      </c>
    </row>
    <row r="373" spans="4:11">
      <c r="D373" s="13" t="s">
        <v>794</v>
      </c>
      <c r="E373" s="7">
        <f t="shared" si="12"/>
        <v>362</v>
      </c>
      <c r="F373" s="7" t="s">
        <v>795</v>
      </c>
      <c r="G373" s="7" t="s">
        <v>646</v>
      </c>
      <c r="H373" s="31">
        <v>0.5</v>
      </c>
      <c r="I373" s="8">
        <f t="shared" si="13"/>
        <v>120</v>
      </c>
      <c r="J373" s="31" t="s">
        <v>105</v>
      </c>
      <c r="K373" s="63" t="s">
        <v>111</v>
      </c>
    </row>
    <row r="374" spans="4:11">
      <c r="D374" s="13" t="s">
        <v>796</v>
      </c>
      <c r="E374" s="7">
        <f t="shared" si="12"/>
        <v>363</v>
      </c>
      <c r="F374" s="7" t="s">
        <v>797</v>
      </c>
      <c r="G374" s="7" t="s">
        <v>646</v>
      </c>
      <c r="H374" s="31">
        <v>0.88</v>
      </c>
      <c r="I374" s="8">
        <f t="shared" si="13"/>
        <v>68.181818181818187</v>
      </c>
      <c r="J374" s="31" t="s">
        <v>105</v>
      </c>
      <c r="K374" s="63" t="s">
        <v>111</v>
      </c>
    </row>
    <row r="375" spans="4:11">
      <c r="D375" s="13" t="s">
        <v>798</v>
      </c>
      <c r="E375" s="7">
        <f t="shared" si="12"/>
        <v>364</v>
      </c>
      <c r="F375" s="7" t="s">
        <v>799</v>
      </c>
      <c r="G375" s="7" t="s">
        <v>646</v>
      </c>
      <c r="H375" s="31">
        <v>0.4</v>
      </c>
      <c r="I375" s="8">
        <f t="shared" si="13"/>
        <v>150</v>
      </c>
      <c r="J375" s="31" t="s">
        <v>105</v>
      </c>
      <c r="K375" s="63" t="s">
        <v>111</v>
      </c>
    </row>
    <row r="376" spans="4:11">
      <c r="D376" s="13" t="s">
        <v>800</v>
      </c>
      <c r="E376" s="7">
        <f t="shared" si="12"/>
        <v>365</v>
      </c>
      <c r="F376" s="7" t="s">
        <v>801</v>
      </c>
      <c r="G376" s="7" t="s">
        <v>646</v>
      </c>
      <c r="H376" s="31">
        <v>0.3</v>
      </c>
      <c r="I376" s="8">
        <f t="shared" si="13"/>
        <v>200</v>
      </c>
      <c r="J376" s="31" t="s">
        <v>105</v>
      </c>
      <c r="K376" s="63" t="s">
        <v>111</v>
      </c>
    </row>
    <row r="377" spans="4:11">
      <c r="D377" s="13" t="s">
        <v>802</v>
      </c>
      <c r="E377" s="7">
        <f t="shared" si="12"/>
        <v>366</v>
      </c>
      <c r="F377" s="7" t="s">
        <v>803</v>
      </c>
      <c r="G377" s="7" t="s">
        <v>804</v>
      </c>
      <c r="H377" s="31">
        <v>0.17</v>
      </c>
      <c r="I377" s="8">
        <f t="shared" si="13"/>
        <v>352.94117647058823</v>
      </c>
      <c r="J377" s="31" t="s">
        <v>105</v>
      </c>
      <c r="K377" s="63" t="s">
        <v>111</v>
      </c>
    </row>
    <row r="378" spans="4:11">
      <c r="D378" s="13" t="s">
        <v>805</v>
      </c>
      <c r="E378" s="7">
        <f t="shared" si="12"/>
        <v>367</v>
      </c>
      <c r="F378" s="7" t="s">
        <v>806</v>
      </c>
      <c r="G378" s="7" t="s">
        <v>804</v>
      </c>
      <c r="H378" s="31">
        <v>0.08</v>
      </c>
      <c r="I378" s="8">
        <f t="shared" si="13"/>
        <v>750</v>
      </c>
      <c r="J378" s="31" t="s">
        <v>105</v>
      </c>
      <c r="K378" s="63" t="s">
        <v>106</v>
      </c>
    </row>
    <row r="379" spans="4:11">
      <c r="D379" s="13" t="s">
        <v>807</v>
      </c>
      <c r="E379" s="7">
        <f t="shared" si="12"/>
        <v>368</v>
      </c>
      <c r="F379" s="7" t="s">
        <v>808</v>
      </c>
      <c r="G379" s="7" t="s">
        <v>804</v>
      </c>
      <c r="H379" s="31">
        <v>0.17</v>
      </c>
      <c r="I379" s="8">
        <f t="shared" si="13"/>
        <v>352.94117647058823</v>
      </c>
      <c r="J379" s="31" t="s">
        <v>105</v>
      </c>
      <c r="K379" s="63" t="s">
        <v>111</v>
      </c>
    </row>
    <row r="380" spans="4:11">
      <c r="D380" s="13" t="s">
        <v>809</v>
      </c>
      <c r="E380" s="7">
        <f t="shared" si="12"/>
        <v>369</v>
      </c>
      <c r="F380" s="7" t="s">
        <v>810</v>
      </c>
      <c r="G380" s="7" t="s">
        <v>804</v>
      </c>
      <c r="H380" s="31">
        <v>0.34</v>
      </c>
      <c r="I380" s="8">
        <f t="shared" si="13"/>
        <v>176.47058823529412</v>
      </c>
      <c r="J380" s="31" t="s">
        <v>105</v>
      </c>
      <c r="K380" s="63" t="s">
        <v>111</v>
      </c>
    </row>
    <row r="381" spans="4:11">
      <c r="D381" s="13" t="s">
        <v>811</v>
      </c>
      <c r="E381" s="7">
        <f t="shared" si="12"/>
        <v>370</v>
      </c>
      <c r="F381" s="7" t="s">
        <v>812</v>
      </c>
      <c r="G381" s="7" t="s">
        <v>804</v>
      </c>
      <c r="H381" s="31">
        <v>0.21</v>
      </c>
      <c r="I381" s="8">
        <f t="shared" si="13"/>
        <v>285.71428571428572</v>
      </c>
      <c r="J381" s="31" t="s">
        <v>105</v>
      </c>
      <c r="K381" s="63" t="s">
        <v>111</v>
      </c>
    </row>
    <row r="382" spans="4:11">
      <c r="D382" s="13" t="s">
        <v>813</v>
      </c>
      <c r="E382" s="7">
        <f t="shared" si="12"/>
        <v>371</v>
      </c>
      <c r="F382" s="7" t="s">
        <v>814</v>
      </c>
      <c r="G382" s="7" t="s">
        <v>804</v>
      </c>
      <c r="H382" s="31">
        <v>0</v>
      </c>
      <c r="I382" s="8" t="e">
        <f t="shared" si="13"/>
        <v>#DIV/0!</v>
      </c>
      <c r="J382" s="31" t="s">
        <v>105</v>
      </c>
      <c r="K382" s="63" t="s">
        <v>106</v>
      </c>
    </row>
    <row r="383" spans="4:11">
      <c r="D383" s="13" t="s">
        <v>815</v>
      </c>
      <c r="E383" s="7">
        <f t="shared" si="12"/>
        <v>372</v>
      </c>
      <c r="F383" s="7" t="s">
        <v>816</v>
      </c>
      <c r="G383" s="7" t="s">
        <v>804</v>
      </c>
      <c r="H383" s="31">
        <v>0.2</v>
      </c>
      <c r="I383" s="8">
        <f t="shared" si="13"/>
        <v>300</v>
      </c>
      <c r="J383" s="31" t="s">
        <v>105</v>
      </c>
      <c r="K383" s="63" t="s">
        <v>111</v>
      </c>
    </row>
    <row r="384" spans="4:11">
      <c r="D384" s="13" t="s">
        <v>817</v>
      </c>
      <c r="E384" s="7">
        <f t="shared" si="12"/>
        <v>373</v>
      </c>
      <c r="F384" s="7" t="s">
        <v>818</v>
      </c>
      <c r="G384" s="7" t="s">
        <v>804</v>
      </c>
      <c r="H384" s="31">
        <v>0.5</v>
      </c>
      <c r="I384" s="8">
        <f t="shared" si="13"/>
        <v>120</v>
      </c>
      <c r="J384" s="31" t="s">
        <v>105</v>
      </c>
      <c r="K384" s="63" t="s">
        <v>111</v>
      </c>
    </row>
    <row r="385" spans="4:11">
      <c r="D385" s="13" t="s">
        <v>819</v>
      </c>
      <c r="E385" s="7">
        <f t="shared" si="12"/>
        <v>374</v>
      </c>
      <c r="F385" s="7" t="s">
        <v>820</v>
      </c>
      <c r="G385" s="7" t="s">
        <v>804</v>
      </c>
      <c r="H385" s="31">
        <v>0.5</v>
      </c>
      <c r="I385" s="8">
        <f t="shared" si="13"/>
        <v>120</v>
      </c>
      <c r="J385" s="31" t="s">
        <v>105</v>
      </c>
      <c r="K385" s="63" t="s">
        <v>111</v>
      </c>
    </row>
    <row r="386" spans="4:11">
      <c r="D386" s="13" t="s">
        <v>821</v>
      </c>
      <c r="E386" s="7">
        <f t="shared" si="12"/>
        <v>375</v>
      </c>
      <c r="F386" s="7" t="s">
        <v>822</v>
      </c>
      <c r="G386" s="7" t="s">
        <v>804</v>
      </c>
      <c r="H386" s="31">
        <v>0</v>
      </c>
      <c r="I386" s="8" t="e">
        <f t="shared" si="13"/>
        <v>#DIV/0!</v>
      </c>
      <c r="J386" s="31" t="s">
        <v>105</v>
      </c>
      <c r="K386" s="63" t="s">
        <v>106</v>
      </c>
    </row>
    <row r="387" spans="4:11">
      <c r="D387" s="13" t="s">
        <v>823</v>
      </c>
      <c r="E387" s="7">
        <f t="shared" si="12"/>
        <v>376</v>
      </c>
      <c r="F387" s="7" t="s">
        <v>824</v>
      </c>
      <c r="G387" s="7" t="s">
        <v>804</v>
      </c>
      <c r="H387" s="31">
        <v>0.25</v>
      </c>
      <c r="I387" s="8">
        <f t="shared" si="13"/>
        <v>240</v>
      </c>
      <c r="J387" s="31" t="s">
        <v>105</v>
      </c>
      <c r="K387" s="63" t="s">
        <v>111</v>
      </c>
    </row>
    <row r="388" spans="4:11">
      <c r="D388" s="13" t="s">
        <v>825</v>
      </c>
      <c r="E388" s="7">
        <f t="shared" si="12"/>
        <v>377</v>
      </c>
      <c r="F388" s="7" t="s">
        <v>826</v>
      </c>
      <c r="G388" s="7" t="s">
        <v>804</v>
      </c>
      <c r="H388" s="31">
        <v>0.15</v>
      </c>
      <c r="I388" s="8">
        <f t="shared" si="13"/>
        <v>400</v>
      </c>
      <c r="J388" s="31" t="s">
        <v>105</v>
      </c>
      <c r="K388" s="63" t="s">
        <v>111</v>
      </c>
    </row>
    <row r="389" spans="4:11">
      <c r="D389" s="13" t="s">
        <v>827</v>
      </c>
      <c r="E389" s="7">
        <f t="shared" si="12"/>
        <v>378</v>
      </c>
      <c r="F389" s="7" t="s">
        <v>828</v>
      </c>
      <c r="G389" s="7" t="s">
        <v>804</v>
      </c>
      <c r="H389" s="31">
        <v>0.53</v>
      </c>
      <c r="I389" s="8">
        <f t="shared" si="13"/>
        <v>113.20754716981132</v>
      </c>
      <c r="J389" s="31" t="s">
        <v>105</v>
      </c>
      <c r="K389" s="63" t="s">
        <v>111</v>
      </c>
    </row>
    <row r="390" spans="4:11">
      <c r="D390" s="13" t="s">
        <v>829</v>
      </c>
      <c r="E390" s="7">
        <f t="shared" si="12"/>
        <v>379</v>
      </c>
      <c r="F390" s="7" t="s">
        <v>830</v>
      </c>
      <c r="G390" s="7" t="s">
        <v>804</v>
      </c>
      <c r="H390" s="31">
        <v>0.3</v>
      </c>
      <c r="I390" s="8">
        <f t="shared" si="13"/>
        <v>200</v>
      </c>
      <c r="J390" s="31" t="s">
        <v>105</v>
      </c>
      <c r="K390" s="63" t="s">
        <v>111</v>
      </c>
    </row>
    <row r="391" spans="4:11">
      <c r="D391" s="13" t="s">
        <v>831</v>
      </c>
      <c r="E391" s="7">
        <f t="shared" si="12"/>
        <v>380</v>
      </c>
      <c r="F391" s="7" t="s">
        <v>103</v>
      </c>
      <c r="G391" s="7" t="s">
        <v>104</v>
      </c>
      <c r="H391" s="31">
        <v>0.24199999999999999</v>
      </c>
      <c r="I391" s="8">
        <f t="shared" si="13"/>
        <v>247.93388429752068</v>
      </c>
      <c r="J391" s="31" t="s">
        <v>105</v>
      </c>
      <c r="K391" s="63" t="s">
        <v>106</v>
      </c>
    </row>
    <row r="392" spans="4:11">
      <c r="D392" s="13" t="s">
        <v>832</v>
      </c>
      <c r="E392" s="7">
        <f t="shared" si="12"/>
        <v>381</v>
      </c>
      <c r="F392" s="7" t="s">
        <v>147</v>
      </c>
      <c r="G392" s="7" t="s">
        <v>104</v>
      </c>
      <c r="H392" s="31">
        <v>0.71499999999999997</v>
      </c>
      <c r="I392" s="8">
        <f t="shared" si="13"/>
        <v>83.91608391608392</v>
      </c>
      <c r="J392" s="31" t="s">
        <v>105</v>
      </c>
      <c r="K392" s="63" t="s">
        <v>111</v>
      </c>
    </row>
    <row r="393" spans="4:11">
      <c r="D393" s="13" t="s">
        <v>833</v>
      </c>
      <c r="E393" s="7">
        <f t="shared" si="12"/>
        <v>382</v>
      </c>
      <c r="F393" s="7" t="s">
        <v>163</v>
      </c>
      <c r="G393" s="7" t="s">
        <v>104</v>
      </c>
      <c r="H393" s="31">
        <v>0.27115</v>
      </c>
      <c r="I393" s="8">
        <f t="shared" si="13"/>
        <v>221.27973446431864</v>
      </c>
      <c r="J393" s="31" t="s">
        <v>105</v>
      </c>
      <c r="K393" s="63" t="s">
        <v>111</v>
      </c>
    </row>
    <row r="394" spans="4:11">
      <c r="D394" s="13" t="s">
        <v>834</v>
      </c>
      <c r="E394" s="7">
        <f t="shared" si="12"/>
        <v>383</v>
      </c>
      <c r="F394" s="7" t="s">
        <v>165</v>
      </c>
      <c r="G394" s="7" t="s">
        <v>104</v>
      </c>
      <c r="H394" s="31">
        <v>0.19800000000000001</v>
      </c>
      <c r="I394" s="8">
        <f t="shared" si="13"/>
        <v>303.030303030303</v>
      </c>
      <c r="J394" s="31" t="s">
        <v>105</v>
      </c>
      <c r="K394" s="63" t="s">
        <v>111</v>
      </c>
    </row>
    <row r="395" spans="4:11">
      <c r="D395" s="13" t="s">
        <v>835</v>
      </c>
      <c r="E395" s="7">
        <f t="shared" si="12"/>
        <v>384</v>
      </c>
      <c r="F395" s="7" t="s">
        <v>233</v>
      </c>
      <c r="G395" s="7" t="s">
        <v>229</v>
      </c>
      <c r="H395" s="31">
        <v>0.64900000000000002</v>
      </c>
      <c r="I395" s="8">
        <f t="shared" si="13"/>
        <v>92.449922958397536</v>
      </c>
      <c r="J395" s="31" t="s">
        <v>105</v>
      </c>
      <c r="K395" s="63" t="s">
        <v>111</v>
      </c>
    </row>
    <row r="396" spans="4:11">
      <c r="D396" s="13" t="s">
        <v>836</v>
      </c>
      <c r="E396" s="7">
        <f t="shared" si="12"/>
        <v>385</v>
      </c>
      <c r="F396" s="7" t="s">
        <v>237</v>
      </c>
      <c r="G396" s="7" t="s">
        <v>229</v>
      </c>
      <c r="H396" s="31">
        <v>0.27500000000000002</v>
      </c>
      <c r="I396" s="8">
        <f t="shared" si="13"/>
        <v>218.18181818181816</v>
      </c>
      <c r="J396" s="31" t="s">
        <v>105</v>
      </c>
      <c r="K396" s="63" t="s">
        <v>106</v>
      </c>
    </row>
    <row r="397" spans="4:11">
      <c r="D397" s="13" t="s">
        <v>837</v>
      </c>
      <c r="E397" s="7">
        <f t="shared" si="12"/>
        <v>386</v>
      </c>
      <c r="F397" s="7" t="s">
        <v>239</v>
      </c>
      <c r="G397" s="7" t="s">
        <v>229</v>
      </c>
      <c r="H397" s="31">
        <v>0.26400000000000001</v>
      </c>
      <c r="I397" s="8">
        <f t="shared" si="13"/>
        <v>227.27272727272725</v>
      </c>
      <c r="J397" s="31" t="s">
        <v>105</v>
      </c>
      <c r="K397" s="63" t="s">
        <v>106</v>
      </c>
    </row>
    <row r="398" spans="4:11">
      <c r="D398" s="13" t="s">
        <v>838</v>
      </c>
      <c r="E398" s="7">
        <f t="shared" ref="E398:E431" si="14">E397+1</f>
        <v>387</v>
      </c>
      <c r="F398" s="7" t="s">
        <v>243</v>
      </c>
      <c r="G398" s="7" t="s">
        <v>229</v>
      </c>
      <c r="H398" s="31">
        <v>0.55000000000000004</v>
      </c>
      <c r="I398" s="8">
        <f t="shared" si="13"/>
        <v>109.09090909090908</v>
      </c>
      <c r="J398" s="31" t="s">
        <v>105</v>
      </c>
      <c r="K398" s="63" t="s">
        <v>106</v>
      </c>
    </row>
    <row r="399" spans="4:11">
      <c r="D399" s="13" t="s">
        <v>839</v>
      </c>
      <c r="E399" s="7">
        <f t="shared" si="14"/>
        <v>388</v>
      </c>
      <c r="F399" s="7" t="s">
        <v>840</v>
      </c>
      <c r="G399" s="7" t="s">
        <v>229</v>
      </c>
      <c r="H399" s="31">
        <v>0.68200000000000005</v>
      </c>
      <c r="I399" s="8">
        <f t="shared" si="13"/>
        <v>87.976539589442808</v>
      </c>
      <c r="J399" s="31" t="s">
        <v>105</v>
      </c>
      <c r="K399" s="63" t="s">
        <v>111</v>
      </c>
    </row>
    <row r="400" spans="4:11">
      <c r="D400" s="13" t="s">
        <v>841</v>
      </c>
      <c r="E400" s="7">
        <f t="shared" si="14"/>
        <v>389</v>
      </c>
      <c r="F400" s="7" t="s">
        <v>247</v>
      </c>
      <c r="G400" s="7" t="s">
        <v>229</v>
      </c>
      <c r="H400" s="31">
        <v>0.20558999999999999</v>
      </c>
      <c r="I400" s="8">
        <f t="shared" si="13"/>
        <v>291.84298847220197</v>
      </c>
      <c r="J400" s="31" t="s">
        <v>105</v>
      </c>
      <c r="K400" s="63" t="s">
        <v>111</v>
      </c>
    </row>
    <row r="401" spans="4:11">
      <c r="D401" s="13" t="s">
        <v>842</v>
      </c>
      <c r="E401" s="7">
        <f t="shared" si="14"/>
        <v>390</v>
      </c>
      <c r="F401" s="7" t="s">
        <v>251</v>
      </c>
      <c r="G401" s="7" t="s">
        <v>229</v>
      </c>
      <c r="H401" s="31">
        <v>0.22</v>
      </c>
      <c r="I401" s="8">
        <f t="shared" si="13"/>
        <v>272.72727272727275</v>
      </c>
      <c r="J401" s="31" t="s">
        <v>105</v>
      </c>
      <c r="K401" s="63" t="s">
        <v>111</v>
      </c>
    </row>
    <row r="402" spans="4:11">
      <c r="D402" s="13" t="s">
        <v>843</v>
      </c>
      <c r="E402" s="7">
        <f t="shared" si="14"/>
        <v>391</v>
      </c>
      <c r="F402" s="7" t="s">
        <v>310</v>
      </c>
      <c r="G402" s="7" t="s">
        <v>298</v>
      </c>
      <c r="H402" s="31">
        <v>0.44</v>
      </c>
      <c r="I402" s="8">
        <f t="shared" si="13"/>
        <v>136.36363636363637</v>
      </c>
      <c r="J402" s="31" t="s">
        <v>105</v>
      </c>
      <c r="K402" s="63" t="s">
        <v>111</v>
      </c>
    </row>
    <row r="403" spans="4:11">
      <c r="D403" s="13" t="s">
        <v>844</v>
      </c>
      <c r="E403" s="7">
        <f t="shared" si="14"/>
        <v>392</v>
      </c>
      <c r="F403" s="7" t="s">
        <v>314</v>
      </c>
      <c r="G403" s="7" t="s">
        <v>298</v>
      </c>
      <c r="H403" s="31">
        <v>0.24199999999999999</v>
      </c>
      <c r="I403" s="8">
        <f t="shared" ref="I403:I430" si="15">60/H403</f>
        <v>247.93388429752068</v>
      </c>
      <c r="J403" s="31" t="s">
        <v>105</v>
      </c>
      <c r="K403" s="63" t="s">
        <v>111</v>
      </c>
    </row>
    <row r="404" spans="4:11">
      <c r="D404" s="13" t="s">
        <v>845</v>
      </c>
      <c r="E404" s="7">
        <f t="shared" si="14"/>
        <v>393</v>
      </c>
      <c r="F404" s="7" t="s">
        <v>316</v>
      </c>
      <c r="G404" s="7" t="s">
        <v>298</v>
      </c>
      <c r="H404" s="31">
        <v>0.71499999999999997</v>
      </c>
      <c r="I404" s="8">
        <f t="shared" si="15"/>
        <v>83.91608391608392</v>
      </c>
      <c r="J404" s="31" t="s">
        <v>105</v>
      </c>
      <c r="K404" s="63" t="s">
        <v>111</v>
      </c>
    </row>
    <row r="405" spans="4:11">
      <c r="D405" s="13" t="s">
        <v>846</v>
      </c>
      <c r="E405" s="7">
        <f t="shared" si="14"/>
        <v>394</v>
      </c>
      <c r="F405" s="7" t="s">
        <v>414</v>
      </c>
      <c r="G405" s="7" t="s">
        <v>399</v>
      </c>
      <c r="H405" s="31">
        <v>0.60499999999999998</v>
      </c>
      <c r="I405" s="8">
        <f t="shared" si="15"/>
        <v>99.173553719008268</v>
      </c>
      <c r="J405" s="31" t="s">
        <v>110</v>
      </c>
      <c r="K405" s="63" t="s">
        <v>106</v>
      </c>
    </row>
    <row r="406" spans="4:11">
      <c r="D406" s="13" t="s">
        <v>847</v>
      </c>
      <c r="E406" s="7">
        <f t="shared" si="14"/>
        <v>395</v>
      </c>
      <c r="F406" s="7" t="s">
        <v>418</v>
      </c>
      <c r="G406" s="7" t="s">
        <v>399</v>
      </c>
      <c r="H406" s="31">
        <v>0.31900000000000001</v>
      </c>
      <c r="I406" s="8">
        <f t="shared" si="15"/>
        <v>188.08777429467085</v>
      </c>
      <c r="J406" s="31" t="s">
        <v>110</v>
      </c>
      <c r="K406" s="63" t="s">
        <v>111</v>
      </c>
    </row>
    <row r="407" spans="4:11">
      <c r="D407" s="13" t="s">
        <v>848</v>
      </c>
      <c r="E407" s="7">
        <f t="shared" si="14"/>
        <v>396</v>
      </c>
      <c r="F407" s="7" t="s">
        <v>849</v>
      </c>
      <c r="G407" s="7" t="s">
        <v>399</v>
      </c>
      <c r="H407" s="31">
        <v>0.79200000000000004</v>
      </c>
      <c r="I407" s="8">
        <f t="shared" si="15"/>
        <v>75.757575757575751</v>
      </c>
      <c r="J407" s="31" t="s">
        <v>110</v>
      </c>
      <c r="K407" s="63" t="s">
        <v>111</v>
      </c>
    </row>
    <row r="408" spans="4:11">
      <c r="D408" s="13" t="s">
        <v>850</v>
      </c>
      <c r="E408" s="7">
        <f t="shared" si="14"/>
        <v>397</v>
      </c>
      <c r="F408" s="7" t="s">
        <v>422</v>
      </c>
      <c r="G408" s="7" t="s">
        <v>399</v>
      </c>
      <c r="H408" s="31">
        <v>0.495</v>
      </c>
      <c r="I408" s="8">
        <f t="shared" si="15"/>
        <v>121.21212121212122</v>
      </c>
      <c r="J408" s="31" t="s">
        <v>105</v>
      </c>
      <c r="K408" s="63" t="s">
        <v>111</v>
      </c>
    </row>
    <row r="409" spans="4:11">
      <c r="D409" s="13" t="s">
        <v>851</v>
      </c>
      <c r="E409" s="7">
        <f t="shared" si="14"/>
        <v>398</v>
      </c>
      <c r="F409" s="7" t="s">
        <v>424</v>
      </c>
      <c r="G409" s="7" t="s">
        <v>399</v>
      </c>
      <c r="H409" s="31">
        <v>0.495</v>
      </c>
      <c r="I409" s="8">
        <f t="shared" si="15"/>
        <v>121.21212121212122</v>
      </c>
      <c r="J409" s="31" t="s">
        <v>105</v>
      </c>
      <c r="K409" s="63" t="s">
        <v>111</v>
      </c>
    </row>
    <row r="410" spans="4:11">
      <c r="D410" s="13" t="s">
        <v>449</v>
      </c>
      <c r="E410" s="7">
        <f t="shared" si="14"/>
        <v>399</v>
      </c>
      <c r="F410" s="7" t="s">
        <v>852</v>
      </c>
      <c r="G410" s="7" t="s">
        <v>399</v>
      </c>
      <c r="H410" s="31">
        <v>1.3</v>
      </c>
      <c r="I410" s="8">
        <f t="shared" si="15"/>
        <v>46.153846153846153</v>
      </c>
      <c r="J410" s="31" t="s">
        <v>110</v>
      </c>
      <c r="K410" s="63" t="s">
        <v>111</v>
      </c>
    </row>
    <row r="411" spans="4:11">
      <c r="D411" s="13" t="s">
        <v>853</v>
      </c>
      <c r="E411" s="7">
        <f t="shared" si="14"/>
        <v>400</v>
      </c>
      <c r="F411" s="7" t="s">
        <v>412</v>
      </c>
      <c r="G411" s="7" t="s">
        <v>399</v>
      </c>
      <c r="H411" s="31">
        <v>0.33</v>
      </c>
      <c r="I411" s="8">
        <f t="shared" si="15"/>
        <v>181.81818181818181</v>
      </c>
      <c r="J411" s="31" t="s">
        <v>110</v>
      </c>
      <c r="K411" s="63" t="s">
        <v>111</v>
      </c>
    </row>
    <row r="412" spans="4:11">
      <c r="D412" s="13" t="s">
        <v>854</v>
      </c>
      <c r="E412" s="7">
        <f t="shared" si="14"/>
        <v>401</v>
      </c>
      <c r="F412" s="7" t="s">
        <v>428</v>
      </c>
      <c r="G412" s="7" t="s">
        <v>399</v>
      </c>
      <c r="H412" s="31">
        <v>0.27500000000000002</v>
      </c>
      <c r="I412" s="8">
        <f t="shared" si="15"/>
        <v>218.18181818181816</v>
      </c>
      <c r="J412" s="31" t="s">
        <v>105</v>
      </c>
      <c r="K412" s="63" t="s">
        <v>111</v>
      </c>
    </row>
    <row r="413" spans="4:11">
      <c r="D413" s="13" t="s">
        <v>855</v>
      </c>
      <c r="E413" s="7">
        <f t="shared" si="14"/>
        <v>402</v>
      </c>
      <c r="F413" s="7" t="s">
        <v>572</v>
      </c>
      <c r="G413" s="7" t="s">
        <v>570</v>
      </c>
      <c r="H413" s="31">
        <v>0.39600000000000002</v>
      </c>
      <c r="I413" s="8">
        <f t="shared" si="15"/>
        <v>151.5151515151515</v>
      </c>
      <c r="J413" s="31" t="s">
        <v>105</v>
      </c>
      <c r="K413" s="63" t="s">
        <v>111</v>
      </c>
    </row>
    <row r="414" spans="4:11">
      <c r="D414" s="13" t="s">
        <v>856</v>
      </c>
      <c r="E414" s="7">
        <f t="shared" si="14"/>
        <v>403</v>
      </c>
      <c r="F414" s="7" t="s">
        <v>574</v>
      </c>
      <c r="G414" s="7" t="s">
        <v>570</v>
      </c>
      <c r="H414" s="31">
        <v>0.52800000000000002</v>
      </c>
      <c r="I414" s="8">
        <f t="shared" si="15"/>
        <v>113.63636363636363</v>
      </c>
      <c r="J414" s="31" t="s">
        <v>110</v>
      </c>
      <c r="K414" s="63" t="s">
        <v>111</v>
      </c>
    </row>
    <row r="415" spans="4:11">
      <c r="D415" s="13" t="s">
        <v>857</v>
      </c>
      <c r="E415" s="7">
        <f t="shared" si="14"/>
        <v>404</v>
      </c>
      <c r="F415" s="7" t="s">
        <v>578</v>
      </c>
      <c r="G415" s="7" t="s">
        <v>570</v>
      </c>
      <c r="H415" s="31">
        <v>0.308</v>
      </c>
      <c r="I415" s="8">
        <f t="shared" si="15"/>
        <v>194.80519480519482</v>
      </c>
      <c r="J415" s="31" t="s">
        <v>105</v>
      </c>
      <c r="K415" s="63" t="s">
        <v>111</v>
      </c>
    </row>
    <row r="416" spans="4:11">
      <c r="D416" s="13" t="s">
        <v>858</v>
      </c>
      <c r="E416" s="7">
        <f t="shared" si="14"/>
        <v>405</v>
      </c>
      <c r="F416" s="7" t="s">
        <v>580</v>
      </c>
      <c r="G416" s="7" t="s">
        <v>570</v>
      </c>
      <c r="H416" s="31">
        <v>0.21571000000000001</v>
      </c>
      <c r="I416" s="8">
        <f t="shared" si="15"/>
        <v>278.15122154744796</v>
      </c>
      <c r="J416" s="31" t="s">
        <v>105</v>
      </c>
      <c r="K416" s="63" t="s">
        <v>106</v>
      </c>
    </row>
    <row r="417" spans="4:11">
      <c r="D417" s="13" t="s">
        <v>859</v>
      </c>
      <c r="E417" s="7">
        <f t="shared" si="14"/>
        <v>406</v>
      </c>
      <c r="F417" s="7" t="s">
        <v>582</v>
      </c>
      <c r="G417" s="7" t="s">
        <v>570</v>
      </c>
      <c r="H417" s="31">
        <v>1.21</v>
      </c>
      <c r="I417" s="8">
        <f t="shared" si="15"/>
        <v>49.586776859504134</v>
      </c>
      <c r="J417" s="31" t="s">
        <v>105</v>
      </c>
      <c r="K417" s="63" t="s">
        <v>111</v>
      </c>
    </row>
    <row r="418" spans="4:11">
      <c r="D418" s="13" t="s">
        <v>629</v>
      </c>
      <c r="E418" s="7">
        <f t="shared" si="14"/>
        <v>407</v>
      </c>
      <c r="F418" s="7" t="s">
        <v>860</v>
      </c>
      <c r="G418" s="7" t="s">
        <v>570</v>
      </c>
      <c r="H418" s="31">
        <v>1.8</v>
      </c>
      <c r="I418" s="8">
        <f t="shared" si="15"/>
        <v>33.333333333333336</v>
      </c>
      <c r="J418" s="31" t="s">
        <v>110</v>
      </c>
      <c r="K418" s="63" t="s">
        <v>111</v>
      </c>
    </row>
    <row r="419" spans="4:11">
      <c r="D419" s="13" t="s">
        <v>861</v>
      </c>
      <c r="E419" s="7">
        <f t="shared" si="14"/>
        <v>408</v>
      </c>
      <c r="F419" s="7" t="s">
        <v>713</v>
      </c>
      <c r="G419" s="7" t="s">
        <v>646</v>
      </c>
      <c r="H419" s="31">
        <v>0.60499999999999998</v>
      </c>
      <c r="I419" s="8">
        <f t="shared" si="15"/>
        <v>99.173553719008268</v>
      </c>
      <c r="J419" s="31" t="s">
        <v>110</v>
      </c>
      <c r="K419" s="63" t="s">
        <v>111</v>
      </c>
    </row>
    <row r="420" spans="4:11">
      <c r="D420" s="13" t="s">
        <v>862</v>
      </c>
      <c r="E420" s="7">
        <f t="shared" si="14"/>
        <v>409</v>
      </c>
      <c r="F420" s="7" t="s">
        <v>695</v>
      </c>
      <c r="G420" s="7" t="s">
        <v>646</v>
      </c>
      <c r="H420" s="31">
        <v>0.55000000000000004</v>
      </c>
      <c r="I420" s="8">
        <f t="shared" si="15"/>
        <v>109.09090909090908</v>
      </c>
      <c r="J420" s="31" t="s">
        <v>110</v>
      </c>
      <c r="K420" s="63" t="s">
        <v>106</v>
      </c>
    </row>
    <row r="421" spans="4:11">
      <c r="D421" s="13" t="s">
        <v>863</v>
      </c>
      <c r="E421" s="7">
        <f t="shared" si="14"/>
        <v>410</v>
      </c>
      <c r="F421" s="7" t="s">
        <v>650</v>
      </c>
      <c r="G421" s="7" t="s">
        <v>646</v>
      </c>
      <c r="H421" s="31">
        <v>0.59641999999999995</v>
      </c>
      <c r="I421" s="8">
        <f t="shared" si="15"/>
        <v>100.60024814727878</v>
      </c>
      <c r="J421" s="31" t="s">
        <v>105</v>
      </c>
      <c r="K421" s="63" t="s">
        <v>111</v>
      </c>
    </row>
    <row r="422" spans="4:11">
      <c r="D422" s="13" t="s">
        <v>864</v>
      </c>
      <c r="E422" s="7">
        <f t="shared" si="14"/>
        <v>411</v>
      </c>
      <c r="F422" s="7" t="s">
        <v>652</v>
      </c>
      <c r="G422" s="7" t="s">
        <v>646</v>
      </c>
      <c r="H422" s="31">
        <v>0.72599999999999998</v>
      </c>
      <c r="I422" s="8">
        <f t="shared" si="15"/>
        <v>82.644628099173559</v>
      </c>
      <c r="J422" s="31" t="s">
        <v>105</v>
      </c>
      <c r="K422" s="63" t="s">
        <v>111</v>
      </c>
    </row>
    <row r="423" spans="4:11">
      <c r="D423" s="13" t="s">
        <v>865</v>
      </c>
      <c r="E423" s="7">
        <f t="shared" si="14"/>
        <v>412</v>
      </c>
      <c r="F423" s="7" t="s">
        <v>715</v>
      </c>
      <c r="G423" s="7" t="s">
        <v>646</v>
      </c>
      <c r="H423" s="31">
        <v>1.034</v>
      </c>
      <c r="I423" s="8">
        <f t="shared" si="15"/>
        <v>58.027079303675045</v>
      </c>
      <c r="J423" s="31" t="s">
        <v>110</v>
      </c>
      <c r="K423" s="63" t="s">
        <v>111</v>
      </c>
    </row>
    <row r="424" spans="4:11">
      <c r="D424" s="13" t="s">
        <v>866</v>
      </c>
      <c r="E424" s="7">
        <f t="shared" si="14"/>
        <v>413</v>
      </c>
      <c r="F424" s="7" t="s">
        <v>867</v>
      </c>
      <c r="G424" s="7" t="s">
        <v>646</v>
      </c>
      <c r="H424" s="31">
        <v>1.034</v>
      </c>
      <c r="I424" s="8">
        <f t="shared" si="15"/>
        <v>58.027079303675045</v>
      </c>
      <c r="J424" s="31" t="s">
        <v>110</v>
      </c>
      <c r="K424" s="63" t="s">
        <v>111</v>
      </c>
    </row>
    <row r="425" spans="4:11">
      <c r="D425" s="13" t="s">
        <v>868</v>
      </c>
      <c r="E425" s="7">
        <f t="shared" si="14"/>
        <v>414</v>
      </c>
      <c r="F425" s="7" t="s">
        <v>717</v>
      </c>
      <c r="G425" s="7" t="s">
        <v>646</v>
      </c>
      <c r="H425" s="31">
        <v>0.93500000000000005</v>
      </c>
      <c r="I425" s="8">
        <f t="shared" si="15"/>
        <v>64.171122994652407</v>
      </c>
      <c r="J425" s="31" t="s">
        <v>110</v>
      </c>
      <c r="K425" s="63" t="s">
        <v>111</v>
      </c>
    </row>
    <row r="426" spans="4:11">
      <c r="D426" s="13" t="s">
        <v>869</v>
      </c>
      <c r="E426" s="7">
        <f t="shared" si="14"/>
        <v>415</v>
      </c>
      <c r="F426" s="7" t="s">
        <v>703</v>
      </c>
      <c r="G426" s="7" t="s">
        <v>646</v>
      </c>
      <c r="H426" s="31">
        <v>0.55000000000000004</v>
      </c>
      <c r="I426" s="8">
        <f t="shared" si="15"/>
        <v>109.09090909090908</v>
      </c>
      <c r="J426" s="31" t="s">
        <v>110</v>
      </c>
      <c r="K426" s="63" t="s">
        <v>106</v>
      </c>
    </row>
    <row r="427" spans="4:11">
      <c r="D427" s="13" t="s">
        <v>870</v>
      </c>
      <c r="E427" s="7">
        <f t="shared" si="14"/>
        <v>416</v>
      </c>
      <c r="F427" s="7" t="s">
        <v>660</v>
      </c>
      <c r="G427" s="7" t="s">
        <v>646</v>
      </c>
      <c r="H427" s="31">
        <v>0.84699999999999998</v>
      </c>
      <c r="I427" s="8">
        <f t="shared" si="15"/>
        <v>70.838252656434477</v>
      </c>
      <c r="J427" s="31" t="s">
        <v>105</v>
      </c>
      <c r="K427" s="63" t="s">
        <v>111</v>
      </c>
    </row>
    <row r="428" spans="4:11">
      <c r="D428" s="13" t="s">
        <v>871</v>
      </c>
      <c r="E428" s="7">
        <f t="shared" si="14"/>
        <v>417</v>
      </c>
      <c r="F428" s="7" t="s">
        <v>662</v>
      </c>
      <c r="G428" s="7" t="s">
        <v>646</v>
      </c>
      <c r="H428" s="31">
        <v>0.31514999999999999</v>
      </c>
      <c r="I428" s="8">
        <f t="shared" si="15"/>
        <v>190.38553069966684</v>
      </c>
      <c r="J428" s="31" t="s">
        <v>105</v>
      </c>
      <c r="K428" s="63" t="s">
        <v>106</v>
      </c>
    </row>
    <row r="429" spans="4:11">
      <c r="D429" s="13" t="s">
        <v>872</v>
      </c>
      <c r="E429" s="7">
        <f t="shared" si="14"/>
        <v>418</v>
      </c>
      <c r="F429" s="7" t="s">
        <v>664</v>
      </c>
      <c r="G429" s="7" t="s">
        <v>646</v>
      </c>
      <c r="H429" s="31">
        <v>0.67100000000000004</v>
      </c>
      <c r="I429" s="8">
        <f t="shared" si="15"/>
        <v>89.418777943368099</v>
      </c>
      <c r="J429" s="31" t="s">
        <v>105</v>
      </c>
      <c r="K429" s="63" t="s">
        <v>111</v>
      </c>
    </row>
    <row r="430" spans="4:11">
      <c r="D430" s="13" t="s">
        <v>873</v>
      </c>
      <c r="E430" s="7">
        <f t="shared" si="14"/>
        <v>419</v>
      </c>
      <c r="F430" s="7" t="s">
        <v>874</v>
      </c>
      <c r="G430" s="7" t="s">
        <v>765</v>
      </c>
      <c r="H430" s="31">
        <v>0</v>
      </c>
      <c r="I430" s="8">
        <v>0</v>
      </c>
      <c r="J430" s="31" t="s">
        <v>105</v>
      </c>
      <c r="K430" s="63" t="s">
        <v>106</v>
      </c>
    </row>
    <row r="431" spans="4:11">
      <c r="D431" s="14" t="s">
        <v>875</v>
      </c>
      <c r="E431" s="7">
        <f t="shared" si="14"/>
        <v>420</v>
      </c>
      <c r="F431" s="9" t="s">
        <v>876</v>
      </c>
      <c r="G431" s="9" t="s">
        <v>646</v>
      </c>
      <c r="H431" s="64">
        <v>0</v>
      </c>
      <c r="I431" s="10"/>
      <c r="J431" s="64" t="s">
        <v>105</v>
      </c>
      <c r="K431" s="65" t="s">
        <v>106</v>
      </c>
    </row>
  </sheetData>
  <autoFilter ref="N23" xr:uid="{00000000-0001-0000-0000-000000000000}"/>
  <mergeCells count="3">
    <mergeCell ref="M5:N5"/>
    <mergeCell ref="M10:N10"/>
    <mergeCell ref="M15:N15"/>
  </mergeCells>
  <conditionalFormatting sqref="D5">
    <cfRule type="duplicateValues" priority="5"/>
  </conditionalFormatting>
  <conditionalFormatting sqref="E5">
    <cfRule type="duplicateValues" priority="2"/>
  </conditionalFormatting>
  <conditionalFormatting sqref="D55">
    <cfRule type="duplicateValues" priority="1"/>
  </conditionalFormatting>
  <conditionalFormatting sqref="D6:D36">
    <cfRule type="duplicateValues" priority="3"/>
  </conditionalFormatting>
  <conditionalFormatting sqref="D37:D44">
    <cfRule type="duplicateValues" priority="6"/>
  </conditionalFormatting>
  <conditionalFormatting sqref="D66:D69">
    <cfRule type="duplicateValues" priority="4"/>
  </conditionalFormatting>
  <conditionalFormatting sqref="D56:D65 D45:D48">
    <cfRule type="duplicateValues" priority="7"/>
  </conditionalFormatting>
  <conditionalFormatting sqref="D49:D54">
    <cfRule type="duplicateValues" priority="8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2BA8-6571-4484-A537-A311285F6C91}">
  <dimension ref="B2:L152"/>
  <sheetViews>
    <sheetView showGridLines="0" workbookViewId="0">
      <selection activeCell="D156" sqref="D156"/>
    </sheetView>
  </sheetViews>
  <sheetFormatPr defaultRowHeight="15"/>
  <cols>
    <col min="3" max="3" width="43.5703125" customWidth="1"/>
    <col min="4" max="4" width="14.140625" customWidth="1"/>
    <col min="5" max="5" width="12.7109375" style="11" customWidth="1"/>
    <col min="6" max="6" width="23" style="11" customWidth="1"/>
    <col min="7" max="7" width="12.140625" style="11" customWidth="1"/>
    <col min="8" max="9" width="11.5703125" style="11" customWidth="1"/>
    <col min="10" max="10" width="19.7109375" customWidth="1"/>
    <col min="11" max="11" width="16" customWidth="1"/>
    <col min="12" max="12" width="16.85546875" bestFit="1" customWidth="1"/>
  </cols>
  <sheetData>
    <row r="2" spans="2:12">
      <c r="B2" s="1" t="s">
        <v>93</v>
      </c>
      <c r="C2" s="2" t="s">
        <v>95</v>
      </c>
      <c r="D2" s="2" t="s">
        <v>96</v>
      </c>
      <c r="E2" s="29" t="s">
        <v>97</v>
      </c>
      <c r="F2" s="3" t="s">
        <v>98</v>
      </c>
      <c r="G2" s="29" t="s">
        <v>99</v>
      </c>
      <c r="H2" s="30" t="s">
        <v>100</v>
      </c>
      <c r="I2" s="176"/>
    </row>
    <row r="3" spans="2:12">
      <c r="B3" s="6" t="s">
        <v>108</v>
      </c>
      <c r="C3" s="184" t="s">
        <v>109</v>
      </c>
      <c r="D3" s="7" t="s">
        <v>104</v>
      </c>
      <c r="E3" s="31">
        <v>0.34</v>
      </c>
      <c r="F3" s="8">
        <f>60/E3</f>
        <v>176.47058823529412</v>
      </c>
      <c r="G3" s="31" t="s">
        <v>110</v>
      </c>
      <c r="H3" s="32" t="s">
        <v>111</v>
      </c>
      <c r="I3" s="177"/>
      <c r="J3" t="s">
        <v>12</v>
      </c>
      <c r="L3" t="s">
        <v>877</v>
      </c>
    </row>
    <row r="4" spans="2:12">
      <c r="B4" s="6" t="s">
        <v>113</v>
      </c>
      <c r="C4" s="184" t="s">
        <v>114</v>
      </c>
      <c r="D4" s="7" t="s">
        <v>104</v>
      </c>
      <c r="E4" s="31">
        <v>0.45</v>
      </c>
      <c r="F4" s="8">
        <f>60/E4</f>
        <v>133.33333333333334</v>
      </c>
      <c r="G4" s="31" t="s">
        <v>110</v>
      </c>
      <c r="H4" s="32" t="s">
        <v>111</v>
      </c>
      <c r="I4" s="177"/>
      <c r="J4" t="s">
        <v>12</v>
      </c>
    </row>
    <row r="5" spans="2:12">
      <c r="B5" s="6" t="s">
        <v>124</v>
      </c>
      <c r="C5" s="184" t="s">
        <v>125</v>
      </c>
      <c r="D5" s="7" t="s">
        <v>104</v>
      </c>
      <c r="E5" s="31">
        <v>0.18</v>
      </c>
      <c r="F5" s="8">
        <f>60/E5</f>
        <v>333.33333333333337</v>
      </c>
      <c r="G5" s="31" t="s">
        <v>110</v>
      </c>
      <c r="H5" s="32" t="s">
        <v>111</v>
      </c>
      <c r="I5" s="177"/>
      <c r="J5" t="s">
        <v>12</v>
      </c>
    </row>
    <row r="6" spans="2:12">
      <c r="B6" s="6" t="s">
        <v>127</v>
      </c>
      <c r="C6" s="184" t="s">
        <v>128</v>
      </c>
      <c r="D6" s="7" t="s">
        <v>104</v>
      </c>
      <c r="E6" s="31">
        <v>0.4</v>
      </c>
      <c r="F6" s="8">
        <f>60/E6</f>
        <v>150</v>
      </c>
      <c r="G6" s="31" t="s">
        <v>110</v>
      </c>
      <c r="H6" s="32" t="s">
        <v>111</v>
      </c>
      <c r="I6" s="177"/>
      <c r="J6" t="s">
        <v>12</v>
      </c>
    </row>
    <row r="7" spans="2:12">
      <c r="B7" s="6" t="s">
        <v>131</v>
      </c>
      <c r="C7" s="184" t="s">
        <v>132</v>
      </c>
      <c r="D7" s="7" t="s">
        <v>104</v>
      </c>
      <c r="E7" s="31">
        <v>0.55000000000000004</v>
      </c>
      <c r="F7" s="8">
        <f>60/E7</f>
        <v>109.09090909090908</v>
      </c>
      <c r="G7" s="31" t="s">
        <v>110</v>
      </c>
      <c r="H7" s="32" t="s">
        <v>111</v>
      </c>
      <c r="I7" s="177"/>
      <c r="J7" t="s">
        <v>12</v>
      </c>
    </row>
    <row r="8" spans="2:12">
      <c r="B8" s="6" t="s">
        <v>142</v>
      </c>
      <c r="C8" s="184" t="s">
        <v>143</v>
      </c>
      <c r="D8" s="7" t="s">
        <v>104</v>
      </c>
      <c r="E8" s="31">
        <v>0.20230000000000001</v>
      </c>
      <c r="F8" s="8">
        <f>60/E8</f>
        <v>296.58922392486403</v>
      </c>
      <c r="G8" s="31" t="s">
        <v>110</v>
      </c>
      <c r="H8" s="32" t="s">
        <v>111</v>
      </c>
      <c r="I8" s="177"/>
      <c r="J8" t="s">
        <v>12</v>
      </c>
    </row>
    <row r="9" spans="2:12">
      <c r="B9" s="6" t="s">
        <v>144</v>
      </c>
      <c r="C9" s="184" t="s">
        <v>145</v>
      </c>
      <c r="D9" s="7" t="s">
        <v>104</v>
      </c>
      <c r="E9" s="31">
        <v>0.66</v>
      </c>
      <c r="F9" s="8">
        <f>60/E9</f>
        <v>90.909090909090907</v>
      </c>
      <c r="G9" s="31" t="s">
        <v>110</v>
      </c>
      <c r="H9" s="32" t="s">
        <v>111</v>
      </c>
      <c r="I9" s="177"/>
      <c r="J9" t="s">
        <v>12</v>
      </c>
    </row>
    <row r="10" spans="2:12">
      <c r="B10" s="6" t="s">
        <v>152</v>
      </c>
      <c r="C10" s="184" t="s">
        <v>153</v>
      </c>
      <c r="D10" s="7" t="s">
        <v>104</v>
      </c>
      <c r="E10" s="31">
        <v>0.55000000000000004</v>
      </c>
      <c r="F10" s="8">
        <f>60/E10</f>
        <v>109.09090909090908</v>
      </c>
      <c r="G10" s="31" t="s">
        <v>110</v>
      </c>
      <c r="H10" s="32" t="s">
        <v>111</v>
      </c>
      <c r="I10" s="177"/>
      <c r="J10" t="s">
        <v>12</v>
      </c>
    </row>
    <row r="11" spans="2:12">
      <c r="B11" s="6" t="s">
        <v>160</v>
      </c>
      <c r="C11" s="184" t="s">
        <v>161</v>
      </c>
      <c r="D11" s="7" t="s">
        <v>104</v>
      </c>
      <c r="E11" s="31">
        <v>0.27</v>
      </c>
      <c r="F11" s="8">
        <f>60/E11</f>
        <v>222.2222222222222</v>
      </c>
      <c r="G11" s="31" t="s">
        <v>110</v>
      </c>
      <c r="H11" s="32" t="s">
        <v>111</v>
      </c>
      <c r="I11" s="177"/>
      <c r="J11" t="s">
        <v>12</v>
      </c>
    </row>
    <row r="12" spans="2:12">
      <c r="B12" s="6" t="s">
        <v>166</v>
      </c>
      <c r="C12" s="184" t="s">
        <v>167</v>
      </c>
      <c r="D12" s="7" t="s">
        <v>104</v>
      </c>
      <c r="E12" s="31">
        <v>0.25</v>
      </c>
      <c r="F12" s="8">
        <f>60/E12</f>
        <v>240</v>
      </c>
      <c r="G12" s="31" t="s">
        <v>110</v>
      </c>
      <c r="H12" s="32" t="s">
        <v>111</v>
      </c>
      <c r="I12" s="177"/>
      <c r="J12" t="s">
        <v>12</v>
      </c>
    </row>
    <row r="13" spans="2:12">
      <c r="B13" s="6" t="s">
        <v>170</v>
      </c>
      <c r="C13" s="184" t="s">
        <v>171</v>
      </c>
      <c r="D13" s="7" t="s">
        <v>104</v>
      </c>
      <c r="E13" s="31">
        <v>0.46</v>
      </c>
      <c r="F13" s="8">
        <f>60/E13</f>
        <v>130.43478260869566</v>
      </c>
      <c r="G13" s="31" t="s">
        <v>110</v>
      </c>
      <c r="H13" s="32" t="s">
        <v>111</v>
      </c>
      <c r="I13" s="177"/>
      <c r="J13" t="s">
        <v>878</v>
      </c>
    </row>
    <row r="14" spans="2:12">
      <c r="B14" s="6" t="s">
        <v>172</v>
      </c>
      <c r="C14" s="184" t="s">
        <v>173</v>
      </c>
      <c r="D14" s="7" t="s">
        <v>104</v>
      </c>
      <c r="E14" s="31">
        <v>0.28000000000000003</v>
      </c>
      <c r="F14" s="8">
        <f>60/E14</f>
        <v>214.28571428571428</v>
      </c>
      <c r="G14" s="31" t="s">
        <v>110</v>
      </c>
      <c r="H14" s="32" t="s">
        <v>111</v>
      </c>
      <c r="I14" s="177"/>
      <c r="J14" t="s">
        <v>12</v>
      </c>
    </row>
    <row r="15" spans="2:12">
      <c r="B15" s="6" t="s">
        <v>176</v>
      </c>
      <c r="C15" s="184" t="s">
        <v>177</v>
      </c>
      <c r="D15" s="7" t="s">
        <v>104</v>
      </c>
      <c r="E15" s="31">
        <v>0.4</v>
      </c>
      <c r="F15" s="8">
        <f>60/E15</f>
        <v>150</v>
      </c>
      <c r="G15" s="31" t="s">
        <v>110</v>
      </c>
      <c r="H15" s="32" t="s">
        <v>111</v>
      </c>
      <c r="I15" s="177"/>
      <c r="J15" t="s">
        <v>12</v>
      </c>
    </row>
    <row r="16" spans="2:12">
      <c r="B16" s="6" t="s">
        <v>178</v>
      </c>
      <c r="C16" s="184" t="s">
        <v>179</v>
      </c>
      <c r="D16" s="7" t="s">
        <v>104</v>
      </c>
      <c r="E16" s="31">
        <v>0.5</v>
      </c>
      <c r="F16" s="8">
        <f>60/E16</f>
        <v>120</v>
      </c>
      <c r="G16" s="31" t="s">
        <v>110</v>
      </c>
      <c r="H16" s="32" t="s">
        <v>111</v>
      </c>
      <c r="I16" s="177"/>
      <c r="J16" t="s">
        <v>12</v>
      </c>
    </row>
    <row r="17" spans="2:12">
      <c r="B17" s="6" t="s">
        <v>182</v>
      </c>
      <c r="C17" s="184" t="s">
        <v>183</v>
      </c>
      <c r="D17" s="7" t="s">
        <v>104</v>
      </c>
      <c r="E17" s="31">
        <v>0.1</v>
      </c>
      <c r="F17" s="8">
        <f>60/E17</f>
        <v>600</v>
      </c>
      <c r="G17" s="31" t="s">
        <v>110</v>
      </c>
      <c r="H17" s="32" t="s">
        <v>111</v>
      </c>
      <c r="I17" s="177"/>
      <c r="J17" t="s">
        <v>12</v>
      </c>
    </row>
    <row r="18" spans="2:12">
      <c r="B18" s="6" t="s">
        <v>184</v>
      </c>
      <c r="C18" s="184" t="s">
        <v>185</v>
      </c>
      <c r="D18" s="7" t="s">
        <v>104</v>
      </c>
      <c r="E18" s="31">
        <v>0.15</v>
      </c>
      <c r="F18" s="8">
        <f>60/E18</f>
        <v>400</v>
      </c>
      <c r="G18" s="31" t="s">
        <v>110</v>
      </c>
      <c r="H18" s="32" t="s">
        <v>111</v>
      </c>
      <c r="I18" s="177"/>
      <c r="J18" t="s">
        <v>12</v>
      </c>
    </row>
    <row r="19" spans="2:12">
      <c r="B19" s="6" t="s">
        <v>186</v>
      </c>
      <c r="C19" s="184" t="s">
        <v>187</v>
      </c>
      <c r="D19" s="7" t="s">
        <v>104</v>
      </c>
      <c r="E19" s="31">
        <v>0.5</v>
      </c>
      <c r="F19" s="8">
        <f>60/E19</f>
        <v>120</v>
      </c>
      <c r="G19" s="31" t="s">
        <v>110</v>
      </c>
      <c r="H19" s="32" t="s">
        <v>111</v>
      </c>
      <c r="I19" s="177"/>
      <c r="J19" t="s">
        <v>879</v>
      </c>
    </row>
    <row r="20" spans="2:12">
      <c r="B20" s="6" t="s">
        <v>188</v>
      </c>
      <c r="C20" s="184" t="s">
        <v>189</v>
      </c>
      <c r="D20" s="7" t="s">
        <v>104</v>
      </c>
      <c r="E20" s="31">
        <v>0.35</v>
      </c>
      <c r="F20" s="8">
        <f>60/E20</f>
        <v>171.42857142857144</v>
      </c>
      <c r="G20" s="31" t="s">
        <v>110</v>
      </c>
      <c r="H20" s="32" t="s">
        <v>111</v>
      </c>
      <c r="I20" s="177"/>
      <c r="J20" t="s">
        <v>12</v>
      </c>
    </row>
    <row r="21" spans="2:12">
      <c r="B21" s="6" t="s">
        <v>190</v>
      </c>
      <c r="C21" s="184" t="s">
        <v>191</v>
      </c>
      <c r="D21" s="7" t="s">
        <v>104</v>
      </c>
      <c r="E21" s="31">
        <v>0.3</v>
      </c>
      <c r="F21" s="8">
        <f>60/E21</f>
        <v>200</v>
      </c>
      <c r="G21" s="31" t="s">
        <v>110</v>
      </c>
      <c r="H21" s="32" t="s">
        <v>111</v>
      </c>
      <c r="I21" s="177"/>
      <c r="J21" t="s">
        <v>12</v>
      </c>
    </row>
    <row r="22" spans="2:12">
      <c r="B22" s="6" t="s">
        <v>196</v>
      </c>
      <c r="C22" s="184" t="s">
        <v>197</v>
      </c>
      <c r="D22" s="7" t="s">
        <v>104</v>
      </c>
      <c r="E22" s="31">
        <v>0.55000000000000004</v>
      </c>
      <c r="F22" s="8">
        <f>60/E22</f>
        <v>109.09090909090908</v>
      </c>
      <c r="G22" s="31" t="s">
        <v>110</v>
      </c>
      <c r="H22" s="32" t="s">
        <v>111</v>
      </c>
      <c r="I22" s="177"/>
      <c r="J22" t="s">
        <v>12</v>
      </c>
      <c r="L22" t="s">
        <v>880</v>
      </c>
    </row>
    <row r="23" spans="2:12">
      <c r="B23" s="6" t="s">
        <v>198</v>
      </c>
      <c r="C23" s="184" t="s">
        <v>199</v>
      </c>
      <c r="D23" s="7" t="s">
        <v>104</v>
      </c>
      <c r="E23" s="31">
        <v>0.25</v>
      </c>
      <c r="F23" s="8">
        <f>60/E23</f>
        <v>240</v>
      </c>
      <c r="G23" s="31" t="s">
        <v>110</v>
      </c>
      <c r="H23" s="32" t="s">
        <v>111</v>
      </c>
      <c r="I23" s="177"/>
      <c r="J23" t="s">
        <v>12</v>
      </c>
    </row>
    <row r="24" spans="2:12">
      <c r="B24" s="6" t="s">
        <v>215</v>
      </c>
      <c r="C24" s="184" t="s">
        <v>216</v>
      </c>
      <c r="D24" s="7" t="s">
        <v>104</v>
      </c>
      <c r="E24" s="31">
        <v>0.55000000000000004</v>
      </c>
      <c r="F24" s="8">
        <f>60/E24</f>
        <v>109.09090909090908</v>
      </c>
      <c r="G24" s="31" t="s">
        <v>110</v>
      </c>
      <c r="H24" s="32" t="s">
        <v>111</v>
      </c>
      <c r="I24" s="177"/>
      <c r="J24" t="s">
        <v>12</v>
      </c>
    </row>
    <row r="25" spans="2:12">
      <c r="B25" s="6" t="s">
        <v>217</v>
      </c>
      <c r="C25" s="184" t="s">
        <v>128</v>
      </c>
      <c r="D25" s="7" t="s">
        <v>104</v>
      </c>
      <c r="E25" s="31">
        <v>0.45</v>
      </c>
      <c r="F25" s="8">
        <f>60/E25</f>
        <v>133.33333333333334</v>
      </c>
      <c r="G25" s="31" t="s">
        <v>110</v>
      </c>
      <c r="H25" s="32" t="s">
        <v>111</v>
      </c>
      <c r="I25" s="177"/>
      <c r="J25" t="s">
        <v>12</v>
      </c>
    </row>
    <row r="26" spans="2:12">
      <c r="B26" s="6" t="s">
        <v>218</v>
      </c>
      <c r="C26" s="184" t="s">
        <v>143</v>
      </c>
      <c r="D26" s="7" t="s">
        <v>104</v>
      </c>
      <c r="E26" s="31">
        <v>0.3</v>
      </c>
      <c r="F26" s="8">
        <f>60/E26</f>
        <v>200</v>
      </c>
      <c r="G26" s="31" t="s">
        <v>110</v>
      </c>
      <c r="H26" s="32" t="s">
        <v>111</v>
      </c>
      <c r="I26" s="177"/>
      <c r="J26" t="s">
        <v>12</v>
      </c>
    </row>
    <row r="27" spans="2:12">
      <c r="B27" s="6" t="s">
        <v>221</v>
      </c>
      <c r="C27" s="184" t="s">
        <v>128</v>
      </c>
      <c r="D27" s="7" t="s">
        <v>104</v>
      </c>
      <c r="E27" s="31">
        <v>0.4</v>
      </c>
      <c r="F27" s="8">
        <f>60/E27</f>
        <v>150</v>
      </c>
      <c r="G27" s="31" t="s">
        <v>110</v>
      </c>
      <c r="H27" s="32" t="s">
        <v>111</v>
      </c>
      <c r="I27" s="177"/>
      <c r="J27" t="s">
        <v>12</v>
      </c>
    </row>
    <row r="28" spans="2:12">
      <c r="B28" s="6" t="s">
        <v>225</v>
      </c>
      <c r="C28" s="184" t="s">
        <v>109</v>
      </c>
      <c r="D28" s="7" t="s">
        <v>104</v>
      </c>
      <c r="E28" s="31">
        <v>1</v>
      </c>
      <c r="F28" s="8">
        <f>60/E28</f>
        <v>60</v>
      </c>
      <c r="G28" s="31" t="s">
        <v>110</v>
      </c>
      <c r="H28" s="32" t="s">
        <v>111</v>
      </c>
      <c r="I28" s="177"/>
      <c r="J28" t="s">
        <v>12</v>
      </c>
    </row>
    <row r="29" spans="2:12">
      <c r="B29" s="6" t="s">
        <v>230</v>
      </c>
      <c r="C29" s="184" t="s">
        <v>231</v>
      </c>
      <c r="D29" s="7" t="s">
        <v>229</v>
      </c>
      <c r="E29" s="31">
        <v>0.45</v>
      </c>
      <c r="F29" s="8">
        <f>60/E29</f>
        <v>133.33333333333334</v>
      </c>
      <c r="G29" s="31" t="s">
        <v>110</v>
      </c>
      <c r="H29" s="32" t="s">
        <v>111</v>
      </c>
      <c r="I29" s="177"/>
      <c r="J29" t="s">
        <v>12</v>
      </c>
    </row>
    <row r="30" spans="2:12">
      <c r="B30" s="6" t="s">
        <v>234</v>
      </c>
      <c r="C30" s="184" t="s">
        <v>235</v>
      </c>
      <c r="D30" s="7" t="s">
        <v>229</v>
      </c>
      <c r="E30" s="31">
        <v>0.66110000000000002</v>
      </c>
      <c r="F30" s="8">
        <f>60/E30</f>
        <v>90.757827862653144</v>
      </c>
      <c r="G30" s="31" t="s">
        <v>110</v>
      </c>
      <c r="H30" s="32" t="s">
        <v>111</v>
      </c>
      <c r="I30" s="177"/>
      <c r="J30" t="s">
        <v>12</v>
      </c>
    </row>
    <row r="31" spans="2:12">
      <c r="B31" s="6" t="s">
        <v>248</v>
      </c>
      <c r="C31" s="184" t="s">
        <v>249</v>
      </c>
      <c r="D31" s="7" t="s">
        <v>229</v>
      </c>
      <c r="E31" s="31">
        <v>0.48</v>
      </c>
      <c r="F31" s="8">
        <f>60/E31</f>
        <v>125</v>
      </c>
      <c r="G31" s="31" t="s">
        <v>110</v>
      </c>
      <c r="H31" s="32" t="s">
        <v>111</v>
      </c>
      <c r="I31" s="177"/>
      <c r="J31" t="s">
        <v>881</v>
      </c>
    </row>
    <row r="32" spans="2:12">
      <c r="B32" s="6" t="s">
        <v>252</v>
      </c>
      <c r="C32" s="184" t="s">
        <v>253</v>
      </c>
      <c r="D32" s="7" t="s">
        <v>229</v>
      </c>
      <c r="E32" s="31">
        <v>0.3085</v>
      </c>
      <c r="F32" s="8">
        <f>60/E32</f>
        <v>194.48946515397083</v>
      </c>
      <c r="G32" s="31" t="s">
        <v>110</v>
      </c>
      <c r="H32" s="32" t="s">
        <v>111</v>
      </c>
      <c r="I32" s="177"/>
      <c r="J32" t="s">
        <v>12</v>
      </c>
    </row>
    <row r="33" spans="2:12">
      <c r="B33" s="6" t="s">
        <v>254</v>
      </c>
      <c r="C33" s="184" t="s">
        <v>255</v>
      </c>
      <c r="D33" s="7" t="s">
        <v>229</v>
      </c>
      <c r="E33" s="31">
        <v>0.3498</v>
      </c>
      <c r="F33" s="8">
        <f>60/E33</f>
        <v>171.52658662092625</v>
      </c>
      <c r="G33" s="31" t="s">
        <v>110</v>
      </c>
      <c r="H33" s="32" t="s">
        <v>111</v>
      </c>
      <c r="I33" s="177"/>
      <c r="J33" t="s">
        <v>12</v>
      </c>
    </row>
    <row r="34" spans="2:12">
      <c r="B34" s="6" t="s">
        <v>256</v>
      </c>
      <c r="C34" s="184" t="s">
        <v>257</v>
      </c>
      <c r="D34" s="7" t="s">
        <v>229</v>
      </c>
      <c r="E34" s="31">
        <v>0.39</v>
      </c>
      <c r="F34" s="8">
        <f>60/E34</f>
        <v>153.84615384615384</v>
      </c>
      <c r="G34" s="31" t="s">
        <v>110</v>
      </c>
      <c r="H34" s="32" t="s">
        <v>111</v>
      </c>
      <c r="I34" s="177"/>
      <c r="J34" t="s">
        <v>12</v>
      </c>
      <c r="L34" t="s">
        <v>877</v>
      </c>
    </row>
    <row r="35" spans="2:12">
      <c r="B35" s="6" t="s">
        <v>260</v>
      </c>
      <c r="C35" s="184" t="s">
        <v>261</v>
      </c>
      <c r="D35" s="7" t="s">
        <v>229</v>
      </c>
      <c r="E35" s="31">
        <v>0.8</v>
      </c>
      <c r="F35" s="8">
        <f>60/E35</f>
        <v>75</v>
      </c>
      <c r="G35" s="31" t="s">
        <v>110</v>
      </c>
      <c r="H35" s="32" t="s">
        <v>111</v>
      </c>
      <c r="I35" s="177"/>
      <c r="J35" t="s">
        <v>12</v>
      </c>
    </row>
    <row r="36" spans="2:12">
      <c r="B36" s="6" t="s">
        <v>262</v>
      </c>
      <c r="C36" s="184" t="s">
        <v>263</v>
      </c>
      <c r="D36" s="7" t="s">
        <v>229</v>
      </c>
      <c r="E36" s="31">
        <v>0.38</v>
      </c>
      <c r="F36" s="8">
        <f>60/E36</f>
        <v>157.89473684210526</v>
      </c>
      <c r="G36" s="31" t="s">
        <v>110</v>
      </c>
      <c r="H36" s="32" t="s">
        <v>111</v>
      </c>
      <c r="I36" s="177"/>
      <c r="J36" t="s">
        <v>881</v>
      </c>
    </row>
    <row r="37" spans="2:12">
      <c r="B37" s="6" t="s">
        <v>264</v>
      </c>
      <c r="C37" s="184" t="s">
        <v>265</v>
      </c>
      <c r="D37" s="7" t="s">
        <v>229</v>
      </c>
      <c r="E37" s="31">
        <v>0.38</v>
      </c>
      <c r="F37" s="8">
        <f>60/E37</f>
        <v>157.89473684210526</v>
      </c>
      <c r="G37" s="31" t="s">
        <v>110</v>
      </c>
      <c r="H37" s="32" t="s">
        <v>111</v>
      </c>
      <c r="I37" s="177"/>
      <c r="J37" t="s">
        <v>878</v>
      </c>
    </row>
    <row r="38" spans="2:12">
      <c r="B38" s="6" t="s">
        <v>266</v>
      </c>
      <c r="C38" s="184" t="s">
        <v>267</v>
      </c>
      <c r="D38" s="7" t="s">
        <v>229</v>
      </c>
      <c r="E38" s="31">
        <v>0.4</v>
      </c>
      <c r="F38" s="8">
        <f>60/E38</f>
        <v>150</v>
      </c>
      <c r="G38" s="31" t="s">
        <v>110</v>
      </c>
      <c r="H38" s="32" t="s">
        <v>111</v>
      </c>
      <c r="I38" s="177"/>
      <c r="J38" t="s">
        <v>12</v>
      </c>
    </row>
    <row r="39" spans="2:12">
      <c r="B39" s="6" t="s">
        <v>268</v>
      </c>
      <c r="C39" s="184" t="s">
        <v>269</v>
      </c>
      <c r="D39" s="7" t="s">
        <v>229</v>
      </c>
      <c r="E39" s="31">
        <v>0.55000000000000004</v>
      </c>
      <c r="F39" s="8">
        <f>60/E39</f>
        <v>109.09090909090908</v>
      </c>
      <c r="G39" s="31" t="s">
        <v>110</v>
      </c>
      <c r="H39" s="32" t="s">
        <v>111</v>
      </c>
      <c r="I39" s="177"/>
      <c r="J39" t="s">
        <v>12</v>
      </c>
    </row>
    <row r="40" spans="2:12">
      <c r="B40" s="6" t="s">
        <v>272</v>
      </c>
      <c r="C40" s="184" t="s">
        <v>273</v>
      </c>
      <c r="D40" s="7" t="s">
        <v>229</v>
      </c>
      <c r="E40" s="31">
        <v>1</v>
      </c>
      <c r="F40" s="8">
        <f>60/E40</f>
        <v>60</v>
      </c>
      <c r="G40" s="31" t="s">
        <v>110</v>
      </c>
      <c r="H40" s="32" t="s">
        <v>111</v>
      </c>
      <c r="I40" s="177"/>
      <c r="J40" t="s">
        <v>12</v>
      </c>
    </row>
    <row r="41" spans="2:12">
      <c r="B41" s="6" t="s">
        <v>274</v>
      </c>
      <c r="C41" s="184" t="s">
        <v>275</v>
      </c>
      <c r="D41" s="7" t="s">
        <v>229</v>
      </c>
      <c r="E41" s="31">
        <v>0.65</v>
      </c>
      <c r="F41" s="8">
        <f>60/E41</f>
        <v>92.307692307692307</v>
      </c>
      <c r="G41" s="31" t="s">
        <v>110</v>
      </c>
      <c r="H41" s="32" t="s">
        <v>111</v>
      </c>
      <c r="I41" s="177"/>
      <c r="J41" t="s">
        <v>882</v>
      </c>
      <c r="L41" t="s">
        <v>877</v>
      </c>
    </row>
    <row r="42" spans="2:12">
      <c r="B42" s="6" t="s">
        <v>276</v>
      </c>
      <c r="C42" s="184" t="s">
        <v>277</v>
      </c>
      <c r="D42" s="7" t="s">
        <v>229</v>
      </c>
      <c r="E42" s="31">
        <v>0.21</v>
      </c>
      <c r="F42" s="8">
        <f>60/E42</f>
        <v>285.71428571428572</v>
      </c>
      <c r="G42" s="31" t="s">
        <v>110</v>
      </c>
      <c r="H42" s="32" t="s">
        <v>111</v>
      </c>
      <c r="I42" s="177"/>
      <c r="J42" t="s">
        <v>878</v>
      </c>
    </row>
    <row r="43" spans="2:12">
      <c r="B43" s="6" t="s">
        <v>280</v>
      </c>
      <c r="C43" s="184" t="s">
        <v>253</v>
      </c>
      <c r="D43" s="7" t="s">
        <v>229</v>
      </c>
      <c r="E43" s="31">
        <v>0.45</v>
      </c>
      <c r="F43" s="8">
        <f>60/E43</f>
        <v>133.33333333333334</v>
      </c>
      <c r="G43" s="31" t="s">
        <v>110</v>
      </c>
      <c r="H43" s="32" t="s">
        <v>111</v>
      </c>
      <c r="I43" s="177"/>
      <c r="J43" t="s">
        <v>12</v>
      </c>
    </row>
    <row r="44" spans="2:12">
      <c r="B44" s="6" t="s">
        <v>291</v>
      </c>
      <c r="C44" s="184" t="s">
        <v>255</v>
      </c>
      <c r="D44" s="7" t="s">
        <v>229</v>
      </c>
      <c r="E44" s="31">
        <v>0.5</v>
      </c>
      <c r="F44" s="8">
        <f>60/E44</f>
        <v>120</v>
      </c>
      <c r="G44" s="31" t="s">
        <v>110</v>
      </c>
      <c r="H44" s="32" t="s">
        <v>111</v>
      </c>
      <c r="I44" s="177"/>
      <c r="J44" t="s">
        <v>12</v>
      </c>
    </row>
    <row r="45" spans="2:12">
      <c r="B45" s="6" t="s">
        <v>296</v>
      </c>
      <c r="C45" s="184" t="s">
        <v>297</v>
      </c>
      <c r="D45" s="7" t="s">
        <v>298</v>
      </c>
      <c r="E45" s="31">
        <v>0.6</v>
      </c>
      <c r="F45" s="8">
        <f>60/E45</f>
        <v>100</v>
      </c>
      <c r="G45" s="31" t="s">
        <v>110</v>
      </c>
      <c r="H45" s="32" t="s">
        <v>111</v>
      </c>
      <c r="I45" s="177"/>
      <c r="J45" t="s">
        <v>12</v>
      </c>
    </row>
    <row r="46" spans="2:12">
      <c r="B46" s="6" t="s">
        <v>299</v>
      </c>
      <c r="C46" s="184" t="s">
        <v>300</v>
      </c>
      <c r="D46" s="7" t="s">
        <v>298</v>
      </c>
      <c r="E46" s="31">
        <v>0.35</v>
      </c>
      <c r="F46" s="8">
        <f>60/E46</f>
        <v>171.42857142857144</v>
      </c>
      <c r="G46" s="31" t="s">
        <v>110</v>
      </c>
      <c r="H46" s="32" t="s">
        <v>111</v>
      </c>
      <c r="I46" s="177"/>
      <c r="J46" t="s">
        <v>12</v>
      </c>
    </row>
    <row r="47" spans="2:12">
      <c r="B47" s="6" t="s">
        <v>307</v>
      </c>
      <c r="C47" s="184" t="s">
        <v>308</v>
      </c>
      <c r="D47" s="7" t="s">
        <v>298</v>
      </c>
      <c r="E47" s="31">
        <v>0.39</v>
      </c>
      <c r="F47" s="8">
        <f>60/E47</f>
        <v>153.84615384615384</v>
      </c>
      <c r="G47" s="31" t="s">
        <v>110</v>
      </c>
      <c r="H47" s="32" t="s">
        <v>111</v>
      </c>
      <c r="I47" s="177"/>
      <c r="J47" t="s">
        <v>12</v>
      </c>
    </row>
    <row r="48" spans="2:12">
      <c r="B48" s="6" t="s">
        <v>317</v>
      </c>
      <c r="C48" s="184" t="s">
        <v>318</v>
      </c>
      <c r="D48" s="7" t="s">
        <v>298</v>
      </c>
      <c r="E48" s="31">
        <v>0.4</v>
      </c>
      <c r="F48" s="8">
        <f>60/E48</f>
        <v>150</v>
      </c>
      <c r="G48" s="31" t="s">
        <v>110</v>
      </c>
      <c r="H48" s="32" t="s">
        <v>111</v>
      </c>
      <c r="I48" s="177"/>
      <c r="J48" t="s">
        <v>12</v>
      </c>
    </row>
    <row r="49" spans="2:12">
      <c r="B49" s="6" t="s">
        <v>319</v>
      </c>
      <c r="C49" s="184" t="s">
        <v>320</v>
      </c>
      <c r="D49" s="7" t="s">
        <v>298</v>
      </c>
      <c r="E49" s="31">
        <v>0.5</v>
      </c>
      <c r="F49" s="8">
        <f>60/E49</f>
        <v>120</v>
      </c>
      <c r="G49" s="31" t="s">
        <v>110</v>
      </c>
      <c r="H49" s="32" t="s">
        <v>111</v>
      </c>
      <c r="I49" s="177"/>
      <c r="J49" t="s">
        <v>12</v>
      </c>
    </row>
    <row r="50" spans="2:12">
      <c r="B50" s="6" t="s">
        <v>321</v>
      </c>
      <c r="C50" s="184" t="s">
        <v>322</v>
      </c>
      <c r="D50" s="7" t="s">
        <v>298</v>
      </c>
      <c r="E50" s="31">
        <v>0.41</v>
      </c>
      <c r="F50" s="8">
        <f>60/E50</f>
        <v>146.34146341463415</v>
      </c>
      <c r="G50" s="31" t="s">
        <v>110</v>
      </c>
      <c r="H50" s="32" t="s">
        <v>111</v>
      </c>
      <c r="I50" s="177"/>
      <c r="J50" t="s">
        <v>12</v>
      </c>
    </row>
    <row r="51" spans="2:12">
      <c r="B51" s="6" t="s">
        <v>323</v>
      </c>
      <c r="C51" s="184" t="s">
        <v>324</v>
      </c>
      <c r="D51" s="7" t="s">
        <v>298</v>
      </c>
      <c r="E51" s="31">
        <v>0.15</v>
      </c>
      <c r="F51" s="8">
        <f>60/E51</f>
        <v>400</v>
      </c>
      <c r="G51" s="31" t="s">
        <v>110</v>
      </c>
      <c r="H51" s="32" t="s">
        <v>111</v>
      </c>
      <c r="I51" s="177"/>
      <c r="J51" t="s">
        <v>12</v>
      </c>
    </row>
    <row r="52" spans="2:12">
      <c r="B52" s="6" t="s">
        <v>325</v>
      </c>
      <c r="C52" s="184" t="s">
        <v>326</v>
      </c>
      <c r="D52" s="7" t="s">
        <v>298</v>
      </c>
      <c r="E52" s="31">
        <v>0.35</v>
      </c>
      <c r="F52" s="8">
        <f>60/E52</f>
        <v>171.42857142857144</v>
      </c>
      <c r="G52" s="31" t="s">
        <v>110</v>
      </c>
      <c r="H52" s="32" t="s">
        <v>111</v>
      </c>
      <c r="I52" s="177"/>
      <c r="J52" t="s">
        <v>12</v>
      </c>
    </row>
    <row r="53" spans="2:12">
      <c r="B53" s="6" t="s">
        <v>327</v>
      </c>
      <c r="C53" s="184" t="s">
        <v>328</v>
      </c>
      <c r="D53" s="7" t="s">
        <v>298</v>
      </c>
      <c r="E53" s="31">
        <v>0.37</v>
      </c>
      <c r="F53" s="8">
        <f>60/E53</f>
        <v>162.16216216216216</v>
      </c>
      <c r="G53" s="31" t="s">
        <v>110</v>
      </c>
      <c r="H53" s="32" t="s">
        <v>111</v>
      </c>
      <c r="I53" s="177"/>
      <c r="J53" t="s">
        <v>883</v>
      </c>
    </row>
    <row r="54" spans="2:12">
      <c r="B54" s="6" t="s">
        <v>329</v>
      </c>
      <c r="C54" s="184" t="s">
        <v>330</v>
      </c>
      <c r="D54" s="7" t="s">
        <v>298</v>
      </c>
      <c r="E54" s="31">
        <v>0.25</v>
      </c>
      <c r="F54" s="8">
        <f>60/E54</f>
        <v>240</v>
      </c>
      <c r="G54" s="31" t="s">
        <v>110</v>
      </c>
      <c r="H54" s="32" t="s">
        <v>111</v>
      </c>
      <c r="I54" s="177"/>
      <c r="J54" t="s">
        <v>12</v>
      </c>
      <c r="L54" t="s">
        <v>884</v>
      </c>
    </row>
    <row r="55" spans="2:12">
      <c r="B55" s="6" t="s">
        <v>331</v>
      </c>
      <c r="C55" s="184" t="s">
        <v>332</v>
      </c>
      <c r="D55" s="7" t="s">
        <v>298</v>
      </c>
      <c r="E55" s="31">
        <v>0.28000000000000003</v>
      </c>
      <c r="F55" s="8">
        <f>60/E55</f>
        <v>214.28571428571428</v>
      </c>
      <c r="G55" s="31" t="s">
        <v>110</v>
      </c>
      <c r="H55" s="32" t="s">
        <v>111</v>
      </c>
      <c r="I55" s="177"/>
      <c r="J55" t="s">
        <v>12</v>
      </c>
    </row>
    <row r="56" spans="2:12">
      <c r="B56" s="6" t="s">
        <v>335</v>
      </c>
      <c r="C56" s="184" t="s">
        <v>336</v>
      </c>
      <c r="D56" s="7" t="s">
        <v>298</v>
      </c>
      <c r="E56" s="31">
        <v>0.23</v>
      </c>
      <c r="F56" s="8">
        <f>60/E56</f>
        <v>260.86956521739131</v>
      </c>
      <c r="G56" s="31" t="s">
        <v>110</v>
      </c>
      <c r="H56" s="32" t="s">
        <v>111</v>
      </c>
      <c r="I56" s="177"/>
      <c r="J56" t="s">
        <v>885</v>
      </c>
    </row>
    <row r="57" spans="2:12">
      <c r="B57" s="6" t="s">
        <v>337</v>
      </c>
      <c r="C57" s="184" t="s">
        <v>338</v>
      </c>
      <c r="D57" s="7" t="s">
        <v>298</v>
      </c>
      <c r="E57" s="31">
        <v>0.35</v>
      </c>
      <c r="F57" s="8">
        <f>60/E57</f>
        <v>171.42857142857144</v>
      </c>
      <c r="G57" s="31" t="s">
        <v>110</v>
      </c>
      <c r="H57" s="32" t="s">
        <v>111</v>
      </c>
      <c r="I57" s="177"/>
      <c r="J57" t="s">
        <v>12</v>
      </c>
    </row>
    <row r="58" spans="2:12">
      <c r="B58" s="6" t="s">
        <v>343</v>
      </c>
      <c r="C58" s="184" t="s">
        <v>344</v>
      </c>
      <c r="D58" s="7" t="s">
        <v>298</v>
      </c>
      <c r="E58" s="31">
        <v>0.65</v>
      </c>
      <c r="F58" s="8">
        <f>60/E58</f>
        <v>92.307692307692307</v>
      </c>
      <c r="G58" s="31" t="s">
        <v>110</v>
      </c>
      <c r="H58" s="32" t="s">
        <v>111</v>
      </c>
      <c r="I58" s="177"/>
      <c r="J58" t="s">
        <v>12</v>
      </c>
    </row>
    <row r="59" spans="2:12">
      <c r="B59" s="6" t="s">
        <v>345</v>
      </c>
      <c r="C59" s="184" t="s">
        <v>346</v>
      </c>
      <c r="D59" s="7" t="s">
        <v>298</v>
      </c>
      <c r="E59" s="31">
        <v>0.5</v>
      </c>
      <c r="F59" s="8">
        <f>60/E59</f>
        <v>120</v>
      </c>
      <c r="G59" s="31" t="s">
        <v>110</v>
      </c>
      <c r="H59" s="32" t="s">
        <v>111</v>
      </c>
      <c r="I59" s="177"/>
      <c r="J59" t="s">
        <v>12</v>
      </c>
    </row>
    <row r="60" spans="2:12">
      <c r="B60" s="6" t="s">
        <v>347</v>
      </c>
      <c r="C60" s="184" t="s">
        <v>348</v>
      </c>
      <c r="D60" s="7" t="s">
        <v>298</v>
      </c>
      <c r="E60" s="31">
        <v>0.65</v>
      </c>
      <c r="F60" s="8">
        <f>60/E60</f>
        <v>92.307692307692307</v>
      </c>
      <c r="G60" s="31" t="s">
        <v>110</v>
      </c>
      <c r="H60" s="32" t="s">
        <v>111</v>
      </c>
      <c r="I60" s="177"/>
      <c r="J60" t="s">
        <v>12</v>
      </c>
    </row>
    <row r="61" spans="2:12">
      <c r="B61" s="6" t="s">
        <v>349</v>
      </c>
      <c r="C61" s="184" t="s">
        <v>350</v>
      </c>
      <c r="D61" s="7" t="s">
        <v>298</v>
      </c>
      <c r="E61" s="31">
        <v>0.45</v>
      </c>
      <c r="F61" s="8">
        <f>60/E61</f>
        <v>133.33333333333334</v>
      </c>
      <c r="G61" s="31" t="s">
        <v>110</v>
      </c>
      <c r="H61" s="32" t="s">
        <v>111</v>
      </c>
      <c r="I61" s="177"/>
      <c r="J61" t="s">
        <v>12</v>
      </c>
    </row>
    <row r="62" spans="2:12">
      <c r="B62" s="6" t="s">
        <v>351</v>
      </c>
      <c r="C62" s="184" t="s">
        <v>352</v>
      </c>
      <c r="D62" s="7" t="s">
        <v>298</v>
      </c>
      <c r="E62" s="31">
        <v>0.8</v>
      </c>
      <c r="F62" s="8">
        <f>60/E62</f>
        <v>75</v>
      </c>
      <c r="G62" s="31" t="s">
        <v>110</v>
      </c>
      <c r="H62" s="32" t="s">
        <v>111</v>
      </c>
      <c r="I62" s="177"/>
      <c r="J62" t="s">
        <v>12</v>
      </c>
    </row>
    <row r="63" spans="2:12">
      <c r="B63" s="6" t="s">
        <v>353</v>
      </c>
      <c r="C63" s="184" t="s">
        <v>354</v>
      </c>
      <c r="D63" s="7" t="s">
        <v>298</v>
      </c>
      <c r="E63" s="31">
        <v>1</v>
      </c>
      <c r="F63" s="8">
        <f>60/E63</f>
        <v>60</v>
      </c>
      <c r="G63" s="31" t="s">
        <v>110</v>
      </c>
      <c r="H63" s="32" t="s">
        <v>111</v>
      </c>
      <c r="I63" s="177"/>
      <c r="J63" t="s">
        <v>12</v>
      </c>
    </row>
    <row r="64" spans="2:12">
      <c r="B64" s="6" t="s">
        <v>355</v>
      </c>
      <c r="C64" s="184" t="s">
        <v>356</v>
      </c>
      <c r="D64" s="7" t="s">
        <v>298</v>
      </c>
      <c r="E64" s="31">
        <v>0.75</v>
      </c>
      <c r="F64" s="8">
        <f>60/E64</f>
        <v>80</v>
      </c>
      <c r="G64" s="31" t="s">
        <v>110</v>
      </c>
      <c r="H64" s="32" t="s">
        <v>111</v>
      </c>
      <c r="I64" s="177"/>
      <c r="J64" t="s">
        <v>12</v>
      </c>
    </row>
    <row r="65" spans="2:12">
      <c r="B65" s="6" t="s">
        <v>357</v>
      </c>
      <c r="C65" s="184" t="s">
        <v>358</v>
      </c>
      <c r="D65" s="7" t="s">
        <v>298</v>
      </c>
      <c r="E65" s="31">
        <v>0.6</v>
      </c>
      <c r="F65" s="8">
        <f>60/E65</f>
        <v>100</v>
      </c>
      <c r="G65" s="31" t="s">
        <v>110</v>
      </c>
      <c r="H65" s="32" t="s">
        <v>111</v>
      </c>
      <c r="I65" s="177"/>
      <c r="J65" t="s">
        <v>12</v>
      </c>
      <c r="L65" t="s">
        <v>880</v>
      </c>
    </row>
    <row r="66" spans="2:12">
      <c r="B66" s="6" t="s">
        <v>359</v>
      </c>
      <c r="C66" s="184" t="s">
        <v>360</v>
      </c>
      <c r="D66" s="7" t="s">
        <v>298</v>
      </c>
      <c r="E66" s="31">
        <v>0.9</v>
      </c>
      <c r="F66" s="8">
        <f>60/E66</f>
        <v>66.666666666666671</v>
      </c>
      <c r="G66" s="31" t="s">
        <v>110</v>
      </c>
      <c r="H66" s="32" t="s">
        <v>111</v>
      </c>
      <c r="I66" s="177"/>
      <c r="J66" t="s">
        <v>12</v>
      </c>
      <c r="L66" t="s">
        <v>880</v>
      </c>
    </row>
    <row r="67" spans="2:12">
      <c r="B67" s="6" t="s">
        <v>361</v>
      </c>
      <c r="C67" s="184" t="s">
        <v>362</v>
      </c>
      <c r="D67" s="7" t="s">
        <v>298</v>
      </c>
      <c r="E67" s="31">
        <v>0.9</v>
      </c>
      <c r="F67" s="8">
        <f>60/E67</f>
        <v>66.666666666666671</v>
      </c>
      <c r="G67" s="31" t="s">
        <v>110</v>
      </c>
      <c r="H67" s="32" t="s">
        <v>111</v>
      </c>
      <c r="I67" s="177"/>
      <c r="J67" t="s">
        <v>12</v>
      </c>
    </row>
    <row r="68" spans="2:12">
      <c r="B68" s="6" t="s">
        <v>363</v>
      </c>
      <c r="C68" s="184" t="s">
        <v>364</v>
      </c>
      <c r="D68" s="7" t="s">
        <v>298</v>
      </c>
      <c r="E68" s="31">
        <v>1.1000000000000001</v>
      </c>
      <c r="F68" s="8">
        <f>60/E68</f>
        <v>54.54545454545454</v>
      </c>
      <c r="G68" s="31" t="s">
        <v>110</v>
      </c>
      <c r="H68" s="32" t="s">
        <v>111</v>
      </c>
      <c r="I68" s="177"/>
      <c r="J68" t="s">
        <v>12</v>
      </c>
    </row>
    <row r="69" spans="2:12">
      <c r="B69" s="6" t="s">
        <v>365</v>
      </c>
      <c r="C69" s="184" t="s">
        <v>366</v>
      </c>
      <c r="D69" s="7" t="s">
        <v>298</v>
      </c>
      <c r="E69" s="31">
        <v>0.75</v>
      </c>
      <c r="F69" s="8">
        <f>60/E69</f>
        <v>80</v>
      </c>
      <c r="G69" s="31" t="s">
        <v>110</v>
      </c>
      <c r="H69" s="32" t="s">
        <v>111</v>
      </c>
      <c r="I69" s="177"/>
      <c r="J69" t="s">
        <v>12</v>
      </c>
    </row>
    <row r="70" spans="2:12">
      <c r="B70" s="6" t="s">
        <v>367</v>
      </c>
      <c r="C70" s="184" t="s">
        <v>368</v>
      </c>
      <c r="D70" s="7" t="s">
        <v>298</v>
      </c>
      <c r="E70" s="31">
        <v>0.5</v>
      </c>
      <c r="F70" s="8">
        <f>60/E70</f>
        <v>120</v>
      </c>
      <c r="G70" s="31" t="s">
        <v>110</v>
      </c>
      <c r="H70" s="32" t="s">
        <v>111</v>
      </c>
      <c r="I70" s="177"/>
      <c r="J70" t="s">
        <v>12</v>
      </c>
    </row>
    <row r="71" spans="2:12">
      <c r="B71" s="6" t="s">
        <v>369</v>
      </c>
      <c r="C71" s="184" t="s">
        <v>370</v>
      </c>
      <c r="D71" s="7" t="s">
        <v>298</v>
      </c>
      <c r="E71" s="31">
        <v>0.5</v>
      </c>
      <c r="F71" s="8">
        <f>60/E71</f>
        <v>120</v>
      </c>
      <c r="G71" s="31" t="s">
        <v>110</v>
      </c>
      <c r="H71" s="32" t="s">
        <v>111</v>
      </c>
      <c r="I71" s="177"/>
      <c r="J71" t="s">
        <v>12</v>
      </c>
    </row>
    <row r="72" spans="2:12">
      <c r="B72" s="6" t="s">
        <v>371</v>
      </c>
      <c r="C72" s="185" t="s">
        <v>372</v>
      </c>
      <c r="D72" s="7" t="s">
        <v>298</v>
      </c>
      <c r="E72" s="31">
        <v>0.3</v>
      </c>
      <c r="F72" s="8">
        <f>60/E72</f>
        <v>200</v>
      </c>
      <c r="G72" s="31" t="s">
        <v>110</v>
      </c>
      <c r="H72" s="32" t="s">
        <v>111</v>
      </c>
      <c r="I72" s="177"/>
      <c r="J72" t="s">
        <v>12</v>
      </c>
    </row>
    <row r="73" spans="2:12">
      <c r="B73" s="6" t="s">
        <v>373</v>
      </c>
      <c r="C73" s="184" t="s">
        <v>374</v>
      </c>
      <c r="D73" s="7" t="s">
        <v>298</v>
      </c>
      <c r="E73" s="31">
        <v>0.45</v>
      </c>
      <c r="F73" s="8">
        <f>60/E73</f>
        <v>133.33333333333334</v>
      </c>
      <c r="G73" s="31" t="s">
        <v>110</v>
      </c>
      <c r="H73" s="32" t="s">
        <v>111</v>
      </c>
      <c r="I73" s="177"/>
      <c r="J73" t="s">
        <v>12</v>
      </c>
    </row>
    <row r="74" spans="2:12">
      <c r="B74" s="6" t="s">
        <v>377</v>
      </c>
      <c r="C74" s="184" t="s">
        <v>378</v>
      </c>
      <c r="D74" s="7" t="s">
        <v>298</v>
      </c>
      <c r="E74" s="31">
        <v>0.6</v>
      </c>
      <c r="F74" s="8">
        <f>60/E74</f>
        <v>100</v>
      </c>
      <c r="G74" s="31" t="s">
        <v>110</v>
      </c>
      <c r="H74" s="32" t="s">
        <v>111</v>
      </c>
      <c r="I74" s="177"/>
      <c r="J74" t="s">
        <v>12</v>
      </c>
    </row>
    <row r="75" spans="2:12">
      <c r="B75" s="6" t="s">
        <v>379</v>
      </c>
      <c r="C75" s="184" t="s">
        <v>380</v>
      </c>
      <c r="D75" s="7" t="s">
        <v>298</v>
      </c>
      <c r="E75" s="31">
        <v>0.45</v>
      </c>
      <c r="F75" s="8">
        <f>60/E75</f>
        <v>133.33333333333334</v>
      </c>
      <c r="G75" s="31" t="s">
        <v>110</v>
      </c>
      <c r="H75" s="32" t="s">
        <v>111</v>
      </c>
      <c r="I75" s="177"/>
      <c r="J75" t="s">
        <v>12</v>
      </c>
    </row>
    <row r="76" spans="2:12">
      <c r="B76" s="6" t="s">
        <v>381</v>
      </c>
      <c r="C76" s="184" t="s">
        <v>382</v>
      </c>
      <c r="D76" s="7" t="s">
        <v>298</v>
      </c>
      <c r="E76" s="31">
        <v>0.5</v>
      </c>
      <c r="F76" s="8">
        <f>60/E76</f>
        <v>120</v>
      </c>
      <c r="G76" s="31" t="s">
        <v>110</v>
      </c>
      <c r="H76" s="32" t="s">
        <v>111</v>
      </c>
      <c r="I76" s="177"/>
      <c r="J76" t="s">
        <v>12</v>
      </c>
    </row>
    <row r="77" spans="2:12">
      <c r="B77" s="6" t="s">
        <v>383</v>
      </c>
      <c r="C77" s="184" t="s">
        <v>384</v>
      </c>
      <c r="D77" s="7" t="s">
        <v>298</v>
      </c>
      <c r="E77" s="31">
        <v>0.3</v>
      </c>
      <c r="F77" s="8">
        <f>60/E77</f>
        <v>200</v>
      </c>
      <c r="G77" s="31" t="s">
        <v>110</v>
      </c>
      <c r="H77" s="32" t="s">
        <v>111</v>
      </c>
      <c r="I77" s="177"/>
      <c r="J77" t="s">
        <v>12</v>
      </c>
    </row>
    <row r="78" spans="2:12">
      <c r="B78" s="6" t="s">
        <v>387</v>
      </c>
      <c r="C78" s="184" t="s">
        <v>388</v>
      </c>
      <c r="D78" s="7" t="s">
        <v>298</v>
      </c>
      <c r="E78" s="31">
        <v>0.26</v>
      </c>
      <c r="F78" s="8">
        <f>60/E78</f>
        <v>230.76923076923077</v>
      </c>
      <c r="G78" s="31" t="s">
        <v>110</v>
      </c>
      <c r="H78" s="32" t="s">
        <v>111</v>
      </c>
      <c r="I78" s="177"/>
      <c r="J78" t="s">
        <v>12</v>
      </c>
    </row>
    <row r="79" spans="2:12">
      <c r="B79" s="6" t="s">
        <v>389</v>
      </c>
      <c r="C79" s="184" t="s">
        <v>390</v>
      </c>
      <c r="D79" s="7" t="s">
        <v>298</v>
      </c>
      <c r="E79" s="31">
        <v>0.4</v>
      </c>
      <c r="F79" s="8">
        <f>60/E79</f>
        <v>150</v>
      </c>
      <c r="G79" s="31" t="s">
        <v>110</v>
      </c>
      <c r="H79" s="32" t="s">
        <v>111</v>
      </c>
      <c r="I79" s="177"/>
      <c r="J79" t="s">
        <v>12</v>
      </c>
    </row>
    <row r="80" spans="2:12">
      <c r="B80" s="6" t="s">
        <v>395</v>
      </c>
      <c r="C80" s="184" t="s">
        <v>344</v>
      </c>
      <c r="D80" s="7" t="s">
        <v>298</v>
      </c>
      <c r="E80" s="31">
        <v>1.1000000000000001</v>
      </c>
      <c r="F80" s="8">
        <f>60/E80</f>
        <v>54.54545454545454</v>
      </c>
      <c r="G80" s="31" t="s">
        <v>110</v>
      </c>
      <c r="H80" s="32" t="s">
        <v>111</v>
      </c>
      <c r="I80" s="177"/>
      <c r="J80" t="s">
        <v>12</v>
      </c>
    </row>
    <row r="81" spans="2:10">
      <c r="B81" s="6" t="s">
        <v>396</v>
      </c>
      <c r="C81" s="184" t="s">
        <v>300</v>
      </c>
      <c r="D81" s="7" t="s">
        <v>298</v>
      </c>
      <c r="E81" s="31">
        <v>0.4</v>
      </c>
      <c r="F81" s="8">
        <f>60/E81</f>
        <v>150</v>
      </c>
      <c r="G81" s="31" t="s">
        <v>110</v>
      </c>
      <c r="H81" s="32" t="s">
        <v>111</v>
      </c>
      <c r="I81" s="177"/>
      <c r="J81" t="s">
        <v>12</v>
      </c>
    </row>
    <row r="82" spans="2:10">
      <c r="B82" s="6" t="s">
        <v>407</v>
      </c>
      <c r="C82" s="184" t="s">
        <v>408</v>
      </c>
      <c r="D82" s="7" t="s">
        <v>399</v>
      </c>
      <c r="E82" s="31">
        <v>0.6</v>
      </c>
      <c r="F82" s="8">
        <f>60/E82</f>
        <v>100</v>
      </c>
      <c r="G82" s="31" t="s">
        <v>110</v>
      </c>
      <c r="H82" s="32" t="s">
        <v>111</v>
      </c>
      <c r="I82" s="177"/>
      <c r="J82" t="s">
        <v>882</v>
      </c>
    </row>
    <row r="83" spans="2:10">
      <c r="B83" s="6" t="s">
        <v>409</v>
      </c>
      <c r="C83" s="184" t="s">
        <v>410</v>
      </c>
      <c r="D83" s="7" t="s">
        <v>399</v>
      </c>
      <c r="E83" s="31">
        <v>0.15</v>
      </c>
      <c r="F83" s="8">
        <f>60/E83</f>
        <v>400</v>
      </c>
      <c r="G83" s="31" t="s">
        <v>110</v>
      </c>
      <c r="H83" s="32" t="s">
        <v>111</v>
      </c>
      <c r="I83" s="177"/>
      <c r="J83" t="s">
        <v>12</v>
      </c>
    </row>
    <row r="84" spans="2:10">
      <c r="B84" s="6" t="s">
        <v>411</v>
      </c>
      <c r="C84" s="184" t="s">
        <v>412</v>
      </c>
      <c r="D84" s="7" t="s">
        <v>399</v>
      </c>
      <c r="E84" s="31">
        <v>0.3</v>
      </c>
      <c r="F84" s="8">
        <f>60/E84</f>
        <v>200</v>
      </c>
      <c r="G84" s="31" t="s">
        <v>110</v>
      </c>
      <c r="H84" s="32" t="s">
        <v>111</v>
      </c>
      <c r="I84" s="177"/>
      <c r="J84" t="s">
        <v>12</v>
      </c>
    </row>
    <row r="85" spans="2:10">
      <c r="B85" s="6" t="s">
        <v>417</v>
      </c>
      <c r="C85" s="184" t="s">
        <v>418</v>
      </c>
      <c r="D85" s="7" t="s">
        <v>399</v>
      </c>
      <c r="E85" s="31">
        <v>0.28999999999999998</v>
      </c>
      <c r="F85" s="8">
        <f>60/E85</f>
        <v>206.89655172413794</v>
      </c>
      <c r="G85" s="31" t="s">
        <v>110</v>
      </c>
      <c r="H85" s="32" t="s">
        <v>111</v>
      </c>
      <c r="I85" s="177"/>
      <c r="J85" t="s">
        <v>12</v>
      </c>
    </row>
    <row r="86" spans="2:10">
      <c r="B86" s="6" t="s">
        <v>419</v>
      </c>
      <c r="C86" s="184" t="s">
        <v>420</v>
      </c>
      <c r="D86" s="7" t="s">
        <v>399</v>
      </c>
      <c r="E86" s="31">
        <v>0.9</v>
      </c>
      <c r="F86" s="8">
        <f>60/E86</f>
        <v>66.666666666666671</v>
      </c>
      <c r="G86" s="31" t="s">
        <v>110</v>
      </c>
      <c r="H86" s="32" t="s">
        <v>111</v>
      </c>
      <c r="I86" s="177"/>
      <c r="J86" t="s">
        <v>12</v>
      </c>
    </row>
    <row r="87" spans="2:10">
      <c r="B87" s="6" t="s">
        <v>425</v>
      </c>
      <c r="C87" s="184" t="s">
        <v>426</v>
      </c>
      <c r="D87" s="7" t="s">
        <v>399</v>
      </c>
      <c r="E87" s="31">
        <v>0.2</v>
      </c>
      <c r="F87" s="8">
        <f>60/E87</f>
        <v>300</v>
      </c>
      <c r="G87" s="31" t="s">
        <v>110</v>
      </c>
      <c r="H87" s="32" t="s">
        <v>111</v>
      </c>
      <c r="I87" s="177"/>
      <c r="J87" t="s">
        <v>12</v>
      </c>
    </row>
    <row r="88" spans="2:10">
      <c r="B88" s="6" t="s">
        <v>429</v>
      </c>
      <c r="C88" s="184" t="s">
        <v>430</v>
      </c>
      <c r="D88" s="7" t="s">
        <v>399</v>
      </c>
      <c r="E88" s="31">
        <v>0.25</v>
      </c>
      <c r="F88" s="8">
        <f>60/E88</f>
        <v>240</v>
      </c>
      <c r="G88" s="31" t="s">
        <v>110</v>
      </c>
      <c r="H88" s="32" t="s">
        <v>111</v>
      </c>
      <c r="I88" s="177"/>
      <c r="J88" t="s">
        <v>885</v>
      </c>
    </row>
    <row r="89" spans="2:10">
      <c r="B89" s="6" t="s">
        <v>431</v>
      </c>
      <c r="C89" s="184" t="s">
        <v>432</v>
      </c>
      <c r="D89" s="7" t="s">
        <v>399</v>
      </c>
      <c r="E89" s="31">
        <v>0.56000000000000005</v>
      </c>
      <c r="F89" s="8">
        <f>60/E89</f>
        <v>107.14285714285714</v>
      </c>
      <c r="G89" s="31" t="s">
        <v>110</v>
      </c>
      <c r="H89" s="32" t="s">
        <v>111</v>
      </c>
      <c r="I89" s="177"/>
      <c r="J89" t="s">
        <v>883</v>
      </c>
    </row>
    <row r="90" spans="2:10">
      <c r="B90" s="6" t="s">
        <v>433</v>
      </c>
      <c r="C90" s="184" t="s">
        <v>434</v>
      </c>
      <c r="D90" s="7" t="s">
        <v>399</v>
      </c>
      <c r="E90" s="31">
        <v>0.3513</v>
      </c>
      <c r="F90" s="8">
        <f>60/E90</f>
        <v>170.79419299743807</v>
      </c>
      <c r="G90" s="31" t="s">
        <v>110</v>
      </c>
      <c r="H90" s="32" t="s">
        <v>111</v>
      </c>
      <c r="I90" s="177"/>
      <c r="J90" t="s">
        <v>12</v>
      </c>
    </row>
    <row r="91" spans="2:10">
      <c r="B91" s="6" t="s">
        <v>435</v>
      </c>
      <c r="C91" s="184" t="s">
        <v>436</v>
      </c>
      <c r="D91" s="7" t="s">
        <v>399</v>
      </c>
      <c r="E91" s="31">
        <v>0.48</v>
      </c>
      <c r="F91" s="8">
        <f>60/E91</f>
        <v>125</v>
      </c>
      <c r="G91" s="31" t="s">
        <v>110</v>
      </c>
      <c r="H91" s="32" t="s">
        <v>111</v>
      </c>
      <c r="I91" s="177"/>
      <c r="J91" t="s">
        <v>12</v>
      </c>
    </row>
    <row r="92" spans="2:10">
      <c r="B92" s="6" t="s">
        <v>449</v>
      </c>
      <c r="C92" s="184" t="s">
        <v>450</v>
      </c>
      <c r="D92" s="7" t="s">
        <v>399</v>
      </c>
      <c r="E92" s="31">
        <v>0.46</v>
      </c>
      <c r="F92" s="8">
        <f>60/E92</f>
        <v>130.43478260869566</v>
      </c>
      <c r="G92" s="31" t="s">
        <v>110</v>
      </c>
      <c r="H92" s="32" t="s">
        <v>111</v>
      </c>
      <c r="I92" s="177"/>
      <c r="J92" t="s">
        <v>12</v>
      </c>
    </row>
    <row r="93" spans="2:10">
      <c r="B93" s="6" t="s">
        <v>453</v>
      </c>
      <c r="C93" s="184" t="s">
        <v>454</v>
      </c>
      <c r="D93" s="7" t="s">
        <v>399</v>
      </c>
      <c r="E93" s="31">
        <v>0.75</v>
      </c>
      <c r="F93" s="8">
        <f>60/E93</f>
        <v>80</v>
      </c>
      <c r="G93" s="31" t="s">
        <v>110</v>
      </c>
      <c r="H93" s="32" t="s">
        <v>111</v>
      </c>
      <c r="I93" s="177"/>
      <c r="J93" t="s">
        <v>12</v>
      </c>
    </row>
    <row r="94" spans="2:10">
      <c r="B94" s="6" t="s">
        <v>455</v>
      </c>
      <c r="C94" s="184" t="s">
        <v>456</v>
      </c>
      <c r="D94" s="7" t="s">
        <v>399</v>
      </c>
      <c r="E94" s="31">
        <v>0.45</v>
      </c>
      <c r="F94" s="8">
        <f>60/E94</f>
        <v>133.33333333333334</v>
      </c>
      <c r="G94" s="31" t="s">
        <v>110</v>
      </c>
      <c r="H94" s="32" t="s">
        <v>111</v>
      </c>
      <c r="I94" s="177"/>
      <c r="J94" t="s">
        <v>12</v>
      </c>
    </row>
    <row r="95" spans="2:10">
      <c r="B95" s="6" t="s">
        <v>457</v>
      </c>
      <c r="C95" s="184" t="s">
        <v>458</v>
      </c>
      <c r="D95" s="7" t="s">
        <v>399</v>
      </c>
      <c r="E95" s="31">
        <v>0.75</v>
      </c>
      <c r="F95" s="8">
        <f>60/E95</f>
        <v>80</v>
      </c>
      <c r="G95" s="31" t="s">
        <v>110</v>
      </c>
      <c r="H95" s="32" t="s">
        <v>111</v>
      </c>
      <c r="I95" s="177"/>
      <c r="J95" t="s">
        <v>886</v>
      </c>
    </row>
    <row r="96" spans="2:10">
      <c r="B96" s="6" t="s">
        <v>459</v>
      </c>
      <c r="C96" s="184" t="s">
        <v>460</v>
      </c>
      <c r="D96" s="7" t="s">
        <v>399</v>
      </c>
      <c r="E96" s="31">
        <v>0.77</v>
      </c>
      <c r="F96" s="8">
        <f>60/E96</f>
        <v>77.922077922077918</v>
      </c>
      <c r="G96" s="31" t="s">
        <v>110</v>
      </c>
      <c r="H96" s="32" t="s">
        <v>111</v>
      </c>
      <c r="I96" s="177"/>
      <c r="J96" t="s">
        <v>881</v>
      </c>
    </row>
    <row r="97" spans="2:10">
      <c r="B97" s="6" t="s">
        <v>461</v>
      </c>
      <c r="C97" s="184" t="s">
        <v>462</v>
      </c>
      <c r="D97" s="7" t="s">
        <v>399</v>
      </c>
      <c r="E97" s="31">
        <v>0.8</v>
      </c>
      <c r="F97" s="8">
        <f>60/E97</f>
        <v>75</v>
      </c>
      <c r="G97" s="31" t="s">
        <v>110</v>
      </c>
      <c r="H97" s="32" t="s">
        <v>111</v>
      </c>
      <c r="I97" s="177"/>
      <c r="J97" t="s">
        <v>878</v>
      </c>
    </row>
    <row r="98" spans="2:10">
      <c r="B98" s="6" t="s">
        <v>465</v>
      </c>
      <c r="C98" s="184" t="s">
        <v>466</v>
      </c>
      <c r="D98" s="7" t="s">
        <v>399</v>
      </c>
      <c r="E98" s="31">
        <v>0.6</v>
      </c>
      <c r="F98" s="8">
        <f>60/E98</f>
        <v>100</v>
      </c>
      <c r="G98" s="31" t="s">
        <v>110</v>
      </c>
      <c r="H98" s="32" t="s">
        <v>111</v>
      </c>
      <c r="I98" s="177"/>
      <c r="J98" t="s">
        <v>12</v>
      </c>
    </row>
    <row r="99" spans="2:10">
      <c r="B99" s="6" t="s">
        <v>471</v>
      </c>
      <c r="C99" s="184" t="s">
        <v>472</v>
      </c>
      <c r="D99" s="7" t="s">
        <v>399</v>
      </c>
      <c r="E99" s="31">
        <v>0.3</v>
      </c>
      <c r="F99" s="8">
        <f>60/E99</f>
        <v>200</v>
      </c>
      <c r="G99" s="31" t="s">
        <v>110</v>
      </c>
      <c r="H99" s="32" t="s">
        <v>111</v>
      </c>
      <c r="I99" s="177"/>
      <c r="J99" t="s">
        <v>12</v>
      </c>
    </row>
    <row r="100" spans="2:10">
      <c r="B100" s="6" t="s">
        <v>479</v>
      </c>
      <c r="C100" s="184" t="s">
        <v>480</v>
      </c>
      <c r="D100" s="7" t="s">
        <v>399</v>
      </c>
      <c r="E100" s="31">
        <v>0.28000000000000003</v>
      </c>
      <c r="F100" s="8">
        <f>60/E100</f>
        <v>214.28571428571428</v>
      </c>
      <c r="G100" s="31" t="s">
        <v>110</v>
      </c>
      <c r="H100" s="32" t="s">
        <v>111</v>
      </c>
      <c r="I100" s="177"/>
      <c r="J100" t="s">
        <v>12</v>
      </c>
    </row>
    <row r="101" spans="2:10">
      <c r="B101" s="6" t="s">
        <v>481</v>
      </c>
      <c r="C101" s="184" t="s">
        <v>482</v>
      </c>
      <c r="D101" s="7" t="s">
        <v>399</v>
      </c>
      <c r="E101" s="31">
        <v>0.25</v>
      </c>
      <c r="F101" s="8">
        <f>60/E101</f>
        <v>240</v>
      </c>
      <c r="G101" s="31" t="s">
        <v>110</v>
      </c>
      <c r="H101" s="32" t="s">
        <v>111</v>
      </c>
      <c r="I101" s="177"/>
      <c r="J101" t="s">
        <v>12</v>
      </c>
    </row>
    <row r="102" spans="2:10">
      <c r="B102" s="6" t="s">
        <v>483</v>
      </c>
      <c r="C102" s="184" t="s">
        <v>484</v>
      </c>
      <c r="D102" s="7" t="s">
        <v>399</v>
      </c>
      <c r="E102" s="31">
        <v>0.4</v>
      </c>
      <c r="F102" s="8">
        <f>60/E102</f>
        <v>150</v>
      </c>
      <c r="G102" s="31" t="s">
        <v>110</v>
      </c>
      <c r="H102" s="32" t="s">
        <v>111</v>
      </c>
      <c r="I102" s="177"/>
      <c r="J102" t="s">
        <v>12</v>
      </c>
    </row>
    <row r="103" spans="2:10">
      <c r="B103" s="6" t="s">
        <v>485</v>
      </c>
      <c r="C103" s="184" t="s">
        <v>486</v>
      </c>
      <c r="D103" s="7" t="s">
        <v>399</v>
      </c>
      <c r="E103" s="31">
        <v>0.51</v>
      </c>
      <c r="F103" s="8">
        <f>60/E103</f>
        <v>117.64705882352941</v>
      </c>
      <c r="G103" s="31" t="s">
        <v>110</v>
      </c>
      <c r="H103" s="32" t="s">
        <v>111</v>
      </c>
      <c r="I103" s="177"/>
      <c r="J103" t="s">
        <v>12</v>
      </c>
    </row>
    <row r="104" spans="2:10">
      <c r="B104" s="6" t="s">
        <v>493</v>
      </c>
      <c r="C104" s="184" t="s">
        <v>494</v>
      </c>
      <c r="D104" s="7" t="s">
        <v>399</v>
      </c>
      <c r="E104" s="31">
        <v>0.4</v>
      </c>
      <c r="F104" s="8">
        <f>60/E104</f>
        <v>150</v>
      </c>
      <c r="G104" s="31" t="s">
        <v>110</v>
      </c>
      <c r="H104" s="32" t="s">
        <v>111</v>
      </c>
      <c r="I104" s="177"/>
      <c r="J104" t="s">
        <v>882</v>
      </c>
    </row>
    <row r="105" spans="2:10">
      <c r="B105" s="6" t="s">
        <v>495</v>
      </c>
      <c r="C105" s="184" t="s">
        <v>496</v>
      </c>
      <c r="D105" s="7" t="s">
        <v>399</v>
      </c>
      <c r="E105" s="31">
        <v>0.8</v>
      </c>
      <c r="F105" s="8">
        <f>60/E105</f>
        <v>75</v>
      </c>
      <c r="G105" s="31" t="s">
        <v>110</v>
      </c>
      <c r="H105" s="32" t="s">
        <v>111</v>
      </c>
      <c r="I105" s="177"/>
      <c r="J105" t="s">
        <v>12</v>
      </c>
    </row>
    <row r="106" spans="2:10">
      <c r="B106" s="6" t="s">
        <v>497</v>
      </c>
      <c r="C106" s="184" t="s">
        <v>498</v>
      </c>
      <c r="D106" s="7" t="s">
        <v>399</v>
      </c>
      <c r="E106" s="31">
        <v>0.72</v>
      </c>
      <c r="F106" s="8">
        <f>60/E106</f>
        <v>83.333333333333343</v>
      </c>
      <c r="G106" s="31" t="s">
        <v>110</v>
      </c>
      <c r="H106" s="32" t="s">
        <v>111</v>
      </c>
      <c r="I106" s="177"/>
      <c r="J106" t="s">
        <v>12</v>
      </c>
    </row>
    <row r="107" spans="2:10">
      <c r="B107" s="6" t="s">
        <v>499</v>
      </c>
      <c r="C107" s="184" t="s">
        <v>500</v>
      </c>
      <c r="D107" s="7" t="s">
        <v>399</v>
      </c>
      <c r="E107" s="31">
        <v>0.65</v>
      </c>
      <c r="F107" s="8">
        <f>60/E107</f>
        <v>92.307692307692307</v>
      </c>
      <c r="G107" s="31" t="s">
        <v>110</v>
      </c>
      <c r="H107" s="32" t="s">
        <v>111</v>
      </c>
      <c r="I107" s="177"/>
      <c r="J107" t="s">
        <v>12</v>
      </c>
    </row>
    <row r="108" spans="2:10">
      <c r="B108" s="6" t="s">
        <v>501</v>
      </c>
      <c r="C108" s="184" t="s">
        <v>502</v>
      </c>
      <c r="D108" s="7" t="s">
        <v>399</v>
      </c>
      <c r="E108" s="31">
        <v>1.45</v>
      </c>
      <c r="F108" s="8">
        <f>60/E108</f>
        <v>41.379310344827587</v>
      </c>
      <c r="G108" s="31" t="s">
        <v>110</v>
      </c>
      <c r="H108" s="32" t="s">
        <v>111</v>
      </c>
      <c r="I108" s="177"/>
      <c r="J108" t="s">
        <v>12</v>
      </c>
    </row>
    <row r="109" spans="2:10">
      <c r="B109" s="6" t="s">
        <v>503</v>
      </c>
      <c r="C109" s="184" t="s">
        <v>504</v>
      </c>
      <c r="D109" s="7" t="s">
        <v>399</v>
      </c>
      <c r="E109" s="31">
        <v>0.7</v>
      </c>
      <c r="F109" s="8">
        <f>60/E109</f>
        <v>85.714285714285722</v>
      </c>
      <c r="G109" s="31" t="s">
        <v>110</v>
      </c>
      <c r="H109" s="32" t="s">
        <v>111</v>
      </c>
      <c r="I109" s="177"/>
      <c r="J109" t="s">
        <v>12</v>
      </c>
    </row>
    <row r="110" spans="2:10">
      <c r="B110" s="6" t="s">
        <v>505</v>
      </c>
      <c r="C110" s="184" t="s">
        <v>506</v>
      </c>
      <c r="D110" s="7" t="s">
        <v>399</v>
      </c>
      <c r="E110" s="31">
        <v>0.98</v>
      </c>
      <c r="F110" s="8">
        <f>60/E110</f>
        <v>61.224489795918366</v>
      </c>
      <c r="G110" s="31" t="s">
        <v>110</v>
      </c>
      <c r="H110" s="32" t="s">
        <v>111</v>
      </c>
      <c r="I110" s="177"/>
      <c r="J110" t="s">
        <v>12</v>
      </c>
    </row>
    <row r="111" spans="2:10">
      <c r="B111" s="6" t="s">
        <v>507</v>
      </c>
      <c r="C111" s="184" t="s">
        <v>508</v>
      </c>
      <c r="D111" s="7" t="s">
        <v>399</v>
      </c>
      <c r="E111" s="31">
        <v>0.88</v>
      </c>
      <c r="F111" s="8">
        <f>60/E111</f>
        <v>68.181818181818187</v>
      </c>
      <c r="G111" s="31" t="s">
        <v>110</v>
      </c>
      <c r="H111" s="32" t="s">
        <v>111</v>
      </c>
      <c r="I111" s="177"/>
      <c r="J111" t="s">
        <v>878</v>
      </c>
    </row>
    <row r="112" spans="2:10">
      <c r="B112" s="6" t="s">
        <v>509</v>
      </c>
      <c r="C112" s="184" t="s">
        <v>510</v>
      </c>
      <c r="D112" s="7" t="s">
        <v>399</v>
      </c>
      <c r="E112" s="31">
        <v>0.2</v>
      </c>
      <c r="F112" s="8">
        <f>60/E112</f>
        <v>300</v>
      </c>
      <c r="G112" s="31" t="s">
        <v>110</v>
      </c>
      <c r="H112" s="32" t="s">
        <v>111</v>
      </c>
      <c r="I112" s="177"/>
      <c r="J112" t="s">
        <v>881</v>
      </c>
    </row>
    <row r="113" spans="2:10">
      <c r="B113" s="6" t="s">
        <v>511</v>
      </c>
      <c r="C113" s="184" t="s">
        <v>512</v>
      </c>
      <c r="D113" s="7" t="s">
        <v>399</v>
      </c>
      <c r="E113" s="31">
        <v>0.8</v>
      </c>
      <c r="F113" s="8">
        <f>60/E113</f>
        <v>75</v>
      </c>
      <c r="G113" s="31" t="s">
        <v>110</v>
      </c>
      <c r="H113" s="32" t="s">
        <v>111</v>
      </c>
      <c r="I113" s="177"/>
      <c r="J113" t="s">
        <v>12</v>
      </c>
    </row>
    <row r="114" spans="2:10">
      <c r="B114" s="6" t="s">
        <v>513</v>
      </c>
      <c r="C114" s="184" t="s">
        <v>514</v>
      </c>
      <c r="D114" s="7" t="s">
        <v>399</v>
      </c>
      <c r="E114" s="31">
        <v>0.75</v>
      </c>
      <c r="F114" s="8">
        <f>60/E114</f>
        <v>80</v>
      </c>
      <c r="G114" s="31" t="s">
        <v>110</v>
      </c>
      <c r="H114" s="32" t="s">
        <v>111</v>
      </c>
      <c r="I114" s="177"/>
      <c r="J114" t="s">
        <v>12</v>
      </c>
    </row>
    <row r="115" spans="2:10">
      <c r="B115" s="6" t="s">
        <v>515</v>
      </c>
      <c r="C115" s="184" t="s">
        <v>516</v>
      </c>
      <c r="D115" s="7" t="s">
        <v>399</v>
      </c>
      <c r="E115" s="31">
        <v>0.9</v>
      </c>
      <c r="F115" s="8">
        <f>60/E115</f>
        <v>66.666666666666671</v>
      </c>
      <c r="G115" s="31" t="s">
        <v>110</v>
      </c>
      <c r="H115" s="32" t="s">
        <v>111</v>
      </c>
      <c r="I115" s="177"/>
      <c r="J115" t="s">
        <v>12</v>
      </c>
    </row>
    <row r="116" spans="2:10">
      <c r="B116" s="6" t="s">
        <v>517</v>
      </c>
      <c r="C116" s="184" t="s">
        <v>518</v>
      </c>
      <c r="D116" s="7" t="s">
        <v>399</v>
      </c>
      <c r="E116" s="31">
        <v>0.3</v>
      </c>
      <c r="F116" s="8">
        <f>60/E116</f>
        <v>200</v>
      </c>
      <c r="G116" s="31" t="s">
        <v>110</v>
      </c>
      <c r="H116" s="32" t="s">
        <v>111</v>
      </c>
      <c r="I116" s="177"/>
      <c r="J116" t="s">
        <v>12</v>
      </c>
    </row>
    <row r="117" spans="2:10">
      <c r="B117" s="6" t="s">
        <v>519</v>
      </c>
      <c r="C117" s="184" t="s">
        <v>520</v>
      </c>
      <c r="D117" s="7" t="s">
        <v>399</v>
      </c>
      <c r="E117" s="31">
        <v>0.35</v>
      </c>
      <c r="F117" s="8">
        <f>60/E117</f>
        <v>171.42857142857144</v>
      </c>
      <c r="G117" s="31" t="s">
        <v>110</v>
      </c>
      <c r="H117" s="32" t="s">
        <v>111</v>
      </c>
      <c r="I117" s="177"/>
      <c r="J117" t="s">
        <v>887</v>
      </c>
    </row>
    <row r="118" spans="2:10">
      <c r="B118" s="6" t="s">
        <v>521</v>
      </c>
      <c r="C118" s="184" t="s">
        <v>522</v>
      </c>
      <c r="D118" s="7" t="s">
        <v>399</v>
      </c>
      <c r="E118" s="31">
        <v>0.3</v>
      </c>
      <c r="F118" s="8">
        <f>60/E118</f>
        <v>200</v>
      </c>
      <c r="G118" s="31" t="s">
        <v>110</v>
      </c>
      <c r="H118" s="32" t="s">
        <v>111</v>
      </c>
      <c r="I118" s="177"/>
      <c r="J118" t="s">
        <v>881</v>
      </c>
    </row>
    <row r="119" spans="2:10">
      <c r="B119" s="6" t="s">
        <v>525</v>
      </c>
      <c r="C119" s="184" t="s">
        <v>398</v>
      </c>
      <c r="D119" s="7" t="s">
        <v>399</v>
      </c>
      <c r="E119" s="31">
        <v>0.6</v>
      </c>
      <c r="F119" s="8">
        <f>60/E119</f>
        <v>100</v>
      </c>
      <c r="G119" s="31" t="s">
        <v>110</v>
      </c>
      <c r="H119" s="32" t="s">
        <v>111</v>
      </c>
      <c r="I119" s="177"/>
      <c r="J119" t="s">
        <v>12</v>
      </c>
    </row>
    <row r="120" spans="2:10">
      <c r="B120" s="6" t="s">
        <v>526</v>
      </c>
      <c r="C120" s="184" t="s">
        <v>406</v>
      </c>
      <c r="D120" s="7" t="s">
        <v>399</v>
      </c>
      <c r="E120" s="31">
        <v>0.45</v>
      </c>
      <c r="F120" s="8">
        <f>60/E120</f>
        <v>133.33333333333334</v>
      </c>
      <c r="G120" s="31" t="s">
        <v>110</v>
      </c>
      <c r="H120" s="32" t="s">
        <v>111</v>
      </c>
      <c r="I120" s="177"/>
      <c r="J120" t="s">
        <v>12</v>
      </c>
    </row>
    <row r="121" spans="2:10">
      <c r="B121" s="6" t="s">
        <v>527</v>
      </c>
      <c r="C121" s="184" t="s">
        <v>418</v>
      </c>
      <c r="D121" s="7" t="s">
        <v>399</v>
      </c>
      <c r="E121" s="31">
        <v>0.35</v>
      </c>
      <c r="F121" s="8">
        <f>60/E121</f>
        <v>171.42857142857144</v>
      </c>
      <c r="G121" s="31" t="s">
        <v>110</v>
      </c>
      <c r="H121" s="32" t="s">
        <v>111</v>
      </c>
      <c r="I121" s="177"/>
      <c r="J121" t="s">
        <v>12</v>
      </c>
    </row>
    <row r="122" spans="2:10">
      <c r="B122" s="6" t="s">
        <v>529</v>
      </c>
      <c r="C122" s="184" t="s">
        <v>420</v>
      </c>
      <c r="D122" s="7" t="s">
        <v>399</v>
      </c>
      <c r="E122" s="31">
        <v>0.9</v>
      </c>
      <c r="F122" s="8">
        <f>60/E122</f>
        <v>66.666666666666671</v>
      </c>
      <c r="G122" s="31" t="s">
        <v>110</v>
      </c>
      <c r="H122" s="32" t="s">
        <v>111</v>
      </c>
      <c r="I122" s="177"/>
      <c r="J122" t="s">
        <v>12</v>
      </c>
    </row>
    <row r="123" spans="2:10">
      <c r="B123" s="6" t="s">
        <v>532</v>
      </c>
      <c r="C123" s="184" t="s">
        <v>372</v>
      </c>
      <c r="D123" s="7" t="s">
        <v>399</v>
      </c>
      <c r="E123" s="31">
        <v>0.5</v>
      </c>
      <c r="F123" s="8">
        <f>60/E123</f>
        <v>120</v>
      </c>
      <c r="G123" s="31" t="s">
        <v>110</v>
      </c>
      <c r="H123" s="32" t="s">
        <v>111</v>
      </c>
      <c r="I123" s="177"/>
      <c r="J123" t="s">
        <v>12</v>
      </c>
    </row>
    <row r="124" spans="2:10">
      <c r="B124" s="6" t="s">
        <v>533</v>
      </c>
      <c r="C124" s="184" t="s">
        <v>454</v>
      </c>
      <c r="D124" s="7" t="s">
        <v>399</v>
      </c>
      <c r="E124" s="31">
        <v>0.95</v>
      </c>
      <c r="F124" s="8">
        <f>60/E124</f>
        <v>63.15789473684211</v>
      </c>
      <c r="G124" s="31" t="s">
        <v>110</v>
      </c>
      <c r="H124" s="32" t="s">
        <v>111</v>
      </c>
      <c r="I124" s="177"/>
      <c r="J124" t="s">
        <v>12</v>
      </c>
    </row>
    <row r="125" spans="2:10">
      <c r="B125" s="6" t="s">
        <v>538</v>
      </c>
      <c r="C125" s="184" t="s">
        <v>539</v>
      </c>
      <c r="D125" s="7" t="s">
        <v>399</v>
      </c>
      <c r="E125" s="31">
        <v>0.97</v>
      </c>
      <c r="F125" s="8">
        <f>60/E125</f>
        <v>61.855670103092784</v>
      </c>
      <c r="G125" s="31" t="s">
        <v>110</v>
      </c>
      <c r="H125" s="32" t="s">
        <v>111</v>
      </c>
      <c r="I125" s="177"/>
      <c r="J125" t="s">
        <v>12</v>
      </c>
    </row>
    <row r="126" spans="2:10">
      <c r="B126" s="6" t="s">
        <v>542</v>
      </c>
      <c r="C126" s="184" t="s">
        <v>543</v>
      </c>
      <c r="D126" s="7" t="s">
        <v>399</v>
      </c>
      <c r="E126" s="31">
        <v>4.2</v>
      </c>
      <c r="F126" s="8">
        <f>60/E126</f>
        <v>14.285714285714285</v>
      </c>
      <c r="G126" s="31" t="s">
        <v>110</v>
      </c>
      <c r="H126" s="32" t="s">
        <v>111</v>
      </c>
      <c r="I126" s="177"/>
      <c r="J126" t="s">
        <v>12</v>
      </c>
    </row>
    <row r="127" spans="2:10">
      <c r="B127" s="6" t="s">
        <v>568</v>
      </c>
      <c r="C127" s="184" t="s">
        <v>569</v>
      </c>
      <c r="D127" s="7" t="s">
        <v>570</v>
      </c>
      <c r="E127" s="31">
        <v>0.4</v>
      </c>
      <c r="F127" s="8">
        <f>60/E127</f>
        <v>150</v>
      </c>
      <c r="G127" s="31" t="s">
        <v>110</v>
      </c>
      <c r="H127" s="32" t="s">
        <v>111</v>
      </c>
      <c r="I127" s="177"/>
      <c r="J127" t="s">
        <v>888</v>
      </c>
    </row>
    <row r="128" spans="2:10">
      <c r="B128" s="6" t="s">
        <v>573</v>
      </c>
      <c r="C128" s="184" t="s">
        <v>574</v>
      </c>
      <c r="D128" s="7" t="s">
        <v>570</v>
      </c>
      <c r="E128" s="31">
        <v>0.48</v>
      </c>
      <c r="F128" s="8">
        <f>60/E128</f>
        <v>125</v>
      </c>
      <c r="G128" s="31" t="s">
        <v>110</v>
      </c>
      <c r="H128" s="32" t="s">
        <v>111</v>
      </c>
      <c r="I128" s="177"/>
      <c r="J128" t="s">
        <v>12</v>
      </c>
    </row>
    <row r="129" spans="2:10">
      <c r="B129" s="6" t="s">
        <v>575</v>
      </c>
      <c r="C129" s="184" t="s">
        <v>576</v>
      </c>
      <c r="D129" s="7" t="s">
        <v>570</v>
      </c>
      <c r="E129" s="31">
        <v>0.7</v>
      </c>
      <c r="F129" s="8">
        <f>60/E129</f>
        <v>85.714285714285722</v>
      </c>
      <c r="G129" s="31" t="s">
        <v>110</v>
      </c>
      <c r="H129" s="32" t="s">
        <v>111</v>
      </c>
      <c r="I129" s="177"/>
      <c r="J129" t="s">
        <v>12</v>
      </c>
    </row>
    <row r="130" spans="2:10">
      <c r="B130" s="6" t="s">
        <v>589</v>
      </c>
      <c r="C130" s="184" t="s">
        <v>590</v>
      </c>
      <c r="D130" s="7" t="s">
        <v>570</v>
      </c>
      <c r="E130" s="31">
        <v>0.28000000000000003</v>
      </c>
      <c r="F130" s="8">
        <f>60/E130</f>
        <v>214.28571428571428</v>
      </c>
      <c r="G130" s="31" t="s">
        <v>110</v>
      </c>
      <c r="H130" s="32" t="s">
        <v>111</v>
      </c>
      <c r="I130" s="177"/>
      <c r="J130" t="s">
        <v>12</v>
      </c>
    </row>
    <row r="131" spans="2:10">
      <c r="B131" s="6" t="s">
        <v>595</v>
      </c>
      <c r="C131" s="184" t="s">
        <v>596</v>
      </c>
      <c r="D131" s="7" t="s">
        <v>570</v>
      </c>
      <c r="E131" s="31">
        <v>1.1313</v>
      </c>
      <c r="F131" s="8">
        <f>60/E131</f>
        <v>53.036329885971895</v>
      </c>
      <c r="G131" s="31" t="s">
        <v>110</v>
      </c>
      <c r="H131" s="32" t="s">
        <v>111</v>
      </c>
      <c r="I131" s="177"/>
      <c r="J131" t="s">
        <v>12</v>
      </c>
    </row>
    <row r="132" spans="2:10">
      <c r="B132" s="6" t="s">
        <v>597</v>
      </c>
      <c r="C132" s="184" t="s">
        <v>598</v>
      </c>
      <c r="D132" s="7" t="s">
        <v>570</v>
      </c>
      <c r="E132" s="31">
        <v>1.07</v>
      </c>
      <c r="F132" s="8">
        <f>60/E132</f>
        <v>56.074766355140184</v>
      </c>
      <c r="G132" s="31" t="s">
        <v>110</v>
      </c>
      <c r="H132" s="32" t="s">
        <v>111</v>
      </c>
      <c r="I132" s="177"/>
      <c r="J132" t="s">
        <v>887</v>
      </c>
    </row>
    <row r="133" spans="2:10">
      <c r="B133" s="6" t="s">
        <v>601</v>
      </c>
      <c r="C133" s="184" t="s">
        <v>602</v>
      </c>
      <c r="D133" s="7" t="s">
        <v>570</v>
      </c>
      <c r="E133" s="31">
        <v>1.01</v>
      </c>
      <c r="F133" s="8">
        <f>60/E133</f>
        <v>59.405940594059409</v>
      </c>
      <c r="G133" s="31" t="s">
        <v>110</v>
      </c>
      <c r="H133" s="32" t="s">
        <v>111</v>
      </c>
      <c r="I133" s="177"/>
      <c r="J133" t="s">
        <v>12</v>
      </c>
    </row>
    <row r="134" spans="2:10">
      <c r="B134" s="6" t="s">
        <v>605</v>
      </c>
      <c r="C134" s="184" t="s">
        <v>606</v>
      </c>
      <c r="D134" s="7" t="s">
        <v>570</v>
      </c>
      <c r="E134" s="31">
        <v>0.40770000000000001</v>
      </c>
      <c r="F134" s="8">
        <f>60/E134</f>
        <v>147.16703458425312</v>
      </c>
      <c r="G134" s="31" t="s">
        <v>110</v>
      </c>
      <c r="H134" s="32" t="s">
        <v>111</v>
      </c>
      <c r="I134" s="177"/>
      <c r="J134" t="s">
        <v>12</v>
      </c>
    </row>
    <row r="135" spans="2:10">
      <c r="B135" s="6" t="s">
        <v>607</v>
      </c>
      <c r="C135" s="184" t="s">
        <v>608</v>
      </c>
      <c r="D135" s="7" t="s">
        <v>570</v>
      </c>
      <c r="E135" s="31">
        <v>0.3</v>
      </c>
      <c r="F135" s="8">
        <f>60/E135</f>
        <v>200</v>
      </c>
      <c r="G135" s="31" t="s">
        <v>110</v>
      </c>
      <c r="H135" s="32" t="s">
        <v>111</v>
      </c>
      <c r="I135" s="177"/>
      <c r="J135" t="s">
        <v>12</v>
      </c>
    </row>
    <row r="136" spans="2:10">
      <c r="B136" s="6" t="s">
        <v>615</v>
      </c>
      <c r="C136" s="184" t="s">
        <v>616</v>
      </c>
      <c r="D136" s="7" t="s">
        <v>570</v>
      </c>
      <c r="E136" s="31">
        <v>1</v>
      </c>
      <c r="F136" s="8">
        <f>60/E136</f>
        <v>60</v>
      </c>
      <c r="G136" s="31" t="s">
        <v>110</v>
      </c>
      <c r="H136" s="32" t="s">
        <v>111</v>
      </c>
      <c r="I136" s="177"/>
      <c r="J136" t="s">
        <v>12</v>
      </c>
    </row>
    <row r="137" spans="2:10">
      <c r="B137" s="6" t="s">
        <v>617</v>
      </c>
      <c r="C137" s="184" t="s">
        <v>618</v>
      </c>
      <c r="D137" s="7" t="s">
        <v>570</v>
      </c>
      <c r="E137" s="31">
        <v>1.2</v>
      </c>
      <c r="F137" s="8">
        <f>60/E137</f>
        <v>50</v>
      </c>
      <c r="G137" s="31" t="s">
        <v>110</v>
      </c>
      <c r="H137" s="32" t="s">
        <v>111</v>
      </c>
      <c r="I137" s="177"/>
      <c r="J137" t="s">
        <v>12</v>
      </c>
    </row>
    <row r="138" spans="2:10">
      <c r="B138" s="6" t="s">
        <v>619</v>
      </c>
      <c r="C138" s="184" t="s">
        <v>620</v>
      </c>
      <c r="D138" s="7" t="s">
        <v>570</v>
      </c>
      <c r="E138" s="31">
        <v>0.35</v>
      </c>
      <c r="F138" s="8">
        <f>60/E138</f>
        <v>171.42857142857144</v>
      </c>
      <c r="G138" s="31" t="s">
        <v>110</v>
      </c>
      <c r="H138" s="32" t="s">
        <v>111</v>
      </c>
      <c r="I138" s="177"/>
      <c r="J138" t="s">
        <v>12</v>
      </c>
    </row>
    <row r="139" spans="2:10">
      <c r="B139" s="6" t="s">
        <v>621</v>
      </c>
      <c r="C139" s="184" t="s">
        <v>622</v>
      </c>
      <c r="D139" s="7" t="s">
        <v>570</v>
      </c>
      <c r="E139" s="31">
        <v>0.55000000000000004</v>
      </c>
      <c r="F139" s="8">
        <f>60/E139</f>
        <v>109.09090909090908</v>
      </c>
      <c r="G139" s="31" t="s">
        <v>110</v>
      </c>
      <c r="H139" s="32" t="s">
        <v>111</v>
      </c>
      <c r="I139" s="177"/>
      <c r="J139" t="s">
        <v>12</v>
      </c>
    </row>
    <row r="140" spans="2:10">
      <c r="B140" s="6" t="s">
        <v>627</v>
      </c>
      <c r="C140" s="184" t="s">
        <v>628</v>
      </c>
      <c r="D140" s="7" t="s">
        <v>570</v>
      </c>
      <c r="E140" s="31">
        <v>0.7</v>
      </c>
      <c r="F140" s="8">
        <f>60/E140</f>
        <v>85.714285714285722</v>
      </c>
      <c r="G140" s="31" t="s">
        <v>110</v>
      </c>
      <c r="H140" s="32" t="s">
        <v>111</v>
      </c>
      <c r="I140" s="177"/>
      <c r="J140" t="s">
        <v>12</v>
      </c>
    </row>
    <row r="141" spans="2:10">
      <c r="B141" s="6" t="s">
        <v>629</v>
      </c>
      <c r="C141" s="184" t="s">
        <v>630</v>
      </c>
      <c r="D141" s="7" t="s">
        <v>570</v>
      </c>
      <c r="E141" s="31">
        <v>0.25</v>
      </c>
      <c r="F141" s="8">
        <f>60/E141</f>
        <v>240</v>
      </c>
      <c r="G141" s="31" t="s">
        <v>110</v>
      </c>
      <c r="H141" s="32" t="s">
        <v>111</v>
      </c>
      <c r="I141" s="177"/>
      <c r="J141" t="s">
        <v>12</v>
      </c>
    </row>
    <row r="142" spans="2:10">
      <c r="B142" s="6" t="s">
        <v>631</v>
      </c>
      <c r="C142" s="184" t="s">
        <v>632</v>
      </c>
      <c r="D142" s="7" t="s">
        <v>570</v>
      </c>
      <c r="E142" s="31">
        <v>0.5</v>
      </c>
      <c r="F142" s="8">
        <f>60/E142</f>
        <v>120</v>
      </c>
      <c r="G142" s="31" t="s">
        <v>110</v>
      </c>
      <c r="H142" s="32" t="s">
        <v>111</v>
      </c>
      <c r="I142" s="177"/>
      <c r="J142" t="s">
        <v>12</v>
      </c>
    </row>
    <row r="143" spans="2:10">
      <c r="B143" s="6" t="s">
        <v>647</v>
      </c>
      <c r="C143" s="184" t="s">
        <v>648</v>
      </c>
      <c r="D143" s="7" t="s">
        <v>646</v>
      </c>
      <c r="E143" s="31">
        <v>0.39</v>
      </c>
      <c r="F143" s="8">
        <f>60/E143</f>
        <v>153.84615384615384</v>
      </c>
      <c r="G143" s="31" t="s">
        <v>110</v>
      </c>
      <c r="H143" s="32" t="s">
        <v>111</v>
      </c>
      <c r="I143" s="177"/>
      <c r="J143" t="s">
        <v>12</v>
      </c>
    </row>
    <row r="144" spans="2:10">
      <c r="B144" s="6" t="s">
        <v>667</v>
      </c>
      <c r="C144" s="184" t="s">
        <v>668</v>
      </c>
      <c r="D144" s="7" t="s">
        <v>646</v>
      </c>
      <c r="E144" s="31">
        <v>0.85</v>
      </c>
      <c r="F144" s="8">
        <f>60/E144</f>
        <v>70.588235294117652</v>
      </c>
      <c r="G144" s="31" t="s">
        <v>110</v>
      </c>
      <c r="H144" s="32" t="s">
        <v>111</v>
      </c>
      <c r="I144" s="177"/>
      <c r="J144" t="s">
        <v>12</v>
      </c>
    </row>
    <row r="145" spans="2:10">
      <c r="B145" s="6" t="s">
        <v>669</v>
      </c>
      <c r="C145" s="184" t="s">
        <v>670</v>
      </c>
      <c r="D145" s="7" t="s">
        <v>646</v>
      </c>
      <c r="E145" s="31">
        <v>0.8</v>
      </c>
      <c r="F145" s="8">
        <f>60/E145</f>
        <v>75</v>
      </c>
      <c r="G145" s="31" t="s">
        <v>110</v>
      </c>
      <c r="H145" s="32" t="s">
        <v>111</v>
      </c>
      <c r="I145" s="177"/>
      <c r="J145" t="s">
        <v>12</v>
      </c>
    </row>
    <row r="146" spans="2:10">
      <c r="B146" s="6" t="s">
        <v>671</v>
      </c>
      <c r="C146" s="184" t="s">
        <v>672</v>
      </c>
      <c r="D146" s="7" t="s">
        <v>646</v>
      </c>
      <c r="E146" s="31">
        <v>0.4</v>
      </c>
      <c r="F146" s="8">
        <f>60/E146</f>
        <v>150</v>
      </c>
      <c r="G146" s="31" t="s">
        <v>110</v>
      </c>
      <c r="H146" s="32" t="s">
        <v>111</v>
      </c>
      <c r="I146" s="177"/>
      <c r="J146" t="s">
        <v>878</v>
      </c>
    </row>
    <row r="147" spans="2:10">
      <c r="B147" s="6" t="s">
        <v>673</v>
      </c>
      <c r="C147" s="184" t="s">
        <v>674</v>
      </c>
      <c r="D147" s="7" t="s">
        <v>646</v>
      </c>
      <c r="E147" s="31">
        <v>0.45</v>
      </c>
      <c r="F147" s="8">
        <f>60/E147</f>
        <v>133.33333333333334</v>
      </c>
      <c r="G147" s="31" t="s">
        <v>110</v>
      </c>
      <c r="H147" s="32" t="s">
        <v>111</v>
      </c>
      <c r="I147" s="177"/>
      <c r="J147" t="s">
        <v>12</v>
      </c>
    </row>
    <row r="148" spans="2:10">
      <c r="B148" s="6" t="s">
        <v>675</v>
      </c>
      <c r="C148" s="184" t="s">
        <v>606</v>
      </c>
      <c r="D148" s="7" t="s">
        <v>646</v>
      </c>
      <c r="E148" s="31">
        <v>0.71</v>
      </c>
      <c r="F148" s="8">
        <f>60/E148</f>
        <v>84.507042253521135</v>
      </c>
      <c r="G148" s="31" t="s">
        <v>110</v>
      </c>
      <c r="H148" s="32" t="s">
        <v>111</v>
      </c>
      <c r="I148" s="177"/>
      <c r="J148" t="s">
        <v>12</v>
      </c>
    </row>
    <row r="149" spans="2:10">
      <c r="B149" s="6" t="s">
        <v>676</v>
      </c>
      <c r="C149" s="184" t="s">
        <v>677</v>
      </c>
      <c r="D149" s="7" t="s">
        <v>646</v>
      </c>
      <c r="E149" s="31">
        <v>1.1000000000000001</v>
      </c>
      <c r="F149" s="8">
        <f>60/E149</f>
        <v>54.54545454545454</v>
      </c>
      <c r="G149" s="31" t="s">
        <v>110</v>
      </c>
      <c r="H149" s="32" t="s">
        <v>111</v>
      </c>
      <c r="I149" s="177"/>
      <c r="J149" t="s">
        <v>12</v>
      </c>
    </row>
    <row r="150" spans="2:10">
      <c r="B150" s="6" t="s">
        <v>678</v>
      </c>
      <c r="C150" s="184" t="s">
        <v>679</v>
      </c>
      <c r="D150" s="7" t="s">
        <v>646</v>
      </c>
      <c r="E150" s="31">
        <v>1.2</v>
      </c>
      <c r="F150" s="8">
        <f>60/E150</f>
        <v>50</v>
      </c>
      <c r="G150" s="31" t="s">
        <v>110</v>
      </c>
      <c r="H150" s="32" t="s">
        <v>111</v>
      </c>
      <c r="I150" s="177"/>
      <c r="J150" t="s">
        <v>12</v>
      </c>
    </row>
    <row r="151" spans="2:10">
      <c r="B151" s="6" t="s">
        <v>680</v>
      </c>
      <c r="C151" s="184" t="s">
        <v>681</v>
      </c>
      <c r="D151" s="7" t="s">
        <v>646</v>
      </c>
      <c r="E151" s="31">
        <v>0.31</v>
      </c>
      <c r="F151" s="8">
        <f>60/E151</f>
        <v>193.54838709677421</v>
      </c>
      <c r="G151" s="31" t="s">
        <v>110</v>
      </c>
      <c r="H151" s="32" t="s">
        <v>111</v>
      </c>
      <c r="I151" s="177"/>
      <c r="J151" t="s">
        <v>12</v>
      </c>
    </row>
    <row r="152" spans="2:10">
      <c r="B152" s="6" t="s">
        <v>686</v>
      </c>
      <c r="C152" s="184" t="s">
        <v>687</v>
      </c>
      <c r="D152" s="7" t="s">
        <v>646</v>
      </c>
      <c r="E152" s="31">
        <v>0.65</v>
      </c>
      <c r="F152" s="8">
        <f>60/E152</f>
        <v>92.307692307692307</v>
      </c>
      <c r="G152" s="31" t="s">
        <v>110</v>
      </c>
      <c r="H152" s="32" t="s">
        <v>111</v>
      </c>
      <c r="I152" s="177"/>
      <c r="J152" t="s">
        <v>12</v>
      </c>
    </row>
  </sheetData>
  <conditionalFormatting sqref="B2">
    <cfRule type="duplicateValues" priority="6"/>
  </conditionalFormatting>
  <conditionalFormatting sqref="B3:B14">
    <cfRule type="duplicateValues" priority="4"/>
  </conditionalFormatting>
  <conditionalFormatting sqref="B15:B21">
    <cfRule type="duplicateValues" priority="3"/>
  </conditionalFormatting>
  <conditionalFormatting sqref="B22:B27">
    <cfRule type="duplicateValues" priority="2"/>
  </conditionalFormatting>
  <conditionalFormatting sqref="B28:B29">
    <cfRule type="duplicateValues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3C68-4B08-4711-83A4-9223BA70E87D}">
  <dimension ref="A3:AT2398"/>
  <sheetViews>
    <sheetView showGridLines="0" tabSelected="1" topLeftCell="A2382" workbookViewId="0">
      <selection activeCell="F2386" sqref="F2386"/>
    </sheetView>
  </sheetViews>
  <sheetFormatPr defaultRowHeight="15"/>
  <cols>
    <col min="1" max="1" width="36.5703125" style="79" bestFit="1" customWidth="1"/>
    <col min="2" max="2" width="21.140625" style="79" customWidth="1"/>
    <col min="3" max="3" width="9.140625" style="71"/>
    <col min="4" max="4" width="13" style="71" bestFit="1" customWidth="1"/>
    <col min="5" max="5" width="9.140625" style="71"/>
    <col min="6" max="6" width="33.5703125" style="71" customWidth="1"/>
    <col min="7" max="7" width="45.5703125" style="78" customWidth="1"/>
    <col min="8" max="8" width="9.140625" style="71"/>
    <col min="9" max="9" width="26.5703125" style="71" customWidth="1"/>
    <col min="10" max="10" width="15.140625" style="71" customWidth="1"/>
    <col min="11" max="11" width="25.42578125" style="71" customWidth="1"/>
    <col min="12" max="12" width="9.140625" style="71"/>
    <col min="13" max="13" width="33.28515625" style="71" customWidth="1"/>
    <col min="14" max="14" width="18.42578125" style="71" customWidth="1"/>
    <col min="15" max="15" width="27.140625" style="71" customWidth="1"/>
    <col min="16" max="16" width="20" style="71" customWidth="1"/>
    <col min="17" max="17" width="40.28515625" style="71" customWidth="1"/>
    <col min="18" max="18" width="9.140625" style="71"/>
    <col min="19" max="19" width="28.28515625" style="71" customWidth="1"/>
    <col min="20" max="20" width="55.28515625" style="71" customWidth="1"/>
    <col min="21" max="21" width="9.140625" style="71"/>
    <col min="22" max="22" width="33.140625" style="71" customWidth="1"/>
    <col min="23" max="23" width="51.85546875" style="71" customWidth="1"/>
    <col min="24" max="24" width="9.140625" style="71"/>
    <col min="25" max="25" width="22.140625" style="71" customWidth="1"/>
    <col min="26" max="26" width="26.140625" style="71" customWidth="1"/>
    <col min="27" max="27" width="24.140625" style="71" customWidth="1"/>
    <col min="28" max="32" width="9.140625" style="71"/>
    <col min="33" max="33" width="13" style="71" customWidth="1"/>
    <col min="34" max="16384" width="9.140625" style="71"/>
  </cols>
  <sheetData>
    <row r="3" spans="1:33">
      <c r="I3" s="149">
        <f>AVERAGE(K12,K24,K36,K50,K62,K76,K89,K102,K116,K130,K145,K160,K176,K194,K211,K227,K243,K261,K274,K287,K300,K314,K327,K340,K354,K368,K382,K395,K409,K425,K438,K452,K466,K481,K494,K509,K523,K537,K551,K565,K579,K592,K606,K620,K634,K648,K662,K676,K690,K703,K716,K730,K743,K756,K770,K784,K798,K812,K825,K839,K853,K867,K881,K895,K909,K923,K937,K951,K965,K978,K992,K1006,K1020,K1034,K1048,K1062,K1076,K1089,K1103,K1117,K1131)</f>
        <v>679.93827160493822</v>
      </c>
      <c r="J3" s="220" t="s">
        <v>889</v>
      </c>
      <c r="K3" s="221"/>
    </row>
    <row r="4" spans="1:33">
      <c r="I4" s="149">
        <f>I3/60</f>
        <v>11.33230452674897</v>
      </c>
      <c r="J4" s="222" t="s">
        <v>890</v>
      </c>
      <c r="K4" s="223"/>
    </row>
    <row r="5" spans="1:33">
      <c r="I5" s="147">
        <f>AVERAGE(K10,K22,K34,K48,K60,K74,K87,K100,K114,K128,K143,K158,K174,K192,K209,K225,K241,K259,K272,K285,K298,K312,K325,K338,K352,K366,K380,K393,K407,K423,K43,K450,K464,K479,K492,K507,K521,K535,K549,K563,K577,K590,K604,K618,K632,K646,K660,K674,K688,K701,K714,K728,K741,K754,K768,K782,K796,K810,K823,K837,K851,K865,K879,K893,K907,K921,K935,K949,K963,K976,K990,K1004,K1032,K1046,K1060,K1074,K1087,K1101,K1115,K1129)</f>
        <v>431.20253164556959</v>
      </c>
      <c r="J5" s="220" t="s">
        <v>891</v>
      </c>
      <c r="K5" s="221"/>
    </row>
    <row r="6" spans="1:33">
      <c r="I6" s="148">
        <f>I3-I5</f>
        <v>248.73573995936863</v>
      </c>
      <c r="J6" s="220" t="s">
        <v>892</v>
      </c>
      <c r="K6" s="221"/>
    </row>
    <row r="7" spans="1:33">
      <c r="I7" s="146"/>
    </row>
    <row r="9" spans="1:33" s="79" customFormat="1">
      <c r="A9" s="224" t="s">
        <v>893</v>
      </c>
      <c r="B9" s="225"/>
      <c r="D9" s="209"/>
      <c r="F9" s="81" t="s">
        <v>0</v>
      </c>
      <c r="G9" s="82" t="s">
        <v>1</v>
      </c>
      <c r="I9" s="104" t="s">
        <v>20</v>
      </c>
      <c r="J9" s="81" t="s">
        <v>21</v>
      </c>
      <c r="K9" s="100" t="s">
        <v>23</v>
      </c>
      <c r="M9" s="104" t="s">
        <v>27</v>
      </c>
      <c r="N9" s="81" t="s">
        <v>28</v>
      </c>
      <c r="O9" s="105" t="s">
        <v>29</v>
      </c>
      <c r="P9" s="81" t="s">
        <v>30</v>
      </c>
      <c r="Q9" s="100" t="s">
        <v>31</v>
      </c>
      <c r="S9" s="81" t="s">
        <v>56</v>
      </c>
      <c r="T9" s="96" t="s">
        <v>57</v>
      </c>
      <c r="V9" s="81" t="s">
        <v>68</v>
      </c>
      <c r="W9" s="96" t="s">
        <v>69</v>
      </c>
      <c r="Y9" s="46" t="s">
        <v>85</v>
      </c>
      <c r="Z9" s="42" t="s">
        <v>88</v>
      </c>
      <c r="AA9" s="50" t="s">
        <v>89</v>
      </c>
    </row>
    <row r="10" spans="1:33">
      <c r="A10" s="226" t="s">
        <v>3</v>
      </c>
      <c r="B10" s="227"/>
      <c r="F10" s="83" t="s">
        <v>2</v>
      </c>
      <c r="G10" s="84" t="s">
        <v>3</v>
      </c>
      <c r="I10" s="106" t="s">
        <v>24</v>
      </c>
      <c r="J10" s="83">
        <v>6</v>
      </c>
      <c r="K10" s="109">
        <v>420</v>
      </c>
      <c r="M10" s="101" t="s">
        <v>32</v>
      </c>
      <c r="N10" s="83" t="s">
        <v>33</v>
      </c>
      <c r="O10" s="101" t="s">
        <v>34</v>
      </c>
      <c r="P10" s="83" t="s">
        <v>35</v>
      </c>
      <c r="Q10" s="101" t="s">
        <v>36</v>
      </c>
      <c r="S10" s="83" t="s">
        <v>58</v>
      </c>
      <c r="T10" s="97" t="s">
        <v>59</v>
      </c>
      <c r="V10" s="83" t="s">
        <v>70</v>
      </c>
      <c r="W10" s="97" t="s">
        <v>72</v>
      </c>
      <c r="Y10" s="47" t="s">
        <v>90</v>
      </c>
      <c r="Z10" s="43">
        <v>420</v>
      </c>
      <c r="AA10" s="51">
        <v>240</v>
      </c>
      <c r="AG10" s="145"/>
    </row>
    <row r="11" spans="1:33">
      <c r="A11" s="226"/>
      <c r="B11" s="227"/>
      <c r="F11" s="73" t="s">
        <v>4</v>
      </c>
      <c r="G11" s="74" t="s">
        <v>894</v>
      </c>
      <c r="I11" s="107" t="s">
        <v>25</v>
      </c>
      <c r="J11" s="73">
        <v>3</v>
      </c>
      <c r="K11" s="110">
        <v>180</v>
      </c>
      <c r="M11" s="102" t="s">
        <v>37</v>
      </c>
      <c r="N11" s="73" t="s">
        <v>33</v>
      </c>
      <c r="O11" s="102" t="s">
        <v>34</v>
      </c>
      <c r="P11" s="73" t="s">
        <v>35</v>
      </c>
      <c r="Q11" s="102" t="s">
        <v>39</v>
      </c>
      <c r="S11" s="73" t="s">
        <v>60</v>
      </c>
      <c r="T11" s="98" t="s">
        <v>61</v>
      </c>
      <c r="V11" s="73" t="s">
        <v>73</v>
      </c>
      <c r="W11" s="98" t="s">
        <v>75</v>
      </c>
      <c r="Y11" s="48" t="s">
        <v>91</v>
      </c>
      <c r="Z11" s="44">
        <v>180</v>
      </c>
      <c r="AA11" s="52">
        <v>300</v>
      </c>
    </row>
    <row r="12" spans="1:33">
      <c r="A12" s="226"/>
      <c r="B12" s="227"/>
      <c r="F12" s="73" t="s">
        <v>6</v>
      </c>
      <c r="G12" s="74" t="s">
        <v>895</v>
      </c>
      <c r="I12" s="108" t="s">
        <v>26</v>
      </c>
      <c r="J12" s="76"/>
      <c r="K12" s="111">
        <v>600</v>
      </c>
      <c r="M12" s="102" t="s">
        <v>40</v>
      </c>
      <c r="N12" s="73" t="s">
        <v>33</v>
      </c>
      <c r="O12" s="102" t="s">
        <v>34</v>
      </c>
      <c r="P12" s="73" t="s">
        <v>35</v>
      </c>
      <c r="Q12" s="102" t="s">
        <v>41</v>
      </c>
      <c r="S12" s="73" t="s">
        <v>62</v>
      </c>
      <c r="T12" s="98" t="s">
        <v>63</v>
      </c>
      <c r="V12" s="73" t="s">
        <v>76</v>
      </c>
      <c r="W12" s="98" t="s">
        <v>78</v>
      </c>
      <c r="Y12" s="48" t="s">
        <v>26</v>
      </c>
      <c r="Z12" s="44">
        <v>600</v>
      </c>
      <c r="AA12" s="52">
        <v>540</v>
      </c>
    </row>
    <row r="13" spans="1:33">
      <c r="A13" s="226"/>
      <c r="B13" s="227"/>
      <c r="F13" s="73" t="s">
        <v>8</v>
      </c>
      <c r="G13" s="74" t="s">
        <v>9</v>
      </c>
      <c r="M13" s="102" t="s">
        <v>42</v>
      </c>
      <c r="N13" s="73" t="s">
        <v>33</v>
      </c>
      <c r="O13" s="102" t="s">
        <v>43</v>
      </c>
      <c r="P13" s="73" t="s">
        <v>33</v>
      </c>
      <c r="Q13" s="102" t="s">
        <v>44</v>
      </c>
      <c r="S13" s="73" t="s">
        <v>64</v>
      </c>
      <c r="T13" s="98" t="s">
        <v>65</v>
      </c>
      <c r="V13" s="73" t="s">
        <v>79</v>
      </c>
      <c r="W13" s="98" t="s">
        <v>81</v>
      </c>
      <c r="Y13" s="94" t="s">
        <v>92</v>
      </c>
      <c r="Z13" s="45"/>
      <c r="AA13" s="95">
        <v>0.1</v>
      </c>
    </row>
    <row r="14" spans="1:33">
      <c r="A14" s="226"/>
      <c r="B14" s="227"/>
      <c r="F14" s="73" t="s">
        <v>10</v>
      </c>
      <c r="G14" s="74" t="s">
        <v>12</v>
      </c>
      <c r="M14" s="102" t="s">
        <v>45</v>
      </c>
      <c r="N14" s="73" t="s">
        <v>33</v>
      </c>
      <c r="O14" s="102" t="s">
        <v>43</v>
      </c>
      <c r="P14" s="73" t="s">
        <v>33</v>
      </c>
      <c r="Q14" s="102" t="s">
        <v>46</v>
      </c>
      <c r="S14" s="76" t="s">
        <v>66</v>
      </c>
      <c r="T14" s="99" t="s">
        <v>67</v>
      </c>
      <c r="V14" s="76" t="s">
        <v>82</v>
      </c>
      <c r="W14" s="99" t="s">
        <v>84</v>
      </c>
    </row>
    <row r="15" spans="1:33">
      <c r="A15" s="226"/>
      <c r="B15" s="227"/>
      <c r="F15" s="73" t="s">
        <v>13</v>
      </c>
      <c r="G15" s="74" t="s">
        <v>896</v>
      </c>
      <c r="M15" s="102" t="s">
        <v>47</v>
      </c>
      <c r="N15" s="73" t="s">
        <v>33</v>
      </c>
      <c r="O15" s="102" t="s">
        <v>34</v>
      </c>
      <c r="P15" s="73" t="s">
        <v>33</v>
      </c>
      <c r="Q15" s="102" t="s">
        <v>48</v>
      </c>
    </row>
    <row r="16" spans="1:33">
      <c r="A16" s="226"/>
      <c r="B16" s="227"/>
      <c r="F16" s="73" t="s">
        <v>15</v>
      </c>
      <c r="G16" s="74" t="s">
        <v>897</v>
      </c>
      <c r="M16" s="102" t="s">
        <v>49</v>
      </c>
      <c r="N16" s="73" t="s">
        <v>33</v>
      </c>
      <c r="O16" s="102" t="s">
        <v>43</v>
      </c>
      <c r="P16" s="73" t="s">
        <v>33</v>
      </c>
      <c r="Q16" s="102" t="s">
        <v>50</v>
      </c>
    </row>
    <row r="17" spans="1:46">
      <c r="A17" s="226"/>
      <c r="B17" s="227"/>
      <c r="F17" s="73" t="s">
        <v>17</v>
      </c>
      <c r="G17" s="75">
        <v>46126</v>
      </c>
      <c r="M17" s="102" t="s">
        <v>51</v>
      </c>
      <c r="N17" s="73" t="s">
        <v>35</v>
      </c>
      <c r="O17" s="102" t="s">
        <v>52</v>
      </c>
      <c r="P17" s="73" t="s">
        <v>35</v>
      </c>
      <c r="Q17" s="102" t="s">
        <v>53</v>
      </c>
    </row>
    <row r="18" spans="1:46">
      <c r="A18" s="228"/>
      <c r="B18" s="229"/>
      <c r="F18" s="76" t="s">
        <v>18</v>
      </c>
      <c r="G18" s="77" t="s">
        <v>19</v>
      </c>
      <c r="M18" s="103" t="s">
        <v>54</v>
      </c>
      <c r="N18" s="76" t="s">
        <v>35</v>
      </c>
      <c r="O18" s="103" t="s">
        <v>52</v>
      </c>
      <c r="P18" s="76" t="s">
        <v>35</v>
      </c>
      <c r="Q18" s="103" t="s">
        <v>55</v>
      </c>
    </row>
    <row r="20" spans="1:46" s="117" customFormat="1">
      <c r="A20" s="79"/>
      <c r="B20" s="79"/>
      <c r="C20" s="71"/>
      <c r="D20" s="71"/>
      <c r="E20" s="71"/>
      <c r="F20" s="71"/>
      <c r="G20" s="78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9"/>
      <c r="AM20" s="79"/>
      <c r="AN20" s="79"/>
      <c r="AO20" s="79"/>
      <c r="AP20" s="79"/>
      <c r="AQ20" s="79"/>
      <c r="AR20" s="79"/>
      <c r="AS20" s="79"/>
      <c r="AT20" s="79"/>
    </row>
    <row r="21" spans="1:46">
      <c r="A21" s="214" t="s">
        <v>114</v>
      </c>
      <c r="B21" s="215"/>
      <c r="C21" s="117"/>
      <c r="D21" s="117"/>
      <c r="E21" s="117"/>
      <c r="F21" s="207" t="s">
        <v>0</v>
      </c>
      <c r="G21" s="202" t="s">
        <v>1</v>
      </c>
      <c r="H21" s="79"/>
      <c r="I21" s="85" t="s">
        <v>20</v>
      </c>
      <c r="J21" s="86" t="s">
        <v>21</v>
      </c>
      <c r="K21" s="87" t="s">
        <v>23</v>
      </c>
      <c r="L21" s="79"/>
      <c r="M21" s="85" t="s">
        <v>27</v>
      </c>
      <c r="N21" s="86" t="s">
        <v>28</v>
      </c>
      <c r="O21" s="86" t="s">
        <v>29</v>
      </c>
      <c r="P21" s="86" t="s">
        <v>30</v>
      </c>
      <c r="Q21" s="87" t="s">
        <v>31</v>
      </c>
      <c r="R21" s="79"/>
      <c r="S21" s="85" t="s">
        <v>56</v>
      </c>
      <c r="T21" s="87" t="s">
        <v>57</v>
      </c>
      <c r="U21" s="79"/>
      <c r="V21" s="85" t="s">
        <v>68</v>
      </c>
      <c r="W21" s="87" t="s">
        <v>69</v>
      </c>
      <c r="X21" s="79"/>
      <c r="Y21" s="85" t="s">
        <v>85</v>
      </c>
      <c r="Z21" s="86" t="s">
        <v>88</v>
      </c>
      <c r="AA21" s="87" t="s">
        <v>89</v>
      </c>
      <c r="AB21" s="79"/>
      <c r="AC21" s="79"/>
      <c r="AD21" s="79"/>
      <c r="AE21" s="79"/>
      <c r="AF21" s="79"/>
      <c r="AG21" s="79"/>
      <c r="AH21" s="79"/>
      <c r="AI21" s="79"/>
      <c r="AJ21" s="79"/>
      <c r="AK21" s="79"/>
    </row>
    <row r="22" spans="1:46">
      <c r="A22" s="216"/>
      <c r="B22" s="217"/>
      <c r="F22" s="107" t="s">
        <v>2</v>
      </c>
      <c r="G22" s="203" t="s">
        <v>898</v>
      </c>
      <c r="I22" s="88" t="s">
        <v>24</v>
      </c>
      <c r="J22" s="72">
        <v>5</v>
      </c>
      <c r="K22" s="89">
        <v>360</v>
      </c>
      <c r="M22" s="88" t="s">
        <v>899</v>
      </c>
      <c r="N22" s="72" t="s">
        <v>33</v>
      </c>
      <c r="O22" s="72" t="s">
        <v>43</v>
      </c>
      <c r="P22" s="72" t="s">
        <v>33</v>
      </c>
      <c r="Q22" s="89" t="s">
        <v>900</v>
      </c>
      <c r="S22" s="88" t="s">
        <v>58</v>
      </c>
      <c r="T22" s="89" t="s">
        <v>901</v>
      </c>
      <c r="V22" s="88" t="s">
        <v>70</v>
      </c>
      <c r="W22" s="89" t="s">
        <v>902</v>
      </c>
      <c r="Y22" s="88" t="s">
        <v>90</v>
      </c>
      <c r="Z22" s="72">
        <v>360</v>
      </c>
      <c r="AA22" s="89">
        <v>220</v>
      </c>
    </row>
    <row r="23" spans="1:46">
      <c r="A23" s="216"/>
      <c r="B23" s="217"/>
      <c r="F23" s="107" t="s">
        <v>4</v>
      </c>
      <c r="G23" s="203" t="s">
        <v>894</v>
      </c>
      <c r="I23" s="88" t="s">
        <v>25</v>
      </c>
      <c r="J23" s="72">
        <v>4</v>
      </c>
      <c r="K23" s="89">
        <v>220</v>
      </c>
      <c r="M23" s="88" t="s">
        <v>903</v>
      </c>
      <c r="N23" s="72" t="s">
        <v>33</v>
      </c>
      <c r="O23" s="72" t="s">
        <v>43</v>
      </c>
      <c r="P23" s="72" t="s">
        <v>33</v>
      </c>
      <c r="Q23" s="89" t="s">
        <v>904</v>
      </c>
      <c r="S23" s="88" t="s">
        <v>60</v>
      </c>
      <c r="T23" s="89" t="s">
        <v>905</v>
      </c>
      <c r="V23" s="88" t="s">
        <v>73</v>
      </c>
      <c r="W23" s="89" t="s">
        <v>906</v>
      </c>
      <c r="Y23" s="88" t="s">
        <v>91</v>
      </c>
      <c r="Z23" s="72">
        <v>220</v>
      </c>
      <c r="AA23" s="89">
        <v>320</v>
      </c>
    </row>
    <row r="24" spans="1:46">
      <c r="A24" s="216"/>
      <c r="B24" s="217"/>
      <c r="F24" s="107" t="s">
        <v>6</v>
      </c>
      <c r="G24" s="203" t="s">
        <v>895</v>
      </c>
      <c r="I24" s="90" t="s">
        <v>26</v>
      </c>
      <c r="J24" s="116"/>
      <c r="K24" s="92">
        <v>580</v>
      </c>
      <c r="M24" s="88" t="s">
        <v>907</v>
      </c>
      <c r="N24" s="72" t="s">
        <v>33</v>
      </c>
      <c r="O24" s="72" t="s">
        <v>34</v>
      </c>
      <c r="P24" s="72" t="s">
        <v>35</v>
      </c>
      <c r="Q24" s="89" t="s">
        <v>908</v>
      </c>
      <c r="S24" s="88" t="s">
        <v>62</v>
      </c>
      <c r="T24" s="89" t="s">
        <v>909</v>
      </c>
      <c r="V24" s="88" t="s">
        <v>76</v>
      </c>
      <c r="W24" s="89" t="s">
        <v>910</v>
      </c>
      <c r="Y24" s="88" t="s">
        <v>26</v>
      </c>
      <c r="Z24" s="72">
        <v>580</v>
      </c>
      <c r="AA24" s="89">
        <v>540</v>
      </c>
    </row>
    <row r="25" spans="1:46">
      <c r="A25" s="216"/>
      <c r="B25" s="217"/>
      <c r="F25" s="107" t="s">
        <v>8</v>
      </c>
      <c r="G25" s="203" t="s">
        <v>911</v>
      </c>
      <c r="M25" s="88" t="s">
        <v>42</v>
      </c>
      <c r="N25" s="72" t="s">
        <v>33</v>
      </c>
      <c r="O25" s="72" t="s">
        <v>43</v>
      </c>
      <c r="P25" s="72" t="s">
        <v>33</v>
      </c>
      <c r="Q25" s="89" t="s">
        <v>912</v>
      </c>
      <c r="S25" s="88" t="s">
        <v>64</v>
      </c>
      <c r="T25" s="89" t="s">
        <v>913</v>
      </c>
      <c r="V25" s="88" t="s">
        <v>79</v>
      </c>
      <c r="W25" s="89" t="s">
        <v>914</v>
      </c>
      <c r="Y25" s="90" t="s">
        <v>92</v>
      </c>
      <c r="Z25" s="91"/>
      <c r="AA25" s="115">
        <v>7.0000000000000007E-2</v>
      </c>
    </row>
    <row r="26" spans="1:46">
      <c r="A26" s="216"/>
      <c r="B26" s="217"/>
      <c r="F26" s="107" t="s">
        <v>10</v>
      </c>
      <c r="G26" s="203" t="s">
        <v>915</v>
      </c>
      <c r="M26" s="88" t="s">
        <v>916</v>
      </c>
      <c r="N26" s="72" t="s">
        <v>33</v>
      </c>
      <c r="O26" s="72" t="s">
        <v>43</v>
      </c>
      <c r="P26" s="72" t="s">
        <v>33</v>
      </c>
      <c r="Q26" s="89" t="s">
        <v>917</v>
      </c>
      <c r="S26" s="90" t="s">
        <v>66</v>
      </c>
      <c r="T26" s="92" t="s">
        <v>918</v>
      </c>
      <c r="V26" s="90" t="s">
        <v>82</v>
      </c>
      <c r="W26" s="92" t="s">
        <v>919</v>
      </c>
    </row>
    <row r="27" spans="1:46">
      <c r="A27" s="216"/>
      <c r="B27" s="217"/>
      <c r="F27" s="107" t="s">
        <v>13</v>
      </c>
      <c r="G27" s="208" t="s">
        <v>920</v>
      </c>
      <c r="M27" s="88" t="s">
        <v>921</v>
      </c>
      <c r="N27" s="72" t="s">
        <v>35</v>
      </c>
      <c r="O27" s="72" t="s">
        <v>52</v>
      </c>
      <c r="P27" s="72" t="s">
        <v>35</v>
      </c>
      <c r="Q27" s="89" t="s">
        <v>922</v>
      </c>
    </row>
    <row r="28" spans="1:46">
      <c r="A28" s="216"/>
      <c r="B28" s="217"/>
      <c r="F28" s="107" t="s">
        <v>15</v>
      </c>
      <c r="G28" s="203" t="s">
        <v>923</v>
      </c>
      <c r="M28" s="88" t="s">
        <v>924</v>
      </c>
      <c r="N28" s="72" t="s">
        <v>35</v>
      </c>
      <c r="O28" s="72" t="s">
        <v>52</v>
      </c>
      <c r="P28" s="72" t="s">
        <v>35</v>
      </c>
      <c r="Q28" s="89" t="s">
        <v>925</v>
      </c>
    </row>
    <row r="29" spans="1:46">
      <c r="A29" s="216"/>
      <c r="B29" s="217"/>
      <c r="F29" s="107" t="s">
        <v>17</v>
      </c>
      <c r="G29" s="205">
        <v>46126</v>
      </c>
      <c r="M29" s="88" t="s">
        <v>926</v>
      </c>
      <c r="N29" s="72" t="s">
        <v>33</v>
      </c>
      <c r="O29" s="72" t="s">
        <v>34</v>
      </c>
      <c r="P29" s="72" t="s">
        <v>35</v>
      </c>
      <c r="Q29" s="89" t="s">
        <v>927</v>
      </c>
    </row>
    <row r="30" spans="1:46">
      <c r="A30" s="218"/>
      <c r="B30" s="219"/>
      <c r="F30" s="108" t="s">
        <v>18</v>
      </c>
      <c r="G30" s="206" t="s">
        <v>19</v>
      </c>
      <c r="M30" s="90" t="s">
        <v>928</v>
      </c>
      <c r="N30" s="91" t="s">
        <v>33</v>
      </c>
      <c r="O30" s="91" t="s">
        <v>34</v>
      </c>
      <c r="P30" s="91" t="s">
        <v>33</v>
      </c>
      <c r="Q30" s="92" t="s">
        <v>929</v>
      </c>
    </row>
    <row r="33" spans="1:27">
      <c r="A33" s="214" t="s">
        <v>125</v>
      </c>
      <c r="B33" s="215"/>
      <c r="F33" s="207" t="s">
        <v>0</v>
      </c>
      <c r="G33" s="202" t="s">
        <v>1</v>
      </c>
      <c r="I33" s="85" t="s">
        <v>20</v>
      </c>
      <c r="J33" s="86" t="s">
        <v>21</v>
      </c>
      <c r="K33" s="87" t="s">
        <v>23</v>
      </c>
      <c r="M33" s="85" t="s">
        <v>27</v>
      </c>
      <c r="N33" s="86" t="s">
        <v>28</v>
      </c>
      <c r="O33" s="86" t="s">
        <v>29</v>
      </c>
      <c r="P33" s="86" t="s">
        <v>30</v>
      </c>
      <c r="Q33" s="87" t="s">
        <v>31</v>
      </c>
      <c r="S33" s="85" t="s">
        <v>56</v>
      </c>
      <c r="T33" s="87" t="s">
        <v>57</v>
      </c>
      <c r="U33" s="79"/>
      <c r="V33" s="85" t="s">
        <v>68</v>
      </c>
      <c r="W33" s="87" t="s">
        <v>69</v>
      </c>
      <c r="Y33" s="85" t="s">
        <v>85</v>
      </c>
      <c r="Z33" s="86" t="s">
        <v>88</v>
      </c>
      <c r="AA33" s="87" t="s">
        <v>89</v>
      </c>
    </row>
    <row r="34" spans="1:27">
      <c r="A34" s="216"/>
      <c r="B34" s="217"/>
      <c r="F34" s="107" t="s">
        <v>2</v>
      </c>
      <c r="G34" s="203" t="s">
        <v>930</v>
      </c>
      <c r="I34" s="88" t="s">
        <v>24</v>
      </c>
      <c r="J34" s="72">
        <v>7</v>
      </c>
      <c r="K34" s="89">
        <v>480</v>
      </c>
      <c r="M34" s="88" t="s">
        <v>931</v>
      </c>
      <c r="N34" s="72" t="s">
        <v>33</v>
      </c>
      <c r="O34" s="72" t="s">
        <v>34</v>
      </c>
      <c r="P34" s="72" t="s">
        <v>35</v>
      </c>
      <c r="Q34" s="89" t="s">
        <v>932</v>
      </c>
      <c r="S34" s="88" t="s">
        <v>58</v>
      </c>
      <c r="T34" s="89" t="s">
        <v>933</v>
      </c>
      <c r="V34" s="88" t="s">
        <v>70</v>
      </c>
      <c r="W34" s="89" t="s">
        <v>934</v>
      </c>
      <c r="Y34" s="88" t="s">
        <v>90</v>
      </c>
      <c r="Z34" s="72">
        <v>480</v>
      </c>
      <c r="AA34" s="89">
        <v>280</v>
      </c>
    </row>
    <row r="35" spans="1:27">
      <c r="A35" s="216"/>
      <c r="B35" s="217"/>
      <c r="F35" s="107" t="s">
        <v>4</v>
      </c>
      <c r="G35" s="203" t="s">
        <v>894</v>
      </c>
      <c r="I35" s="88" t="s">
        <v>25</v>
      </c>
      <c r="J35" s="72">
        <v>3</v>
      </c>
      <c r="K35" s="89">
        <v>200</v>
      </c>
      <c r="M35" s="88" t="s">
        <v>37</v>
      </c>
      <c r="N35" s="72" t="s">
        <v>33</v>
      </c>
      <c r="O35" s="72" t="s">
        <v>34</v>
      </c>
      <c r="P35" s="72" t="s">
        <v>35</v>
      </c>
      <c r="Q35" s="89" t="s">
        <v>935</v>
      </c>
      <c r="S35" s="88" t="s">
        <v>60</v>
      </c>
      <c r="T35" s="89" t="s">
        <v>936</v>
      </c>
      <c r="V35" s="88" t="s">
        <v>73</v>
      </c>
      <c r="W35" s="89" t="s">
        <v>937</v>
      </c>
      <c r="Y35" s="88" t="s">
        <v>91</v>
      </c>
      <c r="Z35" s="72">
        <v>200</v>
      </c>
      <c r="AA35" s="89">
        <v>320</v>
      </c>
    </row>
    <row r="36" spans="1:27">
      <c r="A36" s="216"/>
      <c r="B36" s="217"/>
      <c r="F36" s="107" t="s">
        <v>6</v>
      </c>
      <c r="G36" s="203" t="s">
        <v>895</v>
      </c>
      <c r="I36" s="90" t="s">
        <v>26</v>
      </c>
      <c r="J36" s="116"/>
      <c r="K36" s="92">
        <v>680</v>
      </c>
      <c r="M36" s="88" t="s">
        <v>938</v>
      </c>
      <c r="N36" s="72" t="s">
        <v>33</v>
      </c>
      <c r="O36" s="72" t="s">
        <v>43</v>
      </c>
      <c r="P36" s="72" t="s">
        <v>33</v>
      </c>
      <c r="Q36" s="89" t="s">
        <v>939</v>
      </c>
      <c r="S36" s="88" t="s">
        <v>62</v>
      </c>
      <c r="T36" s="89" t="s">
        <v>940</v>
      </c>
      <c r="V36" s="88" t="s">
        <v>76</v>
      </c>
      <c r="W36" s="89" t="s">
        <v>941</v>
      </c>
      <c r="Y36" s="88" t="s">
        <v>26</v>
      </c>
      <c r="Z36" s="72">
        <v>680</v>
      </c>
      <c r="AA36" s="89">
        <v>600</v>
      </c>
    </row>
    <row r="37" spans="1:27">
      <c r="A37" s="216"/>
      <c r="B37" s="217"/>
      <c r="F37" s="107" t="s">
        <v>8</v>
      </c>
      <c r="G37" s="203" t="s">
        <v>942</v>
      </c>
      <c r="M37" s="88" t="s">
        <v>42</v>
      </c>
      <c r="N37" s="72" t="s">
        <v>33</v>
      </c>
      <c r="O37" s="72" t="s">
        <v>43</v>
      </c>
      <c r="P37" s="72" t="s">
        <v>33</v>
      </c>
      <c r="Q37" s="89" t="s">
        <v>943</v>
      </c>
      <c r="S37" s="88" t="s">
        <v>64</v>
      </c>
      <c r="T37" s="89" t="s">
        <v>944</v>
      </c>
      <c r="V37" s="88" t="s">
        <v>79</v>
      </c>
      <c r="W37" s="89" t="s">
        <v>945</v>
      </c>
      <c r="Y37" s="90" t="s">
        <v>92</v>
      </c>
      <c r="Z37" s="91"/>
      <c r="AA37" s="115">
        <v>0.12</v>
      </c>
    </row>
    <row r="38" spans="1:27">
      <c r="A38" s="216"/>
      <c r="B38" s="217"/>
      <c r="F38" s="107" t="s">
        <v>10</v>
      </c>
      <c r="G38" s="203" t="s">
        <v>12</v>
      </c>
      <c r="M38" s="88" t="s">
        <v>45</v>
      </c>
      <c r="N38" s="72" t="s">
        <v>33</v>
      </c>
      <c r="O38" s="72" t="s">
        <v>43</v>
      </c>
      <c r="P38" s="72" t="s">
        <v>33</v>
      </c>
      <c r="Q38" s="89" t="s">
        <v>946</v>
      </c>
      <c r="S38" s="90" t="s">
        <v>66</v>
      </c>
      <c r="T38" s="92" t="s">
        <v>947</v>
      </c>
      <c r="V38" s="90" t="s">
        <v>82</v>
      </c>
      <c r="W38" s="92" t="s">
        <v>948</v>
      </c>
    </row>
    <row r="39" spans="1:27" ht="18.75" customHeight="1">
      <c r="A39" s="216"/>
      <c r="B39" s="217"/>
      <c r="F39" s="107" t="s">
        <v>13</v>
      </c>
      <c r="G39" s="204" t="s">
        <v>949</v>
      </c>
      <c r="M39" s="88" t="s">
        <v>950</v>
      </c>
      <c r="N39" s="72" t="s">
        <v>33</v>
      </c>
      <c r="O39" s="72" t="s">
        <v>34</v>
      </c>
      <c r="P39" s="72" t="s">
        <v>33</v>
      </c>
      <c r="Q39" s="89" t="s">
        <v>951</v>
      </c>
    </row>
    <row r="40" spans="1:27">
      <c r="A40" s="216"/>
      <c r="B40" s="217"/>
      <c r="F40" s="107" t="s">
        <v>15</v>
      </c>
      <c r="G40" s="203" t="s">
        <v>16</v>
      </c>
      <c r="M40" s="88" t="s">
        <v>49</v>
      </c>
      <c r="N40" s="72" t="s">
        <v>33</v>
      </c>
      <c r="O40" s="72" t="s">
        <v>43</v>
      </c>
      <c r="P40" s="72" t="s">
        <v>33</v>
      </c>
      <c r="Q40" s="89" t="s">
        <v>952</v>
      </c>
    </row>
    <row r="41" spans="1:27">
      <c r="A41" s="216"/>
      <c r="B41" s="217"/>
      <c r="F41" s="107" t="s">
        <v>17</v>
      </c>
      <c r="G41" s="205">
        <v>46126</v>
      </c>
      <c r="M41" s="119" t="s">
        <v>924</v>
      </c>
      <c r="N41" s="93" t="s">
        <v>35</v>
      </c>
      <c r="O41" s="93" t="s">
        <v>52</v>
      </c>
      <c r="P41" s="93" t="s">
        <v>35</v>
      </c>
      <c r="Q41" s="120" t="s">
        <v>953</v>
      </c>
    </row>
    <row r="42" spans="1:27">
      <c r="A42" s="218"/>
      <c r="B42" s="219"/>
      <c r="F42" s="108" t="s">
        <v>18</v>
      </c>
      <c r="G42" s="206" t="s">
        <v>19</v>
      </c>
      <c r="M42" s="88" t="s">
        <v>54</v>
      </c>
      <c r="N42" s="72" t="s">
        <v>35</v>
      </c>
      <c r="O42" s="72" t="s">
        <v>52</v>
      </c>
      <c r="P42" s="72" t="s">
        <v>35</v>
      </c>
      <c r="Q42" s="89" t="s">
        <v>954</v>
      </c>
    </row>
    <row r="43" spans="1:27">
      <c r="M43" s="121" t="s">
        <v>955</v>
      </c>
      <c r="N43" s="91" t="s">
        <v>33</v>
      </c>
      <c r="O43" s="91" t="s">
        <v>34</v>
      </c>
      <c r="P43" s="91" t="s">
        <v>35</v>
      </c>
      <c r="Q43" s="92" t="s">
        <v>956</v>
      </c>
    </row>
    <row r="47" spans="1:27">
      <c r="A47" s="214" t="s">
        <v>128</v>
      </c>
      <c r="B47" s="215"/>
      <c r="F47" s="85" t="s">
        <v>0</v>
      </c>
      <c r="G47" s="118" t="s">
        <v>1</v>
      </c>
      <c r="I47" s="85" t="s">
        <v>20</v>
      </c>
      <c r="J47" s="86" t="s">
        <v>21</v>
      </c>
      <c r="K47" s="87" t="s">
        <v>23</v>
      </c>
      <c r="M47" s="85" t="s">
        <v>27</v>
      </c>
      <c r="N47" s="86" t="s">
        <v>28</v>
      </c>
      <c r="O47" s="86" t="s">
        <v>29</v>
      </c>
      <c r="P47" s="86" t="s">
        <v>30</v>
      </c>
      <c r="Q47" s="87" t="s">
        <v>31</v>
      </c>
      <c r="S47" s="85" t="s">
        <v>56</v>
      </c>
      <c r="T47" s="87" t="s">
        <v>57</v>
      </c>
      <c r="U47" s="79"/>
      <c r="V47" s="85" t="s">
        <v>68</v>
      </c>
      <c r="W47" s="87" t="s">
        <v>69</v>
      </c>
      <c r="Y47" s="85" t="s">
        <v>85</v>
      </c>
      <c r="Z47" s="86" t="s">
        <v>88</v>
      </c>
      <c r="AA47" s="87" t="s">
        <v>89</v>
      </c>
    </row>
    <row r="48" spans="1:27" ht="22.5" customHeight="1">
      <c r="A48" s="216"/>
      <c r="B48" s="217"/>
      <c r="F48" s="88" t="s">
        <v>2</v>
      </c>
      <c r="G48" s="112" t="s">
        <v>957</v>
      </c>
      <c r="I48" s="88" t="s">
        <v>24</v>
      </c>
      <c r="J48" s="72">
        <v>7</v>
      </c>
      <c r="K48" s="89">
        <v>480</v>
      </c>
      <c r="M48" s="88" t="s">
        <v>958</v>
      </c>
      <c r="N48" s="72" t="s">
        <v>33</v>
      </c>
      <c r="O48" s="72" t="s">
        <v>34</v>
      </c>
      <c r="P48" s="72" t="s">
        <v>35</v>
      </c>
      <c r="Q48" s="89" t="s">
        <v>959</v>
      </c>
      <c r="S48" s="88" t="s">
        <v>58</v>
      </c>
      <c r="T48" s="89" t="s">
        <v>960</v>
      </c>
      <c r="V48" s="88" t="s">
        <v>70</v>
      </c>
      <c r="W48" s="89" t="s">
        <v>961</v>
      </c>
      <c r="Y48" s="88" t="s">
        <v>90</v>
      </c>
      <c r="Z48" s="72">
        <v>480</v>
      </c>
      <c r="AA48" s="89">
        <v>260</v>
      </c>
    </row>
    <row r="49" spans="1:27">
      <c r="A49" s="216"/>
      <c r="B49" s="217"/>
      <c r="F49" s="88" t="s">
        <v>4</v>
      </c>
      <c r="G49" s="112" t="s">
        <v>894</v>
      </c>
      <c r="I49" s="88" t="s">
        <v>25</v>
      </c>
      <c r="J49" s="72">
        <v>3</v>
      </c>
      <c r="K49" s="89">
        <v>200</v>
      </c>
      <c r="M49" s="88" t="s">
        <v>37</v>
      </c>
      <c r="N49" s="72" t="s">
        <v>33</v>
      </c>
      <c r="O49" s="72" t="s">
        <v>34</v>
      </c>
      <c r="P49" s="72" t="s">
        <v>35</v>
      </c>
      <c r="Q49" s="89" t="s">
        <v>962</v>
      </c>
      <c r="S49" s="88" t="s">
        <v>60</v>
      </c>
      <c r="T49" s="89" t="s">
        <v>963</v>
      </c>
      <c r="V49" s="88" t="s">
        <v>73</v>
      </c>
      <c r="W49" s="89" t="s">
        <v>964</v>
      </c>
      <c r="Y49" s="88" t="s">
        <v>91</v>
      </c>
      <c r="Z49" s="72">
        <v>200</v>
      </c>
      <c r="AA49" s="89">
        <v>340</v>
      </c>
    </row>
    <row r="50" spans="1:27" ht="20.25" customHeight="1">
      <c r="A50" s="216"/>
      <c r="B50" s="217"/>
      <c r="F50" s="88" t="s">
        <v>6</v>
      </c>
      <c r="G50" s="112" t="s">
        <v>895</v>
      </c>
      <c r="I50" s="90" t="s">
        <v>26</v>
      </c>
      <c r="J50" s="116"/>
      <c r="K50" s="92">
        <v>680</v>
      </c>
      <c r="M50" s="88" t="s">
        <v>965</v>
      </c>
      <c r="N50" s="72" t="s">
        <v>33</v>
      </c>
      <c r="O50" s="72" t="s">
        <v>34</v>
      </c>
      <c r="P50" s="72" t="s">
        <v>35</v>
      </c>
      <c r="Q50" s="89" t="s">
        <v>966</v>
      </c>
      <c r="S50" s="88" t="s">
        <v>62</v>
      </c>
      <c r="T50" s="89" t="s">
        <v>967</v>
      </c>
      <c r="V50" s="88" t="s">
        <v>76</v>
      </c>
      <c r="W50" s="89" t="s">
        <v>968</v>
      </c>
      <c r="Y50" s="88" t="s">
        <v>26</v>
      </c>
      <c r="Z50" s="72">
        <v>680</v>
      </c>
      <c r="AA50" s="89">
        <v>600</v>
      </c>
    </row>
    <row r="51" spans="1:27">
      <c r="A51" s="216"/>
      <c r="B51" s="217"/>
      <c r="F51" s="88" t="s">
        <v>8</v>
      </c>
      <c r="G51" s="112" t="s">
        <v>911</v>
      </c>
      <c r="M51" s="88" t="s">
        <v>42</v>
      </c>
      <c r="N51" s="72" t="s">
        <v>33</v>
      </c>
      <c r="O51" s="72" t="s">
        <v>43</v>
      </c>
      <c r="P51" s="72" t="s">
        <v>33</v>
      </c>
      <c r="Q51" s="89" t="s">
        <v>969</v>
      </c>
      <c r="S51" s="88" t="s">
        <v>64</v>
      </c>
      <c r="T51" s="89" t="s">
        <v>970</v>
      </c>
      <c r="V51" s="88" t="s">
        <v>79</v>
      </c>
      <c r="W51" s="89" t="s">
        <v>945</v>
      </c>
      <c r="Y51" s="90" t="s">
        <v>92</v>
      </c>
      <c r="Z51" s="91"/>
      <c r="AA51" s="115">
        <v>0.12</v>
      </c>
    </row>
    <row r="52" spans="1:27">
      <c r="A52" s="216"/>
      <c r="B52" s="217"/>
      <c r="F52" s="88" t="s">
        <v>10</v>
      </c>
      <c r="G52" s="112" t="s">
        <v>12</v>
      </c>
      <c r="M52" s="88" t="s">
        <v>45</v>
      </c>
      <c r="N52" s="72" t="s">
        <v>33</v>
      </c>
      <c r="O52" s="72" t="s">
        <v>43</v>
      </c>
      <c r="P52" s="72" t="s">
        <v>33</v>
      </c>
      <c r="Q52" s="89" t="s">
        <v>971</v>
      </c>
      <c r="S52" s="90" t="s">
        <v>66</v>
      </c>
      <c r="T52" s="92" t="s">
        <v>972</v>
      </c>
      <c r="V52" s="90" t="s">
        <v>82</v>
      </c>
      <c r="W52" s="92" t="s">
        <v>973</v>
      </c>
    </row>
    <row r="53" spans="1:27">
      <c r="A53" s="216"/>
      <c r="B53" s="217"/>
      <c r="F53" s="88" t="s">
        <v>13</v>
      </c>
      <c r="G53" s="201" t="s">
        <v>974</v>
      </c>
      <c r="M53" s="88" t="s">
        <v>47</v>
      </c>
      <c r="N53" s="72" t="s">
        <v>33</v>
      </c>
      <c r="O53" s="72" t="s">
        <v>34</v>
      </c>
      <c r="P53" s="72" t="s">
        <v>33</v>
      </c>
      <c r="Q53" s="89" t="s">
        <v>975</v>
      </c>
    </row>
    <row r="54" spans="1:27">
      <c r="A54" s="216"/>
      <c r="B54" s="217"/>
      <c r="F54" s="88" t="s">
        <v>15</v>
      </c>
      <c r="G54" s="112" t="s">
        <v>976</v>
      </c>
      <c r="M54" s="88" t="s">
        <v>977</v>
      </c>
      <c r="N54" s="72" t="s">
        <v>33</v>
      </c>
      <c r="O54" s="72" t="s">
        <v>43</v>
      </c>
      <c r="P54" s="72" t="s">
        <v>33</v>
      </c>
      <c r="Q54" s="89" t="s">
        <v>978</v>
      </c>
    </row>
    <row r="55" spans="1:27">
      <c r="A55" s="216"/>
      <c r="B55" s="217"/>
      <c r="F55" s="88" t="s">
        <v>17</v>
      </c>
      <c r="G55" s="113">
        <v>46126</v>
      </c>
      <c r="M55" s="119" t="s">
        <v>979</v>
      </c>
      <c r="N55" s="93" t="s">
        <v>35</v>
      </c>
      <c r="O55" s="93" t="s">
        <v>52</v>
      </c>
      <c r="P55" s="93" t="s">
        <v>35</v>
      </c>
      <c r="Q55" s="120" t="s">
        <v>980</v>
      </c>
    </row>
    <row r="56" spans="1:27">
      <c r="A56" s="218"/>
      <c r="B56" s="219"/>
      <c r="F56" s="90" t="s">
        <v>18</v>
      </c>
      <c r="G56" s="114" t="s">
        <v>19</v>
      </c>
      <c r="M56" s="90" t="s">
        <v>54</v>
      </c>
      <c r="N56" s="91" t="s">
        <v>35</v>
      </c>
      <c r="O56" s="91" t="s">
        <v>52</v>
      </c>
      <c r="P56" s="91" t="s">
        <v>35</v>
      </c>
      <c r="Q56" s="92" t="s">
        <v>981</v>
      </c>
    </row>
    <row r="59" spans="1:27">
      <c r="A59" s="214" t="s">
        <v>132</v>
      </c>
      <c r="B59" s="215"/>
      <c r="F59" s="85" t="s">
        <v>0</v>
      </c>
      <c r="G59" s="118" t="s">
        <v>1</v>
      </c>
      <c r="I59" s="85" t="s">
        <v>20</v>
      </c>
      <c r="J59" s="86" t="s">
        <v>21</v>
      </c>
      <c r="K59" s="87" t="s">
        <v>23</v>
      </c>
      <c r="M59" s="85" t="s">
        <v>27</v>
      </c>
      <c r="N59" s="86" t="s">
        <v>28</v>
      </c>
      <c r="O59" s="86" t="s">
        <v>29</v>
      </c>
      <c r="P59" s="86" t="s">
        <v>30</v>
      </c>
      <c r="Q59" s="87" t="s">
        <v>31</v>
      </c>
      <c r="S59" s="85" t="s">
        <v>56</v>
      </c>
      <c r="T59" s="87" t="s">
        <v>57</v>
      </c>
      <c r="U59" s="79"/>
      <c r="V59" s="85" t="s">
        <v>68</v>
      </c>
      <c r="W59" s="87" t="s">
        <v>69</v>
      </c>
      <c r="Y59" s="85" t="s">
        <v>85</v>
      </c>
      <c r="Z59" s="86" t="s">
        <v>88</v>
      </c>
      <c r="AA59" s="87" t="s">
        <v>89</v>
      </c>
    </row>
    <row r="60" spans="1:27">
      <c r="A60" s="216"/>
      <c r="B60" s="217"/>
      <c r="F60" s="88" t="s">
        <v>2</v>
      </c>
      <c r="G60" s="112" t="s">
        <v>982</v>
      </c>
      <c r="I60" s="88" t="s">
        <v>24</v>
      </c>
      <c r="J60" s="72">
        <v>7</v>
      </c>
      <c r="K60" s="89">
        <v>480</v>
      </c>
      <c r="M60" s="88" t="s">
        <v>983</v>
      </c>
      <c r="N60" s="72" t="s">
        <v>33</v>
      </c>
      <c r="O60" s="72" t="s">
        <v>34</v>
      </c>
      <c r="P60" s="72" t="s">
        <v>35</v>
      </c>
      <c r="Q60" s="89" t="s">
        <v>984</v>
      </c>
      <c r="S60" s="88" t="s">
        <v>58</v>
      </c>
      <c r="T60" s="89" t="s">
        <v>985</v>
      </c>
      <c r="V60" s="88" t="s">
        <v>70</v>
      </c>
      <c r="W60" s="89" t="s">
        <v>986</v>
      </c>
      <c r="Y60" s="88" t="s">
        <v>90</v>
      </c>
      <c r="Z60" s="72">
        <v>480</v>
      </c>
      <c r="AA60" s="89">
        <v>260</v>
      </c>
    </row>
    <row r="61" spans="1:27">
      <c r="A61" s="216"/>
      <c r="B61" s="217"/>
      <c r="F61" s="88" t="s">
        <v>4</v>
      </c>
      <c r="G61" s="112" t="s">
        <v>894</v>
      </c>
      <c r="I61" s="88" t="s">
        <v>25</v>
      </c>
      <c r="J61" s="80">
        <v>3</v>
      </c>
      <c r="K61" s="89">
        <v>200</v>
      </c>
      <c r="M61" s="88" t="s">
        <v>37</v>
      </c>
      <c r="N61" s="72" t="s">
        <v>33</v>
      </c>
      <c r="O61" s="72" t="s">
        <v>34</v>
      </c>
      <c r="P61" s="72" t="s">
        <v>35</v>
      </c>
      <c r="Q61" s="89" t="s">
        <v>987</v>
      </c>
      <c r="S61" s="88" t="s">
        <v>60</v>
      </c>
      <c r="T61" s="89" t="s">
        <v>988</v>
      </c>
      <c r="V61" s="88" t="s">
        <v>73</v>
      </c>
      <c r="W61" s="89" t="s">
        <v>989</v>
      </c>
      <c r="Y61" s="88" t="s">
        <v>91</v>
      </c>
      <c r="Z61" s="72">
        <v>200</v>
      </c>
      <c r="AA61" s="89">
        <v>320</v>
      </c>
    </row>
    <row r="62" spans="1:27">
      <c r="A62" s="216"/>
      <c r="B62" s="217"/>
      <c r="F62" s="88" t="s">
        <v>6</v>
      </c>
      <c r="G62" s="112" t="s">
        <v>895</v>
      </c>
      <c r="I62" s="90" t="s">
        <v>26</v>
      </c>
      <c r="J62" s="91"/>
      <c r="K62" s="92">
        <v>680</v>
      </c>
      <c r="M62" s="88" t="s">
        <v>990</v>
      </c>
      <c r="N62" s="72" t="s">
        <v>33</v>
      </c>
      <c r="O62" s="72" t="s">
        <v>43</v>
      </c>
      <c r="P62" s="72" t="s">
        <v>33</v>
      </c>
      <c r="Q62" s="89" t="s">
        <v>991</v>
      </c>
      <c r="S62" s="88" t="s">
        <v>62</v>
      </c>
      <c r="T62" s="89" t="s">
        <v>992</v>
      </c>
      <c r="V62" s="88" t="s">
        <v>76</v>
      </c>
      <c r="W62" s="89" t="s">
        <v>993</v>
      </c>
      <c r="Y62" s="88" t="s">
        <v>26</v>
      </c>
      <c r="Z62" s="72">
        <v>680</v>
      </c>
      <c r="AA62" s="89">
        <v>580</v>
      </c>
    </row>
    <row r="63" spans="1:27">
      <c r="A63" s="216"/>
      <c r="B63" s="217"/>
      <c r="F63" s="88" t="s">
        <v>8</v>
      </c>
      <c r="G63" s="112" t="s">
        <v>911</v>
      </c>
      <c r="M63" s="88" t="s">
        <v>42</v>
      </c>
      <c r="N63" s="72" t="s">
        <v>33</v>
      </c>
      <c r="O63" s="72" t="s">
        <v>43</v>
      </c>
      <c r="P63" s="72" t="s">
        <v>33</v>
      </c>
      <c r="Q63" s="89" t="s">
        <v>994</v>
      </c>
      <c r="S63" s="88" t="s">
        <v>64</v>
      </c>
      <c r="T63" s="89" t="s">
        <v>995</v>
      </c>
      <c r="V63" s="88" t="s">
        <v>79</v>
      </c>
      <c r="W63" s="89" t="s">
        <v>996</v>
      </c>
      <c r="Y63" s="90" t="s">
        <v>92</v>
      </c>
      <c r="Z63" s="91"/>
      <c r="AA63" s="122">
        <v>0.14699999999999999</v>
      </c>
    </row>
    <row r="64" spans="1:27">
      <c r="A64" s="216"/>
      <c r="B64" s="217"/>
      <c r="F64" s="88" t="s">
        <v>10</v>
      </c>
      <c r="G64" s="112" t="s">
        <v>12</v>
      </c>
      <c r="M64" s="88" t="s">
        <v>45</v>
      </c>
      <c r="N64" s="72" t="s">
        <v>33</v>
      </c>
      <c r="O64" s="72" t="s">
        <v>43</v>
      </c>
      <c r="P64" s="72" t="s">
        <v>33</v>
      </c>
      <c r="Q64" s="89" t="s">
        <v>46</v>
      </c>
      <c r="S64" s="90" t="s">
        <v>66</v>
      </c>
      <c r="T64" s="92" t="s">
        <v>997</v>
      </c>
      <c r="V64" s="90" t="s">
        <v>82</v>
      </c>
      <c r="W64" s="92" t="s">
        <v>998</v>
      </c>
    </row>
    <row r="65" spans="1:27">
      <c r="A65" s="216"/>
      <c r="B65" s="217"/>
      <c r="F65" s="88" t="s">
        <v>13</v>
      </c>
      <c r="G65" s="201" t="s">
        <v>999</v>
      </c>
      <c r="M65" s="88" t="s">
        <v>1000</v>
      </c>
      <c r="N65" s="72" t="s">
        <v>33</v>
      </c>
      <c r="O65" s="72" t="s">
        <v>34</v>
      </c>
      <c r="P65" s="72" t="s">
        <v>33</v>
      </c>
      <c r="Q65" s="89" t="s">
        <v>1001</v>
      </c>
    </row>
    <row r="66" spans="1:27">
      <c r="A66" s="216"/>
      <c r="B66" s="217"/>
      <c r="F66" s="88" t="s">
        <v>15</v>
      </c>
      <c r="G66" s="112" t="s">
        <v>1002</v>
      </c>
      <c r="M66" s="88" t="s">
        <v>1003</v>
      </c>
      <c r="N66" s="72" t="s">
        <v>33</v>
      </c>
      <c r="O66" s="72" t="s">
        <v>43</v>
      </c>
      <c r="P66" s="72" t="s">
        <v>33</v>
      </c>
      <c r="Q66" s="89" t="s">
        <v>1004</v>
      </c>
    </row>
    <row r="67" spans="1:27">
      <c r="A67" s="216"/>
      <c r="B67" s="217"/>
      <c r="F67" s="88" t="s">
        <v>17</v>
      </c>
      <c r="G67" s="113">
        <v>46126</v>
      </c>
      <c r="M67" s="119" t="s">
        <v>979</v>
      </c>
      <c r="N67" s="93" t="s">
        <v>35</v>
      </c>
      <c r="O67" s="93" t="s">
        <v>52</v>
      </c>
      <c r="P67" s="93" t="s">
        <v>35</v>
      </c>
      <c r="Q67" s="120" t="s">
        <v>55</v>
      </c>
    </row>
    <row r="68" spans="1:27">
      <c r="A68" s="218"/>
      <c r="B68" s="219"/>
      <c r="F68" s="90" t="s">
        <v>18</v>
      </c>
      <c r="G68" s="114" t="s">
        <v>19</v>
      </c>
      <c r="M68" s="88" t="s">
        <v>1005</v>
      </c>
      <c r="N68" s="72" t="s">
        <v>35</v>
      </c>
      <c r="O68" s="72" t="s">
        <v>52</v>
      </c>
      <c r="P68" s="72" t="s">
        <v>35</v>
      </c>
      <c r="Q68" s="89" t="s">
        <v>1006</v>
      </c>
    </row>
    <row r="69" spans="1:27">
      <c r="M69" s="121" t="s">
        <v>1007</v>
      </c>
      <c r="N69" s="91" t="s">
        <v>35</v>
      </c>
      <c r="O69" s="91" t="s">
        <v>52</v>
      </c>
      <c r="P69" s="91" t="s">
        <v>35</v>
      </c>
      <c r="Q69" s="92" t="s">
        <v>1008</v>
      </c>
    </row>
    <row r="73" spans="1:27">
      <c r="A73" s="214" t="s">
        <v>143</v>
      </c>
      <c r="B73" s="215"/>
      <c r="F73" s="85" t="s">
        <v>0</v>
      </c>
      <c r="G73" s="118" t="s">
        <v>1</v>
      </c>
      <c r="I73" s="85" t="s">
        <v>20</v>
      </c>
      <c r="J73" s="86" t="s">
        <v>21</v>
      </c>
      <c r="K73" s="87" t="s">
        <v>23</v>
      </c>
      <c r="M73" s="85" t="s">
        <v>27</v>
      </c>
      <c r="N73" s="86" t="s">
        <v>28</v>
      </c>
      <c r="O73" s="86" t="s">
        <v>29</v>
      </c>
      <c r="P73" s="86" t="s">
        <v>30</v>
      </c>
      <c r="Q73" s="87" t="s">
        <v>31</v>
      </c>
      <c r="S73" s="85" t="s">
        <v>56</v>
      </c>
      <c r="T73" s="87" t="s">
        <v>57</v>
      </c>
      <c r="U73" s="79"/>
      <c r="V73" s="85" t="s">
        <v>68</v>
      </c>
      <c r="W73" s="87" t="s">
        <v>69</v>
      </c>
      <c r="Y73" s="85" t="s">
        <v>85</v>
      </c>
      <c r="Z73" s="86" t="s">
        <v>88</v>
      </c>
      <c r="AA73" s="87" t="s">
        <v>89</v>
      </c>
    </row>
    <row r="74" spans="1:27" ht="19.5" customHeight="1">
      <c r="A74" s="216"/>
      <c r="B74" s="217"/>
      <c r="F74" s="88" t="s">
        <v>2</v>
      </c>
      <c r="G74" s="112" t="s">
        <v>1009</v>
      </c>
      <c r="I74" s="88" t="s">
        <v>24</v>
      </c>
      <c r="J74" s="72">
        <v>5</v>
      </c>
      <c r="K74" s="89">
        <v>360</v>
      </c>
      <c r="M74" s="88" t="s">
        <v>1010</v>
      </c>
      <c r="N74" s="72" t="s">
        <v>33</v>
      </c>
      <c r="O74" s="72" t="s">
        <v>34</v>
      </c>
      <c r="P74" s="72" t="s">
        <v>35</v>
      </c>
      <c r="Q74" s="89" t="s">
        <v>1011</v>
      </c>
      <c r="S74" s="88" t="s">
        <v>58</v>
      </c>
      <c r="T74" s="89" t="s">
        <v>1012</v>
      </c>
      <c r="V74" s="88" t="s">
        <v>70</v>
      </c>
      <c r="W74" s="89" t="s">
        <v>961</v>
      </c>
      <c r="Y74" s="88" t="s">
        <v>90</v>
      </c>
      <c r="Z74" s="72">
        <v>360</v>
      </c>
      <c r="AA74" s="89">
        <v>220</v>
      </c>
    </row>
    <row r="75" spans="1:27">
      <c r="A75" s="216"/>
      <c r="B75" s="217"/>
      <c r="F75" s="88" t="s">
        <v>4</v>
      </c>
      <c r="G75" s="112" t="s">
        <v>894</v>
      </c>
      <c r="I75" s="88" t="s">
        <v>25</v>
      </c>
      <c r="J75" s="80">
        <v>4</v>
      </c>
      <c r="K75" s="89">
        <v>200</v>
      </c>
      <c r="M75" s="88" t="s">
        <v>37</v>
      </c>
      <c r="N75" s="72" t="s">
        <v>33</v>
      </c>
      <c r="O75" s="72" t="s">
        <v>34</v>
      </c>
      <c r="P75" s="72" t="s">
        <v>35</v>
      </c>
      <c r="Q75" s="89" t="s">
        <v>962</v>
      </c>
      <c r="S75" s="88" t="s">
        <v>60</v>
      </c>
      <c r="T75" s="89" t="s">
        <v>1013</v>
      </c>
      <c r="V75" s="88" t="s">
        <v>73</v>
      </c>
      <c r="W75" s="89" t="s">
        <v>1014</v>
      </c>
      <c r="Y75" s="88" t="s">
        <v>91</v>
      </c>
      <c r="Z75" s="72">
        <v>200</v>
      </c>
      <c r="AA75" s="89">
        <v>280</v>
      </c>
    </row>
    <row r="76" spans="1:27" ht="18.75" customHeight="1">
      <c r="A76" s="216"/>
      <c r="B76" s="217"/>
      <c r="F76" s="88" t="s">
        <v>6</v>
      </c>
      <c r="G76" s="112" t="s">
        <v>895</v>
      </c>
      <c r="I76" s="90" t="s">
        <v>26</v>
      </c>
      <c r="J76" s="91"/>
      <c r="K76" s="92">
        <v>560</v>
      </c>
      <c r="M76" s="88" t="s">
        <v>1015</v>
      </c>
      <c r="N76" s="72" t="s">
        <v>33</v>
      </c>
      <c r="O76" s="72" t="s">
        <v>43</v>
      </c>
      <c r="P76" s="72" t="s">
        <v>33</v>
      </c>
      <c r="Q76" s="89" t="s">
        <v>1016</v>
      </c>
      <c r="S76" s="88" t="s">
        <v>62</v>
      </c>
      <c r="T76" s="89" t="s">
        <v>1017</v>
      </c>
      <c r="V76" s="88" t="s">
        <v>76</v>
      </c>
      <c r="W76" s="89" t="s">
        <v>1018</v>
      </c>
      <c r="Y76" s="88" t="s">
        <v>26</v>
      </c>
      <c r="Z76" s="72">
        <v>560</v>
      </c>
      <c r="AA76" s="89">
        <v>500</v>
      </c>
    </row>
    <row r="77" spans="1:27">
      <c r="A77" s="216"/>
      <c r="B77" s="217"/>
      <c r="F77" s="88" t="s">
        <v>8</v>
      </c>
      <c r="G77" s="112" t="s">
        <v>911</v>
      </c>
      <c r="M77" s="88" t="s">
        <v>42</v>
      </c>
      <c r="N77" s="72" t="s">
        <v>33</v>
      </c>
      <c r="O77" s="72" t="s">
        <v>43</v>
      </c>
      <c r="P77" s="72" t="s">
        <v>33</v>
      </c>
      <c r="Q77" s="89" t="s">
        <v>1019</v>
      </c>
      <c r="S77" s="88" t="s">
        <v>64</v>
      </c>
      <c r="T77" s="89" t="s">
        <v>1020</v>
      </c>
      <c r="V77" s="88" t="s">
        <v>79</v>
      </c>
      <c r="W77" s="89" t="s">
        <v>1021</v>
      </c>
      <c r="Y77" s="90" t="s">
        <v>92</v>
      </c>
      <c r="Z77" s="91"/>
      <c r="AA77" s="122">
        <v>0.11</v>
      </c>
    </row>
    <row r="78" spans="1:27">
      <c r="A78" s="216"/>
      <c r="B78" s="217"/>
      <c r="F78" s="88" t="s">
        <v>10</v>
      </c>
      <c r="G78" s="112" t="s">
        <v>12</v>
      </c>
      <c r="M78" s="88" t="s">
        <v>1022</v>
      </c>
      <c r="N78" s="72" t="s">
        <v>33</v>
      </c>
      <c r="O78" s="72" t="s">
        <v>34</v>
      </c>
      <c r="P78" s="72" t="s">
        <v>33</v>
      </c>
      <c r="Q78" s="89" t="s">
        <v>1023</v>
      </c>
      <c r="S78" s="90" t="s">
        <v>66</v>
      </c>
      <c r="T78" s="92" t="s">
        <v>1024</v>
      </c>
      <c r="V78" s="90" t="s">
        <v>82</v>
      </c>
      <c r="W78" s="92" t="s">
        <v>1025</v>
      </c>
    </row>
    <row r="79" spans="1:27">
      <c r="A79" s="216"/>
      <c r="B79" s="217"/>
      <c r="F79" s="88" t="s">
        <v>13</v>
      </c>
      <c r="G79" s="201" t="s">
        <v>1026</v>
      </c>
      <c r="M79" s="88" t="s">
        <v>49</v>
      </c>
      <c r="N79" s="72" t="s">
        <v>33</v>
      </c>
      <c r="O79" s="72" t="s">
        <v>43</v>
      </c>
      <c r="P79" s="72" t="s">
        <v>33</v>
      </c>
      <c r="Q79" s="89" t="s">
        <v>952</v>
      </c>
    </row>
    <row r="80" spans="1:27">
      <c r="A80" s="216"/>
      <c r="B80" s="217"/>
      <c r="F80" s="88" t="s">
        <v>15</v>
      </c>
      <c r="G80" s="112" t="s">
        <v>1027</v>
      </c>
      <c r="M80" s="88" t="s">
        <v>979</v>
      </c>
      <c r="N80" s="72" t="s">
        <v>35</v>
      </c>
      <c r="O80" s="72" t="s">
        <v>52</v>
      </c>
      <c r="P80" s="72" t="s">
        <v>35</v>
      </c>
      <c r="Q80" s="89" t="s">
        <v>1028</v>
      </c>
    </row>
    <row r="81" spans="1:27" ht="19.5" customHeight="1">
      <c r="A81" s="216"/>
      <c r="B81" s="217"/>
      <c r="F81" s="88" t="s">
        <v>17</v>
      </c>
      <c r="G81" s="113">
        <v>46126</v>
      </c>
      <c r="M81" s="119" t="s">
        <v>1029</v>
      </c>
      <c r="N81" s="93" t="s">
        <v>35</v>
      </c>
      <c r="O81" s="93" t="s">
        <v>52</v>
      </c>
      <c r="P81" s="93" t="s">
        <v>35</v>
      </c>
      <c r="Q81" s="120" t="s">
        <v>1030</v>
      </c>
    </row>
    <row r="82" spans="1:27">
      <c r="A82" s="218"/>
      <c r="B82" s="219"/>
      <c r="F82" s="90" t="s">
        <v>18</v>
      </c>
      <c r="G82" s="114" t="s">
        <v>19</v>
      </c>
      <c r="M82" s="90" t="s">
        <v>1031</v>
      </c>
      <c r="N82" s="91" t="s">
        <v>35</v>
      </c>
      <c r="O82" s="91" t="s">
        <v>52</v>
      </c>
      <c r="P82" s="91" t="s">
        <v>35</v>
      </c>
      <c r="Q82" s="92" t="s">
        <v>1032</v>
      </c>
    </row>
    <row r="86" spans="1:27">
      <c r="A86" s="214" t="s">
        <v>145</v>
      </c>
      <c r="B86" s="215"/>
      <c r="F86" s="85" t="s">
        <v>0</v>
      </c>
      <c r="G86" s="118" t="s">
        <v>1</v>
      </c>
      <c r="I86" s="85" t="s">
        <v>20</v>
      </c>
      <c r="J86" s="86" t="s">
        <v>21</v>
      </c>
      <c r="K86" s="87" t="s">
        <v>23</v>
      </c>
      <c r="M86" s="85" t="s">
        <v>27</v>
      </c>
      <c r="N86" s="86" t="s">
        <v>28</v>
      </c>
      <c r="O86" s="86" t="s">
        <v>29</v>
      </c>
      <c r="P86" s="86" t="s">
        <v>30</v>
      </c>
      <c r="Q86" s="87" t="s">
        <v>31</v>
      </c>
      <c r="S86" s="85" t="s">
        <v>56</v>
      </c>
      <c r="T86" s="87" t="s">
        <v>57</v>
      </c>
      <c r="U86" s="79"/>
      <c r="V86" s="85" t="s">
        <v>68</v>
      </c>
      <c r="W86" s="87" t="s">
        <v>69</v>
      </c>
      <c r="Y86" s="85" t="s">
        <v>85</v>
      </c>
      <c r="Z86" s="86" t="s">
        <v>88</v>
      </c>
      <c r="AA86" s="87" t="s">
        <v>89</v>
      </c>
    </row>
    <row r="87" spans="1:27">
      <c r="A87" s="216"/>
      <c r="B87" s="217"/>
      <c r="F87" s="88" t="s">
        <v>2</v>
      </c>
      <c r="G87" s="112" t="s">
        <v>145</v>
      </c>
      <c r="I87" s="88" t="s">
        <v>24</v>
      </c>
      <c r="J87" s="72">
        <v>7</v>
      </c>
      <c r="K87" s="89">
        <v>480</v>
      </c>
      <c r="M87" s="88" t="s">
        <v>1033</v>
      </c>
      <c r="N87" s="72" t="s">
        <v>33</v>
      </c>
      <c r="O87" s="72" t="s">
        <v>34</v>
      </c>
      <c r="P87" s="72" t="s">
        <v>35</v>
      </c>
      <c r="Q87" s="89" t="s">
        <v>1034</v>
      </c>
      <c r="S87" s="88" t="s">
        <v>58</v>
      </c>
      <c r="T87" s="89" t="s">
        <v>1035</v>
      </c>
      <c r="V87" s="88" t="s">
        <v>70</v>
      </c>
      <c r="W87" s="89" t="s">
        <v>1036</v>
      </c>
      <c r="Y87" s="88" t="s">
        <v>90</v>
      </c>
      <c r="Z87" s="72">
        <v>480</v>
      </c>
      <c r="AA87" s="89">
        <v>260</v>
      </c>
    </row>
    <row r="88" spans="1:27">
      <c r="A88" s="216"/>
      <c r="B88" s="217"/>
      <c r="F88" s="88" t="s">
        <v>4</v>
      </c>
      <c r="G88" s="112" t="s">
        <v>894</v>
      </c>
      <c r="I88" s="88" t="s">
        <v>25</v>
      </c>
      <c r="J88" s="80">
        <v>3</v>
      </c>
      <c r="K88" s="89">
        <v>200</v>
      </c>
      <c r="M88" s="88" t="s">
        <v>1037</v>
      </c>
      <c r="N88" s="72" t="s">
        <v>33</v>
      </c>
      <c r="O88" s="72" t="s">
        <v>34</v>
      </c>
      <c r="P88" s="72" t="s">
        <v>35</v>
      </c>
      <c r="Q88" s="89" t="s">
        <v>1011</v>
      </c>
      <c r="S88" s="88" t="s">
        <v>60</v>
      </c>
      <c r="T88" s="89" t="s">
        <v>1038</v>
      </c>
      <c r="V88" s="88" t="s">
        <v>73</v>
      </c>
      <c r="W88" s="89" t="s">
        <v>1039</v>
      </c>
      <c r="Y88" s="88" t="s">
        <v>91</v>
      </c>
      <c r="Z88" s="72">
        <v>200</v>
      </c>
      <c r="AA88" s="89">
        <v>320</v>
      </c>
    </row>
    <row r="89" spans="1:27">
      <c r="A89" s="216"/>
      <c r="B89" s="217"/>
      <c r="F89" s="88" t="s">
        <v>6</v>
      </c>
      <c r="G89" s="112" t="s">
        <v>895</v>
      </c>
      <c r="I89" s="90" t="s">
        <v>26</v>
      </c>
      <c r="J89" s="91"/>
      <c r="K89" s="92">
        <v>680</v>
      </c>
      <c r="M89" s="88" t="s">
        <v>37</v>
      </c>
      <c r="N89" s="72" t="s">
        <v>33</v>
      </c>
      <c r="O89" s="72" t="s">
        <v>34</v>
      </c>
      <c r="P89" s="72" t="s">
        <v>35</v>
      </c>
      <c r="Q89" s="89" t="s">
        <v>39</v>
      </c>
      <c r="S89" s="88" t="s">
        <v>62</v>
      </c>
      <c r="T89" s="89" t="s">
        <v>1040</v>
      </c>
      <c r="V89" s="88" t="s">
        <v>76</v>
      </c>
      <c r="W89" s="89" t="s">
        <v>1041</v>
      </c>
      <c r="Y89" s="88" t="s">
        <v>26</v>
      </c>
      <c r="Z89" s="72">
        <v>680</v>
      </c>
      <c r="AA89" s="89">
        <v>580</v>
      </c>
    </row>
    <row r="90" spans="1:27">
      <c r="A90" s="216"/>
      <c r="B90" s="217"/>
      <c r="F90" s="88" t="s">
        <v>8</v>
      </c>
      <c r="G90" s="112" t="s">
        <v>911</v>
      </c>
      <c r="M90" s="88" t="s">
        <v>42</v>
      </c>
      <c r="N90" s="72" t="s">
        <v>33</v>
      </c>
      <c r="O90" s="72" t="s">
        <v>43</v>
      </c>
      <c r="P90" s="72" t="s">
        <v>33</v>
      </c>
      <c r="Q90" s="89" t="s">
        <v>1042</v>
      </c>
      <c r="S90" s="88" t="s">
        <v>64</v>
      </c>
      <c r="T90" s="89" t="s">
        <v>1043</v>
      </c>
      <c r="V90" s="88" t="s">
        <v>79</v>
      </c>
      <c r="W90" s="89" t="s">
        <v>1044</v>
      </c>
      <c r="Y90" s="90" t="s">
        <v>92</v>
      </c>
      <c r="Z90" s="91"/>
      <c r="AA90" s="122">
        <v>0.15</v>
      </c>
    </row>
    <row r="91" spans="1:27">
      <c r="A91" s="216"/>
      <c r="B91" s="217"/>
      <c r="F91" s="88" t="s">
        <v>10</v>
      </c>
      <c r="G91" s="112" t="s">
        <v>12</v>
      </c>
      <c r="M91" s="88" t="s">
        <v>45</v>
      </c>
      <c r="N91" s="72" t="s">
        <v>33</v>
      </c>
      <c r="O91" s="72" t="s">
        <v>43</v>
      </c>
      <c r="P91" s="72" t="s">
        <v>33</v>
      </c>
      <c r="Q91" s="89" t="s">
        <v>1045</v>
      </c>
      <c r="S91" s="90" t="s">
        <v>66</v>
      </c>
      <c r="T91" s="92" t="s">
        <v>1046</v>
      </c>
      <c r="V91" s="90" t="s">
        <v>82</v>
      </c>
      <c r="W91" s="92" t="s">
        <v>1047</v>
      </c>
    </row>
    <row r="92" spans="1:27">
      <c r="A92" s="216"/>
      <c r="B92" s="217"/>
      <c r="F92" s="88" t="s">
        <v>13</v>
      </c>
      <c r="G92" s="201" t="s">
        <v>1048</v>
      </c>
      <c r="M92" s="88" t="s">
        <v>1049</v>
      </c>
      <c r="N92" s="72" t="s">
        <v>33</v>
      </c>
      <c r="O92" s="72" t="s">
        <v>34</v>
      </c>
      <c r="P92" s="72" t="s">
        <v>33</v>
      </c>
      <c r="Q92" s="89" t="s">
        <v>1050</v>
      </c>
    </row>
    <row r="93" spans="1:27">
      <c r="A93" s="216"/>
      <c r="B93" s="217"/>
      <c r="F93" s="88" t="s">
        <v>15</v>
      </c>
      <c r="G93" s="112" t="s">
        <v>1051</v>
      </c>
      <c r="M93" s="88" t="s">
        <v>49</v>
      </c>
      <c r="N93" s="72" t="s">
        <v>33</v>
      </c>
      <c r="O93" s="72" t="s">
        <v>43</v>
      </c>
      <c r="P93" s="72" t="s">
        <v>33</v>
      </c>
      <c r="Q93" s="89" t="s">
        <v>1052</v>
      </c>
    </row>
    <row r="94" spans="1:27">
      <c r="A94" s="216"/>
      <c r="B94" s="217"/>
      <c r="F94" s="88" t="s">
        <v>17</v>
      </c>
      <c r="G94" s="113">
        <v>46126</v>
      </c>
      <c r="M94" s="119" t="s">
        <v>924</v>
      </c>
      <c r="N94" s="93" t="s">
        <v>35</v>
      </c>
      <c r="O94" s="93" t="s">
        <v>52</v>
      </c>
      <c r="P94" s="93" t="s">
        <v>35</v>
      </c>
      <c r="Q94" s="120" t="s">
        <v>1053</v>
      </c>
    </row>
    <row r="95" spans="1:27">
      <c r="A95" s="218"/>
      <c r="B95" s="219"/>
      <c r="F95" s="90" t="s">
        <v>18</v>
      </c>
      <c r="G95" s="114" t="s">
        <v>19</v>
      </c>
      <c r="M95" s="90" t="s">
        <v>54</v>
      </c>
      <c r="N95" s="91" t="s">
        <v>35</v>
      </c>
      <c r="O95" s="91" t="s">
        <v>52</v>
      </c>
      <c r="P95" s="91" t="s">
        <v>35</v>
      </c>
      <c r="Q95" s="92" t="s">
        <v>1054</v>
      </c>
    </row>
    <row r="99" spans="1:27">
      <c r="A99" s="214" t="s">
        <v>153</v>
      </c>
      <c r="B99" s="215"/>
      <c r="F99" s="85" t="s">
        <v>0</v>
      </c>
      <c r="G99" s="118" t="s">
        <v>1</v>
      </c>
      <c r="I99" s="85" t="s">
        <v>20</v>
      </c>
      <c r="J99" s="86" t="s">
        <v>21</v>
      </c>
      <c r="K99" s="87" t="s">
        <v>23</v>
      </c>
      <c r="M99" s="124" t="s">
        <v>27</v>
      </c>
      <c r="N99" s="123" t="s">
        <v>28</v>
      </c>
      <c r="O99" s="123" t="s">
        <v>29</v>
      </c>
      <c r="P99" s="123" t="s">
        <v>30</v>
      </c>
      <c r="Q99" s="127" t="s">
        <v>31</v>
      </c>
      <c r="S99" s="85" t="s">
        <v>56</v>
      </c>
      <c r="T99" s="87" t="s">
        <v>57</v>
      </c>
      <c r="U99" s="79"/>
      <c r="V99" s="85" t="s">
        <v>68</v>
      </c>
      <c r="W99" s="87" t="s">
        <v>69</v>
      </c>
      <c r="Y99" s="85" t="s">
        <v>85</v>
      </c>
      <c r="Z99" s="86" t="s">
        <v>88</v>
      </c>
      <c r="AA99" s="87" t="s">
        <v>89</v>
      </c>
    </row>
    <row r="100" spans="1:27">
      <c r="A100" s="216"/>
      <c r="B100" s="217"/>
      <c r="F100" s="88" t="s">
        <v>2</v>
      </c>
      <c r="G100" s="112" t="s">
        <v>1055</v>
      </c>
      <c r="I100" s="88" t="s">
        <v>24</v>
      </c>
      <c r="J100" s="72">
        <v>7</v>
      </c>
      <c r="K100" s="89">
        <v>510</v>
      </c>
      <c r="M100" s="125" t="s">
        <v>1056</v>
      </c>
      <c r="N100" s="72" t="s">
        <v>33</v>
      </c>
      <c r="O100" s="72" t="s">
        <v>34</v>
      </c>
      <c r="P100" s="72" t="s">
        <v>35</v>
      </c>
      <c r="Q100" s="128" t="s">
        <v>1057</v>
      </c>
      <c r="S100" s="88" t="s">
        <v>58</v>
      </c>
      <c r="T100" s="89" t="s">
        <v>1058</v>
      </c>
      <c r="V100" s="88" t="s">
        <v>70</v>
      </c>
      <c r="W100" s="89" t="s">
        <v>1059</v>
      </c>
      <c r="Y100" s="88" t="s">
        <v>90</v>
      </c>
      <c r="Z100" s="72">
        <v>510</v>
      </c>
      <c r="AA100" s="89">
        <v>300</v>
      </c>
    </row>
    <row r="101" spans="1:27">
      <c r="A101" s="216"/>
      <c r="B101" s="217"/>
      <c r="F101" s="88" t="s">
        <v>4</v>
      </c>
      <c r="G101" s="112" t="s">
        <v>894</v>
      </c>
      <c r="I101" s="88" t="s">
        <v>25</v>
      </c>
      <c r="J101" s="80">
        <v>4</v>
      </c>
      <c r="K101" s="89">
        <v>210</v>
      </c>
      <c r="M101" s="125" t="s">
        <v>1060</v>
      </c>
      <c r="N101" s="72" t="s">
        <v>33</v>
      </c>
      <c r="O101" s="72" t="s">
        <v>34</v>
      </c>
      <c r="P101" s="72" t="s">
        <v>35</v>
      </c>
      <c r="Q101" s="128" t="s">
        <v>1061</v>
      </c>
      <c r="S101" s="88" t="s">
        <v>60</v>
      </c>
      <c r="T101" s="89" t="s">
        <v>1062</v>
      </c>
      <c r="V101" s="88" t="s">
        <v>73</v>
      </c>
      <c r="W101" s="89" t="s">
        <v>1063</v>
      </c>
      <c r="Y101" s="88" t="s">
        <v>91</v>
      </c>
      <c r="Z101" s="72">
        <v>210</v>
      </c>
      <c r="AA101" s="89">
        <v>330</v>
      </c>
    </row>
    <row r="102" spans="1:27">
      <c r="A102" s="216"/>
      <c r="B102" s="217"/>
      <c r="F102" s="88" t="s">
        <v>6</v>
      </c>
      <c r="G102" s="112" t="s">
        <v>895</v>
      </c>
      <c r="I102" s="90" t="s">
        <v>26</v>
      </c>
      <c r="J102" s="91"/>
      <c r="K102" s="92">
        <v>720</v>
      </c>
      <c r="M102" s="125" t="s">
        <v>1064</v>
      </c>
      <c r="N102" s="72" t="s">
        <v>33</v>
      </c>
      <c r="O102" s="72" t="s">
        <v>43</v>
      </c>
      <c r="P102" s="72" t="s">
        <v>33</v>
      </c>
      <c r="Q102" s="128" t="s">
        <v>1065</v>
      </c>
      <c r="S102" s="88" t="s">
        <v>62</v>
      </c>
      <c r="T102" s="89" t="s">
        <v>1066</v>
      </c>
      <c r="V102" s="88" t="s">
        <v>76</v>
      </c>
      <c r="W102" s="89" t="s">
        <v>1067</v>
      </c>
      <c r="Y102" s="88" t="s">
        <v>26</v>
      </c>
      <c r="Z102" s="72">
        <v>720</v>
      </c>
      <c r="AA102" s="89">
        <v>630</v>
      </c>
    </row>
    <row r="103" spans="1:27">
      <c r="A103" s="216"/>
      <c r="B103" s="217"/>
      <c r="F103" s="88" t="s">
        <v>8</v>
      </c>
      <c r="G103" s="112" t="s">
        <v>911</v>
      </c>
      <c r="M103" s="125" t="s">
        <v>1068</v>
      </c>
      <c r="N103" s="72" t="s">
        <v>33</v>
      </c>
      <c r="O103" s="72" t="s">
        <v>43</v>
      </c>
      <c r="P103" s="72" t="s">
        <v>33</v>
      </c>
      <c r="Q103" s="128" t="s">
        <v>1069</v>
      </c>
      <c r="S103" s="88" t="s">
        <v>64</v>
      </c>
      <c r="T103" s="89" t="s">
        <v>1070</v>
      </c>
      <c r="V103" s="88" t="s">
        <v>79</v>
      </c>
      <c r="W103" s="89" t="s">
        <v>1071</v>
      </c>
      <c r="Y103" s="90" t="s">
        <v>92</v>
      </c>
      <c r="Z103" s="91"/>
      <c r="AA103" s="122">
        <v>0.125</v>
      </c>
    </row>
    <row r="104" spans="1:27">
      <c r="A104" s="216"/>
      <c r="B104" s="217"/>
      <c r="F104" s="88" t="s">
        <v>10</v>
      </c>
      <c r="G104" s="112" t="s">
        <v>12</v>
      </c>
      <c r="M104" s="125" t="s">
        <v>1072</v>
      </c>
      <c r="N104" s="72" t="s">
        <v>33</v>
      </c>
      <c r="O104" s="72" t="s">
        <v>34</v>
      </c>
      <c r="P104" s="72" t="s">
        <v>33</v>
      </c>
      <c r="Q104" s="128" t="s">
        <v>1073</v>
      </c>
      <c r="S104" s="90" t="s">
        <v>66</v>
      </c>
      <c r="T104" s="92" t="s">
        <v>1074</v>
      </c>
      <c r="V104" s="90" t="s">
        <v>82</v>
      </c>
      <c r="W104" s="92" t="s">
        <v>1075</v>
      </c>
    </row>
    <row r="105" spans="1:27">
      <c r="A105" s="216"/>
      <c r="B105" s="217"/>
      <c r="F105" s="88" t="s">
        <v>13</v>
      </c>
      <c r="G105" s="201" t="s">
        <v>1076</v>
      </c>
      <c r="M105" s="125" t="s">
        <v>1077</v>
      </c>
      <c r="N105" s="72" t="s">
        <v>33</v>
      </c>
      <c r="O105" s="72" t="s">
        <v>34</v>
      </c>
      <c r="P105" s="72" t="s">
        <v>35</v>
      </c>
      <c r="Q105" s="128" t="s">
        <v>1078</v>
      </c>
    </row>
    <row r="106" spans="1:27">
      <c r="A106" s="216"/>
      <c r="B106" s="217"/>
      <c r="F106" s="88" t="s">
        <v>15</v>
      </c>
      <c r="G106" s="112" t="s">
        <v>1079</v>
      </c>
      <c r="M106" s="125" t="s">
        <v>1080</v>
      </c>
      <c r="N106" s="72" t="s">
        <v>33</v>
      </c>
      <c r="O106" s="72" t="s">
        <v>43</v>
      </c>
      <c r="P106" s="72" t="s">
        <v>33</v>
      </c>
      <c r="Q106" s="128" t="s">
        <v>1081</v>
      </c>
    </row>
    <row r="107" spans="1:27">
      <c r="A107" s="216"/>
      <c r="B107" s="217"/>
      <c r="F107" s="88" t="s">
        <v>17</v>
      </c>
      <c r="G107" s="113">
        <v>46126</v>
      </c>
      <c r="M107" s="126" t="s">
        <v>924</v>
      </c>
      <c r="N107" s="93" t="s">
        <v>35</v>
      </c>
      <c r="O107" s="93" t="s">
        <v>52</v>
      </c>
      <c r="P107" s="93" t="s">
        <v>35</v>
      </c>
      <c r="Q107" s="129" t="s">
        <v>1082</v>
      </c>
    </row>
    <row r="108" spans="1:27">
      <c r="A108" s="218"/>
      <c r="B108" s="219"/>
      <c r="F108" s="90" t="s">
        <v>18</v>
      </c>
      <c r="G108" s="114" t="s">
        <v>19</v>
      </c>
      <c r="M108" s="125" t="s">
        <v>1083</v>
      </c>
      <c r="N108" s="72" t="s">
        <v>35</v>
      </c>
      <c r="O108" s="72" t="s">
        <v>52</v>
      </c>
      <c r="P108" s="72" t="s">
        <v>35</v>
      </c>
      <c r="Q108" s="128" t="s">
        <v>1084</v>
      </c>
    </row>
    <row r="109" spans="1:27">
      <c r="M109" s="125" t="s">
        <v>1085</v>
      </c>
      <c r="N109" s="72" t="s">
        <v>35</v>
      </c>
      <c r="O109" s="72" t="s">
        <v>52</v>
      </c>
      <c r="P109" s="72" t="s">
        <v>35</v>
      </c>
      <c r="Q109" s="128" t="s">
        <v>1086</v>
      </c>
    </row>
    <row r="110" spans="1:27">
      <c r="M110" s="126" t="s">
        <v>1087</v>
      </c>
      <c r="N110" s="93" t="s">
        <v>35</v>
      </c>
      <c r="O110" s="93" t="s">
        <v>52</v>
      </c>
      <c r="P110" s="93" t="s">
        <v>35</v>
      </c>
      <c r="Q110" s="129" t="s">
        <v>1088</v>
      </c>
    </row>
    <row r="113" spans="1:27">
      <c r="A113" s="214" t="s">
        <v>161</v>
      </c>
      <c r="B113" s="215"/>
      <c r="F113" s="85" t="s">
        <v>0</v>
      </c>
      <c r="G113" s="118" t="s">
        <v>1</v>
      </c>
      <c r="I113" s="85" t="s">
        <v>20</v>
      </c>
      <c r="J113" s="86" t="s">
        <v>21</v>
      </c>
      <c r="K113" s="87" t="s">
        <v>23</v>
      </c>
      <c r="M113" s="85" t="s">
        <v>27</v>
      </c>
      <c r="N113" s="86" t="s">
        <v>28</v>
      </c>
      <c r="O113" s="86" t="s">
        <v>29</v>
      </c>
      <c r="P113" s="86" t="s">
        <v>30</v>
      </c>
      <c r="Q113" s="87" t="s">
        <v>31</v>
      </c>
      <c r="S113" s="85" t="s">
        <v>56</v>
      </c>
      <c r="T113" s="87" t="s">
        <v>57</v>
      </c>
      <c r="U113" s="79"/>
      <c r="V113" s="85" t="s">
        <v>68</v>
      </c>
      <c r="W113" s="87" t="s">
        <v>69</v>
      </c>
      <c r="Y113" s="85" t="s">
        <v>85</v>
      </c>
      <c r="Z113" s="86" t="s">
        <v>88</v>
      </c>
      <c r="AA113" s="87" t="s">
        <v>89</v>
      </c>
    </row>
    <row r="114" spans="1:27">
      <c r="A114" s="216"/>
      <c r="B114" s="217"/>
      <c r="F114" s="88" t="s">
        <v>2</v>
      </c>
      <c r="G114" s="112" t="s">
        <v>1089</v>
      </c>
      <c r="I114" s="88" t="s">
        <v>24</v>
      </c>
      <c r="J114" s="72">
        <v>5</v>
      </c>
      <c r="K114" s="89">
        <v>360</v>
      </c>
      <c r="M114" s="88" t="s">
        <v>1090</v>
      </c>
      <c r="N114" s="72" t="s">
        <v>33</v>
      </c>
      <c r="O114" s="72" t="s">
        <v>34</v>
      </c>
      <c r="P114" s="72" t="s">
        <v>35</v>
      </c>
      <c r="Q114" s="89" t="s">
        <v>1091</v>
      </c>
      <c r="S114" s="88" t="s">
        <v>58</v>
      </c>
      <c r="T114" s="89" t="s">
        <v>1092</v>
      </c>
      <c r="V114" s="88" t="s">
        <v>70</v>
      </c>
      <c r="W114" s="89" t="s">
        <v>1093</v>
      </c>
      <c r="Y114" s="88" t="s">
        <v>90</v>
      </c>
      <c r="Z114" s="72">
        <v>360</v>
      </c>
      <c r="AA114" s="89">
        <v>210</v>
      </c>
    </row>
    <row r="115" spans="1:27">
      <c r="A115" s="216"/>
      <c r="B115" s="217"/>
      <c r="F115" s="88" t="s">
        <v>4</v>
      </c>
      <c r="G115" s="112" t="s">
        <v>894</v>
      </c>
      <c r="I115" s="88" t="s">
        <v>25</v>
      </c>
      <c r="J115" s="80">
        <v>4</v>
      </c>
      <c r="K115" s="89">
        <v>220</v>
      </c>
      <c r="M115" s="88" t="s">
        <v>1094</v>
      </c>
      <c r="N115" s="72" t="s">
        <v>33</v>
      </c>
      <c r="O115" s="72" t="s">
        <v>34</v>
      </c>
      <c r="P115" s="72" t="s">
        <v>35</v>
      </c>
      <c r="Q115" s="89" t="s">
        <v>1095</v>
      </c>
      <c r="S115" s="88" t="s">
        <v>60</v>
      </c>
      <c r="T115" s="89" t="s">
        <v>1096</v>
      </c>
      <c r="V115" s="88" t="s">
        <v>73</v>
      </c>
      <c r="W115" s="89" t="s">
        <v>1097</v>
      </c>
      <c r="Y115" s="88" t="s">
        <v>91</v>
      </c>
      <c r="Z115" s="72">
        <v>220</v>
      </c>
      <c r="AA115" s="89">
        <v>320</v>
      </c>
    </row>
    <row r="116" spans="1:27">
      <c r="A116" s="216"/>
      <c r="B116" s="217"/>
      <c r="F116" s="88" t="s">
        <v>6</v>
      </c>
      <c r="G116" s="112" t="s">
        <v>895</v>
      </c>
      <c r="I116" s="90" t="s">
        <v>26</v>
      </c>
      <c r="J116" s="91"/>
      <c r="K116" s="92">
        <v>580</v>
      </c>
      <c r="M116" s="88" t="s">
        <v>42</v>
      </c>
      <c r="N116" s="72" t="s">
        <v>33</v>
      </c>
      <c r="O116" s="72" t="s">
        <v>43</v>
      </c>
      <c r="P116" s="72" t="s">
        <v>33</v>
      </c>
      <c r="Q116" s="89" t="s">
        <v>1098</v>
      </c>
      <c r="S116" s="88" t="s">
        <v>62</v>
      </c>
      <c r="T116" s="89" t="s">
        <v>1099</v>
      </c>
      <c r="V116" s="88" t="s">
        <v>76</v>
      </c>
      <c r="W116" s="89" t="s">
        <v>1100</v>
      </c>
      <c r="Y116" s="88" t="s">
        <v>26</v>
      </c>
      <c r="Z116" s="72">
        <v>580</v>
      </c>
      <c r="AA116" s="89">
        <v>530</v>
      </c>
    </row>
    <row r="117" spans="1:27">
      <c r="A117" s="216"/>
      <c r="B117" s="217"/>
      <c r="F117" s="88" t="s">
        <v>8</v>
      </c>
      <c r="G117" s="112" t="s">
        <v>1101</v>
      </c>
      <c r="M117" s="88" t="s">
        <v>1102</v>
      </c>
      <c r="N117" s="72" t="s">
        <v>33</v>
      </c>
      <c r="O117" s="72" t="s">
        <v>43</v>
      </c>
      <c r="P117" s="72" t="s">
        <v>33</v>
      </c>
      <c r="Q117" s="89" t="s">
        <v>1103</v>
      </c>
      <c r="S117" s="88" t="s">
        <v>64</v>
      </c>
      <c r="T117" s="89" t="s">
        <v>1104</v>
      </c>
      <c r="V117" s="88" t="s">
        <v>79</v>
      </c>
      <c r="W117" s="89" t="s">
        <v>1105</v>
      </c>
      <c r="Y117" s="90" t="s">
        <v>92</v>
      </c>
      <c r="Z117" s="91"/>
      <c r="AA117" s="122">
        <v>8.5999999999999993E-2</v>
      </c>
    </row>
    <row r="118" spans="1:27">
      <c r="A118" s="216"/>
      <c r="B118" s="217"/>
      <c r="F118" s="88" t="s">
        <v>10</v>
      </c>
      <c r="G118" s="112" t="s">
        <v>1106</v>
      </c>
      <c r="M118" s="88" t="s">
        <v>1107</v>
      </c>
      <c r="N118" s="72" t="s">
        <v>33</v>
      </c>
      <c r="O118" s="72" t="s">
        <v>34</v>
      </c>
      <c r="P118" s="72" t="s">
        <v>33</v>
      </c>
      <c r="Q118" s="89" t="s">
        <v>1108</v>
      </c>
      <c r="S118" s="90" t="s">
        <v>66</v>
      </c>
      <c r="T118" s="92" t="s">
        <v>1109</v>
      </c>
      <c r="V118" s="90" t="s">
        <v>82</v>
      </c>
      <c r="W118" s="92" t="s">
        <v>1110</v>
      </c>
    </row>
    <row r="119" spans="1:27" ht="30.75">
      <c r="A119" s="216"/>
      <c r="B119" s="217"/>
      <c r="F119" s="88" t="s">
        <v>13</v>
      </c>
      <c r="G119" s="210" t="s">
        <v>1111</v>
      </c>
      <c r="M119" s="88" t="s">
        <v>1112</v>
      </c>
      <c r="N119" s="72" t="s">
        <v>33</v>
      </c>
      <c r="O119" s="72" t="s">
        <v>43</v>
      </c>
      <c r="P119" s="72" t="s">
        <v>33</v>
      </c>
      <c r="Q119" s="89" t="s">
        <v>1113</v>
      </c>
    </row>
    <row r="120" spans="1:27">
      <c r="A120" s="216"/>
      <c r="B120" s="217"/>
      <c r="F120" s="88" t="s">
        <v>15</v>
      </c>
      <c r="G120" s="112" t="s">
        <v>1114</v>
      </c>
      <c r="M120" s="88" t="s">
        <v>1115</v>
      </c>
      <c r="N120" s="72" t="s">
        <v>35</v>
      </c>
      <c r="O120" s="72" t="s">
        <v>52</v>
      </c>
      <c r="P120" s="72" t="s">
        <v>35</v>
      </c>
      <c r="Q120" s="89" t="s">
        <v>1116</v>
      </c>
    </row>
    <row r="121" spans="1:27">
      <c r="A121" s="216"/>
      <c r="B121" s="217"/>
      <c r="F121" s="88" t="s">
        <v>17</v>
      </c>
      <c r="G121" s="113">
        <v>46126</v>
      </c>
      <c r="M121" s="119" t="s">
        <v>924</v>
      </c>
      <c r="N121" s="93" t="s">
        <v>35</v>
      </c>
      <c r="O121" s="93" t="s">
        <v>52</v>
      </c>
      <c r="P121" s="93" t="s">
        <v>35</v>
      </c>
      <c r="Q121" s="120" t="s">
        <v>1117</v>
      </c>
    </row>
    <row r="122" spans="1:27">
      <c r="A122" s="218"/>
      <c r="B122" s="219"/>
      <c r="F122" s="90" t="s">
        <v>18</v>
      </c>
      <c r="G122" s="114" t="s">
        <v>19</v>
      </c>
      <c r="M122" s="90" t="s">
        <v>1118</v>
      </c>
      <c r="N122" s="91" t="s">
        <v>35</v>
      </c>
      <c r="O122" s="91" t="s">
        <v>52</v>
      </c>
      <c r="P122" s="91" t="s">
        <v>35</v>
      </c>
      <c r="Q122" s="92" t="s">
        <v>1119</v>
      </c>
    </row>
    <row r="123" spans="1:27">
      <c r="M123" s="130"/>
      <c r="N123" s="130"/>
      <c r="O123" s="130"/>
      <c r="P123" s="130"/>
      <c r="Q123" s="130"/>
    </row>
    <row r="124" spans="1:27">
      <c r="M124" s="130"/>
      <c r="N124" s="130"/>
      <c r="O124" s="130"/>
      <c r="P124" s="130"/>
      <c r="Q124" s="130"/>
    </row>
    <row r="127" spans="1:27">
      <c r="A127" s="214" t="s">
        <v>167</v>
      </c>
      <c r="B127" s="215"/>
      <c r="F127" s="85" t="s">
        <v>0</v>
      </c>
      <c r="G127" s="118" t="s">
        <v>1</v>
      </c>
      <c r="I127" s="85" t="s">
        <v>20</v>
      </c>
      <c r="J127" s="86" t="s">
        <v>21</v>
      </c>
      <c r="K127" s="87" t="s">
        <v>23</v>
      </c>
      <c r="M127" s="85" t="s">
        <v>27</v>
      </c>
      <c r="N127" s="86" t="s">
        <v>28</v>
      </c>
      <c r="O127" s="86" t="s">
        <v>29</v>
      </c>
      <c r="P127" s="86" t="s">
        <v>30</v>
      </c>
      <c r="Q127" s="87" t="s">
        <v>31</v>
      </c>
      <c r="S127" s="85" t="s">
        <v>56</v>
      </c>
      <c r="T127" s="87" t="s">
        <v>57</v>
      </c>
      <c r="U127" s="79"/>
      <c r="V127" s="85" t="s">
        <v>68</v>
      </c>
      <c r="W127" s="87" t="s">
        <v>69</v>
      </c>
      <c r="Y127" s="85" t="s">
        <v>85</v>
      </c>
      <c r="Z127" s="86" t="s">
        <v>88</v>
      </c>
      <c r="AA127" s="87" t="s">
        <v>89</v>
      </c>
    </row>
    <row r="128" spans="1:27">
      <c r="A128" s="216"/>
      <c r="B128" s="217"/>
      <c r="F128" s="88" t="s">
        <v>2</v>
      </c>
      <c r="G128" s="112" t="s">
        <v>1120</v>
      </c>
      <c r="I128" s="88" t="s">
        <v>24</v>
      </c>
      <c r="J128" s="72">
        <v>7</v>
      </c>
      <c r="K128" s="89">
        <v>510</v>
      </c>
      <c r="M128" s="88" t="s">
        <v>1121</v>
      </c>
      <c r="N128" s="72" t="s">
        <v>33</v>
      </c>
      <c r="O128" s="72" t="s">
        <v>34</v>
      </c>
      <c r="P128" s="72" t="s">
        <v>35</v>
      </c>
      <c r="Q128" s="89" t="s">
        <v>1122</v>
      </c>
      <c r="S128" s="88" t="s">
        <v>58</v>
      </c>
      <c r="T128" s="89" t="s">
        <v>1123</v>
      </c>
      <c r="V128" s="88" t="s">
        <v>70</v>
      </c>
      <c r="W128" s="89" t="s">
        <v>1124</v>
      </c>
      <c r="Y128" s="88" t="s">
        <v>90</v>
      </c>
      <c r="Z128" s="72">
        <v>510</v>
      </c>
      <c r="AA128" s="89">
        <v>290</v>
      </c>
    </row>
    <row r="129" spans="1:27">
      <c r="A129" s="216"/>
      <c r="B129" s="217"/>
      <c r="F129" s="88" t="s">
        <v>4</v>
      </c>
      <c r="G129" s="112" t="s">
        <v>894</v>
      </c>
      <c r="I129" s="88" t="s">
        <v>25</v>
      </c>
      <c r="J129" s="80">
        <v>4</v>
      </c>
      <c r="K129" s="89">
        <v>220</v>
      </c>
      <c r="M129" s="88" t="s">
        <v>1125</v>
      </c>
      <c r="N129" s="72" t="s">
        <v>33</v>
      </c>
      <c r="O129" s="72" t="s">
        <v>34</v>
      </c>
      <c r="P129" s="72" t="s">
        <v>35</v>
      </c>
      <c r="Q129" s="89" t="s">
        <v>1126</v>
      </c>
      <c r="S129" s="88" t="s">
        <v>60</v>
      </c>
      <c r="T129" s="89" t="s">
        <v>1127</v>
      </c>
      <c r="V129" s="88" t="s">
        <v>73</v>
      </c>
      <c r="W129" s="89" t="s">
        <v>1128</v>
      </c>
      <c r="Y129" s="88" t="s">
        <v>91</v>
      </c>
      <c r="Z129" s="72">
        <v>220</v>
      </c>
      <c r="AA129" s="89">
        <v>360</v>
      </c>
    </row>
    <row r="130" spans="1:27">
      <c r="A130" s="216"/>
      <c r="B130" s="217"/>
      <c r="F130" s="88" t="s">
        <v>6</v>
      </c>
      <c r="G130" s="112" t="s">
        <v>895</v>
      </c>
      <c r="I130" s="90" t="s">
        <v>26</v>
      </c>
      <c r="J130" s="91"/>
      <c r="K130" s="92">
        <v>730</v>
      </c>
      <c r="M130" s="88" t="s">
        <v>1129</v>
      </c>
      <c r="N130" s="72" t="s">
        <v>33</v>
      </c>
      <c r="O130" s="72" t="s">
        <v>34</v>
      </c>
      <c r="P130" s="72" t="s">
        <v>35</v>
      </c>
      <c r="Q130" s="89" t="s">
        <v>1130</v>
      </c>
      <c r="S130" s="88" t="s">
        <v>62</v>
      </c>
      <c r="T130" s="89" t="s">
        <v>1131</v>
      </c>
      <c r="V130" s="88" t="s">
        <v>76</v>
      </c>
      <c r="W130" s="89" t="s">
        <v>1132</v>
      </c>
      <c r="Y130" s="88" t="s">
        <v>26</v>
      </c>
      <c r="Z130" s="72">
        <v>730</v>
      </c>
      <c r="AA130" s="89">
        <v>650</v>
      </c>
    </row>
    <row r="131" spans="1:27">
      <c r="A131" s="216"/>
      <c r="B131" s="217"/>
      <c r="F131" s="88" t="s">
        <v>8</v>
      </c>
      <c r="G131" s="112" t="s">
        <v>911</v>
      </c>
      <c r="M131" s="88" t="s">
        <v>42</v>
      </c>
      <c r="N131" s="72" t="s">
        <v>33</v>
      </c>
      <c r="O131" s="72" t="s">
        <v>43</v>
      </c>
      <c r="P131" s="72" t="s">
        <v>33</v>
      </c>
      <c r="Q131" s="89" t="s">
        <v>1098</v>
      </c>
      <c r="S131" s="88" t="s">
        <v>64</v>
      </c>
      <c r="T131" s="89" t="s">
        <v>1133</v>
      </c>
      <c r="V131" s="88" t="s">
        <v>79</v>
      </c>
      <c r="W131" s="89" t="s">
        <v>1134</v>
      </c>
      <c r="Y131" s="90" t="s">
        <v>92</v>
      </c>
      <c r="Z131" s="91"/>
      <c r="AA131" s="122">
        <v>0.11</v>
      </c>
    </row>
    <row r="132" spans="1:27">
      <c r="A132" s="216"/>
      <c r="B132" s="217"/>
      <c r="F132" s="88" t="s">
        <v>10</v>
      </c>
      <c r="G132" s="112" t="s">
        <v>1106</v>
      </c>
      <c r="M132" s="88" t="s">
        <v>1135</v>
      </c>
      <c r="N132" s="72" t="s">
        <v>33</v>
      </c>
      <c r="O132" s="72" t="s">
        <v>43</v>
      </c>
      <c r="P132" s="72" t="s">
        <v>33</v>
      </c>
      <c r="Q132" s="89" t="s">
        <v>1136</v>
      </c>
      <c r="S132" s="90" t="s">
        <v>66</v>
      </c>
      <c r="T132" s="92" t="s">
        <v>1137</v>
      </c>
      <c r="V132" s="90" t="s">
        <v>82</v>
      </c>
      <c r="W132" s="92" t="s">
        <v>1138</v>
      </c>
    </row>
    <row r="133" spans="1:27" ht="30.75">
      <c r="A133" s="216"/>
      <c r="B133" s="217"/>
      <c r="F133" s="88" t="s">
        <v>13</v>
      </c>
      <c r="G133" s="210" t="s">
        <v>1139</v>
      </c>
      <c r="M133" s="88" t="s">
        <v>1107</v>
      </c>
      <c r="N133" s="72" t="s">
        <v>33</v>
      </c>
      <c r="O133" s="72" t="s">
        <v>34</v>
      </c>
      <c r="P133" s="72" t="s">
        <v>33</v>
      </c>
      <c r="Q133" s="89" t="s">
        <v>1140</v>
      </c>
    </row>
    <row r="134" spans="1:27">
      <c r="A134" s="216"/>
      <c r="B134" s="217"/>
      <c r="F134" s="88" t="s">
        <v>15</v>
      </c>
      <c r="G134" s="112" t="s">
        <v>1141</v>
      </c>
      <c r="M134" s="88" t="s">
        <v>1142</v>
      </c>
      <c r="N134" s="72" t="s">
        <v>33</v>
      </c>
      <c r="O134" s="72" t="s">
        <v>43</v>
      </c>
      <c r="P134" s="72" t="s">
        <v>33</v>
      </c>
      <c r="Q134" s="89" t="s">
        <v>1143</v>
      </c>
    </row>
    <row r="135" spans="1:27">
      <c r="A135" s="216"/>
      <c r="B135" s="217"/>
      <c r="F135" s="88" t="s">
        <v>17</v>
      </c>
      <c r="G135" s="113">
        <v>46126</v>
      </c>
      <c r="M135" s="119" t="s">
        <v>924</v>
      </c>
      <c r="N135" s="93" t="s">
        <v>35</v>
      </c>
      <c r="O135" s="93" t="s">
        <v>52</v>
      </c>
      <c r="P135" s="93" t="s">
        <v>35</v>
      </c>
      <c r="Q135" s="120" t="s">
        <v>1144</v>
      </c>
    </row>
    <row r="136" spans="1:27">
      <c r="A136" s="218"/>
      <c r="B136" s="219"/>
      <c r="F136" s="90" t="s">
        <v>18</v>
      </c>
      <c r="G136" s="114" t="s">
        <v>19</v>
      </c>
      <c r="M136" s="88" t="s">
        <v>1145</v>
      </c>
      <c r="N136" s="72" t="s">
        <v>35</v>
      </c>
      <c r="O136" s="72" t="s">
        <v>52</v>
      </c>
      <c r="P136" s="72" t="s">
        <v>35</v>
      </c>
      <c r="Q136" s="89" t="s">
        <v>1146</v>
      </c>
    </row>
    <row r="137" spans="1:27">
      <c r="M137" s="88" t="s">
        <v>1147</v>
      </c>
      <c r="N137" s="72" t="s">
        <v>35</v>
      </c>
      <c r="O137" s="72" t="s">
        <v>43</v>
      </c>
      <c r="P137" s="72" t="s">
        <v>35</v>
      </c>
      <c r="Q137" s="89" t="s">
        <v>1148</v>
      </c>
    </row>
    <row r="138" spans="1:27">
      <c r="M138" s="90" t="s">
        <v>1149</v>
      </c>
      <c r="N138" s="91" t="s">
        <v>35</v>
      </c>
      <c r="O138" s="91" t="s">
        <v>43</v>
      </c>
      <c r="P138" s="91" t="s">
        <v>35</v>
      </c>
      <c r="Q138" s="92" t="s">
        <v>1150</v>
      </c>
    </row>
    <row r="142" spans="1:27">
      <c r="A142" s="214" t="s">
        <v>171</v>
      </c>
      <c r="B142" s="215"/>
      <c r="F142" s="85" t="s">
        <v>0</v>
      </c>
      <c r="G142" s="118" t="s">
        <v>1</v>
      </c>
      <c r="I142" s="85" t="s">
        <v>20</v>
      </c>
      <c r="J142" s="86" t="s">
        <v>21</v>
      </c>
      <c r="K142" s="87" t="s">
        <v>23</v>
      </c>
      <c r="M142" s="85" t="s">
        <v>27</v>
      </c>
      <c r="N142" s="86" t="s">
        <v>28</v>
      </c>
      <c r="O142" s="86" t="s">
        <v>29</v>
      </c>
      <c r="P142" s="86" t="s">
        <v>30</v>
      </c>
      <c r="Q142" s="87" t="s">
        <v>31</v>
      </c>
      <c r="S142" s="85" t="s">
        <v>56</v>
      </c>
      <c r="T142" s="87" t="s">
        <v>57</v>
      </c>
      <c r="U142" s="79"/>
      <c r="V142" s="85" t="s">
        <v>68</v>
      </c>
      <c r="W142" s="87" t="s">
        <v>69</v>
      </c>
      <c r="Y142" s="85" t="s">
        <v>85</v>
      </c>
      <c r="Z142" s="86" t="s">
        <v>88</v>
      </c>
      <c r="AA142" s="87" t="s">
        <v>89</v>
      </c>
    </row>
    <row r="143" spans="1:27">
      <c r="A143" s="216"/>
      <c r="B143" s="217"/>
      <c r="F143" s="88" t="s">
        <v>2</v>
      </c>
      <c r="G143" s="112" t="s">
        <v>1151</v>
      </c>
      <c r="I143" s="88" t="s">
        <v>24</v>
      </c>
      <c r="J143" s="72">
        <v>7</v>
      </c>
      <c r="K143" s="89">
        <v>510</v>
      </c>
      <c r="M143" s="88" t="s">
        <v>1152</v>
      </c>
      <c r="N143" s="72" t="s">
        <v>33</v>
      </c>
      <c r="O143" s="72" t="s">
        <v>34</v>
      </c>
      <c r="P143" s="72" t="s">
        <v>35</v>
      </c>
      <c r="Q143" s="89" t="s">
        <v>1153</v>
      </c>
      <c r="S143" s="88" t="s">
        <v>58</v>
      </c>
      <c r="T143" s="89" t="s">
        <v>1154</v>
      </c>
      <c r="V143" s="88" t="s">
        <v>70</v>
      </c>
      <c r="W143" s="89" t="s">
        <v>1155</v>
      </c>
      <c r="Y143" s="88" t="s">
        <v>90</v>
      </c>
      <c r="Z143" s="72">
        <v>510</v>
      </c>
      <c r="AA143" s="89">
        <v>300</v>
      </c>
    </row>
    <row r="144" spans="1:27">
      <c r="A144" s="216"/>
      <c r="B144" s="217"/>
      <c r="F144" s="88" t="s">
        <v>4</v>
      </c>
      <c r="G144" s="112" t="s">
        <v>894</v>
      </c>
      <c r="I144" s="88" t="s">
        <v>25</v>
      </c>
      <c r="J144" s="80">
        <v>4</v>
      </c>
      <c r="K144" s="89">
        <v>260</v>
      </c>
      <c r="M144" s="88" t="s">
        <v>1156</v>
      </c>
      <c r="N144" s="72" t="s">
        <v>33</v>
      </c>
      <c r="O144" s="72" t="s">
        <v>34</v>
      </c>
      <c r="P144" s="72" t="s">
        <v>35</v>
      </c>
      <c r="Q144" s="89" t="s">
        <v>1157</v>
      </c>
      <c r="S144" s="88" t="s">
        <v>60</v>
      </c>
      <c r="T144" s="89" t="s">
        <v>1158</v>
      </c>
      <c r="V144" s="88" t="s">
        <v>73</v>
      </c>
      <c r="W144" s="89" t="s">
        <v>1159</v>
      </c>
      <c r="Y144" s="88" t="s">
        <v>91</v>
      </c>
      <c r="Z144" s="72">
        <v>260</v>
      </c>
      <c r="AA144" s="89">
        <v>360</v>
      </c>
    </row>
    <row r="145" spans="1:27">
      <c r="A145" s="216"/>
      <c r="B145" s="217"/>
      <c r="F145" s="88" t="s">
        <v>6</v>
      </c>
      <c r="G145" s="112" t="s">
        <v>895</v>
      </c>
      <c r="I145" s="90" t="s">
        <v>26</v>
      </c>
      <c r="J145" s="91"/>
      <c r="K145" s="92">
        <v>770</v>
      </c>
      <c r="M145" s="88" t="s">
        <v>1160</v>
      </c>
      <c r="N145" s="72" t="s">
        <v>33</v>
      </c>
      <c r="O145" s="72" t="s">
        <v>34</v>
      </c>
      <c r="P145" s="72" t="s">
        <v>35</v>
      </c>
      <c r="Q145" s="89" t="s">
        <v>1161</v>
      </c>
      <c r="S145" s="88" t="s">
        <v>62</v>
      </c>
      <c r="T145" s="89" t="s">
        <v>1162</v>
      </c>
      <c r="V145" s="88" t="s">
        <v>76</v>
      </c>
      <c r="W145" s="89" t="s">
        <v>1163</v>
      </c>
      <c r="Y145" s="88" t="s">
        <v>26</v>
      </c>
      <c r="Z145" s="72">
        <v>770</v>
      </c>
      <c r="AA145" s="89">
        <v>660</v>
      </c>
    </row>
    <row r="146" spans="1:27">
      <c r="A146" s="216"/>
      <c r="B146" s="217"/>
      <c r="F146" s="88" t="s">
        <v>8</v>
      </c>
      <c r="G146" s="112" t="s">
        <v>1101</v>
      </c>
      <c r="M146" s="88" t="s">
        <v>1164</v>
      </c>
      <c r="N146" s="72" t="s">
        <v>33</v>
      </c>
      <c r="O146" s="72" t="s">
        <v>43</v>
      </c>
      <c r="P146" s="72" t="s">
        <v>33</v>
      </c>
      <c r="Q146" s="89" t="s">
        <v>1165</v>
      </c>
      <c r="S146" s="88" t="s">
        <v>64</v>
      </c>
      <c r="T146" s="89" t="s">
        <v>1166</v>
      </c>
      <c r="V146" s="88" t="s">
        <v>79</v>
      </c>
      <c r="W146" s="89" t="s">
        <v>1167</v>
      </c>
      <c r="Y146" s="90" t="s">
        <v>92</v>
      </c>
      <c r="Z146" s="91"/>
      <c r="AA146" s="122">
        <v>0.14000000000000001</v>
      </c>
    </row>
    <row r="147" spans="1:27">
      <c r="A147" s="216"/>
      <c r="B147" s="217"/>
      <c r="F147" s="88" t="s">
        <v>10</v>
      </c>
      <c r="G147" s="112" t="s">
        <v>1106</v>
      </c>
      <c r="M147" s="88" t="s">
        <v>1168</v>
      </c>
      <c r="N147" s="72" t="s">
        <v>33</v>
      </c>
      <c r="O147" s="72" t="s">
        <v>34</v>
      </c>
      <c r="P147" s="72" t="s">
        <v>33</v>
      </c>
      <c r="Q147" s="89" t="s">
        <v>1169</v>
      </c>
      <c r="S147" s="90" t="s">
        <v>66</v>
      </c>
      <c r="T147" s="92" t="s">
        <v>1170</v>
      </c>
      <c r="V147" s="90" t="s">
        <v>82</v>
      </c>
      <c r="W147" s="92" t="s">
        <v>1171</v>
      </c>
    </row>
    <row r="148" spans="1:27">
      <c r="A148" s="216"/>
      <c r="B148" s="217"/>
      <c r="F148" s="88" t="s">
        <v>13</v>
      </c>
      <c r="G148" s="201" t="s">
        <v>1172</v>
      </c>
      <c r="M148" s="88" t="s">
        <v>1135</v>
      </c>
      <c r="N148" s="72" t="s">
        <v>33</v>
      </c>
      <c r="O148" s="72" t="s">
        <v>43</v>
      </c>
      <c r="P148" s="72" t="s">
        <v>33</v>
      </c>
      <c r="Q148" s="89" t="s">
        <v>1173</v>
      </c>
    </row>
    <row r="149" spans="1:27">
      <c r="A149" s="216"/>
      <c r="B149" s="217"/>
      <c r="F149" s="88" t="s">
        <v>15</v>
      </c>
      <c r="G149" s="112" t="s">
        <v>1174</v>
      </c>
      <c r="M149" s="88" t="s">
        <v>1175</v>
      </c>
      <c r="N149" s="72" t="s">
        <v>33</v>
      </c>
      <c r="O149" s="72" t="s">
        <v>43</v>
      </c>
      <c r="P149" s="72" t="s">
        <v>33</v>
      </c>
      <c r="Q149" s="89" t="s">
        <v>1176</v>
      </c>
    </row>
    <row r="150" spans="1:27">
      <c r="A150" s="216"/>
      <c r="B150" s="217"/>
      <c r="F150" s="88" t="s">
        <v>17</v>
      </c>
      <c r="G150" s="113">
        <v>46126</v>
      </c>
      <c r="M150" s="119" t="s">
        <v>979</v>
      </c>
      <c r="N150" s="93" t="s">
        <v>35</v>
      </c>
      <c r="O150" s="93" t="s">
        <v>52</v>
      </c>
      <c r="P150" s="93" t="s">
        <v>35</v>
      </c>
      <c r="Q150" s="120" t="s">
        <v>1177</v>
      </c>
    </row>
    <row r="151" spans="1:27">
      <c r="A151" s="218"/>
      <c r="B151" s="219"/>
      <c r="F151" s="90" t="s">
        <v>18</v>
      </c>
      <c r="G151" s="114" t="s">
        <v>19</v>
      </c>
      <c r="M151" s="88" t="s">
        <v>1178</v>
      </c>
      <c r="N151" s="72" t="s">
        <v>35</v>
      </c>
      <c r="O151" s="72" t="s">
        <v>52</v>
      </c>
      <c r="P151" s="72" t="s">
        <v>35</v>
      </c>
      <c r="Q151" s="89" t="s">
        <v>1179</v>
      </c>
    </row>
    <row r="152" spans="1:27">
      <c r="M152" s="88" t="s">
        <v>1180</v>
      </c>
      <c r="N152" s="72" t="s">
        <v>35</v>
      </c>
      <c r="O152" s="72" t="s">
        <v>52</v>
      </c>
      <c r="P152" s="72" t="s">
        <v>35</v>
      </c>
      <c r="Q152" s="89" t="s">
        <v>1181</v>
      </c>
    </row>
    <row r="153" spans="1:27">
      <c r="M153" s="90" t="s">
        <v>1182</v>
      </c>
      <c r="N153" s="91" t="s">
        <v>35</v>
      </c>
      <c r="O153" s="91" t="s">
        <v>52</v>
      </c>
      <c r="P153" s="91" t="s">
        <v>35</v>
      </c>
      <c r="Q153" s="92" t="s">
        <v>1183</v>
      </c>
    </row>
    <row r="157" spans="1:27">
      <c r="A157" s="214" t="s">
        <v>173</v>
      </c>
      <c r="B157" s="215"/>
      <c r="F157" s="85" t="s">
        <v>0</v>
      </c>
      <c r="G157" s="118" t="s">
        <v>1</v>
      </c>
      <c r="I157" s="85" t="s">
        <v>20</v>
      </c>
      <c r="J157" s="86" t="s">
        <v>21</v>
      </c>
      <c r="K157" s="87" t="s">
        <v>23</v>
      </c>
      <c r="M157" s="85" t="s">
        <v>27</v>
      </c>
      <c r="N157" s="86" t="s">
        <v>28</v>
      </c>
      <c r="O157" s="86" t="s">
        <v>29</v>
      </c>
      <c r="P157" s="86" t="s">
        <v>30</v>
      </c>
      <c r="Q157" s="87" t="s">
        <v>31</v>
      </c>
      <c r="S157" s="85" t="s">
        <v>56</v>
      </c>
      <c r="T157" s="87" t="s">
        <v>57</v>
      </c>
      <c r="U157" s="79"/>
      <c r="V157" s="85" t="s">
        <v>68</v>
      </c>
      <c r="W157" s="87" t="s">
        <v>69</v>
      </c>
      <c r="Y157" s="85" t="s">
        <v>85</v>
      </c>
      <c r="Z157" s="86" t="s">
        <v>88</v>
      </c>
      <c r="AA157" s="87" t="s">
        <v>89</v>
      </c>
    </row>
    <row r="158" spans="1:27">
      <c r="A158" s="216"/>
      <c r="B158" s="217"/>
      <c r="F158" s="88" t="s">
        <v>2</v>
      </c>
      <c r="G158" s="112" t="s">
        <v>1184</v>
      </c>
      <c r="I158" s="88" t="s">
        <v>24</v>
      </c>
      <c r="J158" s="72">
        <v>7</v>
      </c>
      <c r="K158" s="89">
        <v>510</v>
      </c>
      <c r="M158" s="88" t="s">
        <v>1185</v>
      </c>
      <c r="N158" s="72" t="s">
        <v>33</v>
      </c>
      <c r="O158" s="72" t="s">
        <v>34</v>
      </c>
      <c r="P158" s="72" t="s">
        <v>35</v>
      </c>
      <c r="Q158" s="89" t="s">
        <v>1186</v>
      </c>
      <c r="S158" s="88" t="s">
        <v>58</v>
      </c>
      <c r="T158" s="89" t="s">
        <v>1187</v>
      </c>
      <c r="V158" s="88" t="s">
        <v>70</v>
      </c>
      <c r="W158" s="89" t="s">
        <v>1188</v>
      </c>
      <c r="Y158" s="88" t="s">
        <v>90</v>
      </c>
      <c r="Z158" s="72">
        <v>510</v>
      </c>
      <c r="AA158" s="89">
        <v>290</v>
      </c>
    </row>
    <row r="159" spans="1:27">
      <c r="A159" s="216"/>
      <c r="B159" s="217"/>
      <c r="F159" s="88" t="s">
        <v>4</v>
      </c>
      <c r="G159" s="112" t="s">
        <v>894</v>
      </c>
      <c r="I159" s="88" t="s">
        <v>25</v>
      </c>
      <c r="J159" s="80">
        <v>4</v>
      </c>
      <c r="K159" s="89">
        <v>210</v>
      </c>
      <c r="M159" s="88" t="s">
        <v>1125</v>
      </c>
      <c r="N159" s="72" t="s">
        <v>33</v>
      </c>
      <c r="O159" s="72" t="s">
        <v>34</v>
      </c>
      <c r="P159" s="72" t="s">
        <v>35</v>
      </c>
      <c r="Q159" s="89" t="s">
        <v>1189</v>
      </c>
      <c r="S159" s="88" t="s">
        <v>60</v>
      </c>
      <c r="T159" s="89" t="s">
        <v>1190</v>
      </c>
      <c r="V159" s="88" t="s">
        <v>73</v>
      </c>
      <c r="W159" s="89" t="s">
        <v>1191</v>
      </c>
      <c r="Y159" s="88" t="s">
        <v>91</v>
      </c>
      <c r="Z159" s="72">
        <v>210</v>
      </c>
      <c r="AA159" s="89">
        <v>350</v>
      </c>
    </row>
    <row r="160" spans="1:27">
      <c r="A160" s="216"/>
      <c r="B160" s="217"/>
      <c r="F160" s="88" t="s">
        <v>6</v>
      </c>
      <c r="G160" s="112" t="s">
        <v>895</v>
      </c>
      <c r="I160" s="90" t="s">
        <v>26</v>
      </c>
      <c r="J160" s="91"/>
      <c r="K160" s="92">
        <v>720</v>
      </c>
      <c r="M160" s="88" t="s">
        <v>1192</v>
      </c>
      <c r="N160" s="72" t="s">
        <v>33</v>
      </c>
      <c r="O160" s="72" t="s">
        <v>43</v>
      </c>
      <c r="P160" s="72" t="s">
        <v>33</v>
      </c>
      <c r="Q160" s="89" t="s">
        <v>1193</v>
      </c>
      <c r="S160" s="88" t="s">
        <v>62</v>
      </c>
      <c r="T160" s="89" t="s">
        <v>1194</v>
      </c>
      <c r="V160" s="88" t="s">
        <v>76</v>
      </c>
      <c r="W160" s="89" t="s">
        <v>1195</v>
      </c>
      <c r="Y160" s="88" t="s">
        <v>26</v>
      </c>
      <c r="Z160" s="72">
        <v>720</v>
      </c>
      <c r="AA160" s="89">
        <v>640</v>
      </c>
    </row>
    <row r="161" spans="1:27">
      <c r="A161" s="216"/>
      <c r="B161" s="217"/>
      <c r="F161" s="88" t="s">
        <v>8</v>
      </c>
      <c r="G161" s="112" t="s">
        <v>1101</v>
      </c>
      <c r="M161" s="88" t="s">
        <v>1196</v>
      </c>
      <c r="N161" s="72" t="s">
        <v>33</v>
      </c>
      <c r="O161" s="72" t="s">
        <v>34</v>
      </c>
      <c r="P161" s="72" t="s">
        <v>33</v>
      </c>
      <c r="Q161" s="89" t="s">
        <v>1197</v>
      </c>
      <c r="S161" s="88" t="s">
        <v>64</v>
      </c>
      <c r="T161" s="89" t="s">
        <v>1198</v>
      </c>
      <c r="V161" s="88" t="s">
        <v>79</v>
      </c>
      <c r="W161" s="89" t="s">
        <v>1134</v>
      </c>
      <c r="Y161" s="90" t="s">
        <v>92</v>
      </c>
      <c r="Z161" s="91"/>
      <c r="AA161" s="122">
        <v>0.111</v>
      </c>
    </row>
    <row r="162" spans="1:27">
      <c r="A162" s="216"/>
      <c r="B162" s="217"/>
      <c r="F162" s="88" t="s">
        <v>10</v>
      </c>
      <c r="G162" s="112" t="s">
        <v>12</v>
      </c>
      <c r="M162" s="88" t="s">
        <v>1180</v>
      </c>
      <c r="N162" s="72" t="s">
        <v>33</v>
      </c>
      <c r="O162" s="72" t="s">
        <v>43</v>
      </c>
      <c r="P162" s="72" t="s">
        <v>33</v>
      </c>
      <c r="Q162" s="89" t="s">
        <v>1199</v>
      </c>
      <c r="S162" s="90" t="s">
        <v>66</v>
      </c>
      <c r="T162" s="92" t="s">
        <v>1200</v>
      </c>
      <c r="V162" s="90" t="s">
        <v>82</v>
      </c>
      <c r="W162" s="92" t="s">
        <v>1201</v>
      </c>
    </row>
    <row r="163" spans="1:27">
      <c r="A163" s="216"/>
      <c r="B163" s="217"/>
      <c r="F163" s="88" t="s">
        <v>13</v>
      </c>
      <c r="G163" s="201" t="s">
        <v>1202</v>
      </c>
      <c r="M163" s="88" t="s">
        <v>1203</v>
      </c>
      <c r="N163" s="72" t="s">
        <v>33</v>
      </c>
      <c r="O163" s="72" t="s">
        <v>43</v>
      </c>
      <c r="P163" s="72" t="s">
        <v>33</v>
      </c>
      <c r="Q163" s="89" t="s">
        <v>1204</v>
      </c>
    </row>
    <row r="164" spans="1:27">
      <c r="A164" s="216"/>
      <c r="B164" s="217"/>
      <c r="F164" s="88" t="s">
        <v>15</v>
      </c>
      <c r="G164" s="112" t="s">
        <v>1205</v>
      </c>
      <c r="M164" s="88" t="s">
        <v>1206</v>
      </c>
      <c r="N164" s="72" t="s">
        <v>33</v>
      </c>
      <c r="O164" s="72" t="s">
        <v>34</v>
      </c>
      <c r="P164" s="72" t="s">
        <v>35</v>
      </c>
      <c r="Q164" s="89" t="s">
        <v>1207</v>
      </c>
    </row>
    <row r="165" spans="1:27">
      <c r="A165" s="216"/>
      <c r="B165" s="217"/>
      <c r="F165" s="88" t="s">
        <v>17</v>
      </c>
      <c r="G165" s="113">
        <v>46126</v>
      </c>
      <c r="M165" s="119" t="s">
        <v>1208</v>
      </c>
      <c r="N165" s="93" t="s">
        <v>35</v>
      </c>
      <c r="O165" s="93" t="s">
        <v>52</v>
      </c>
      <c r="P165" s="93" t="s">
        <v>35</v>
      </c>
      <c r="Q165" s="120" t="s">
        <v>1209</v>
      </c>
    </row>
    <row r="166" spans="1:27">
      <c r="A166" s="218"/>
      <c r="B166" s="219"/>
      <c r="F166" s="90" t="s">
        <v>18</v>
      </c>
      <c r="G166" s="114" t="s">
        <v>19</v>
      </c>
      <c r="M166" s="88" t="s">
        <v>979</v>
      </c>
      <c r="N166" s="72" t="s">
        <v>35</v>
      </c>
      <c r="O166" s="72" t="s">
        <v>52</v>
      </c>
      <c r="P166" s="72" t="s">
        <v>35</v>
      </c>
      <c r="Q166" s="89" t="s">
        <v>1210</v>
      </c>
    </row>
    <row r="167" spans="1:27">
      <c r="M167" s="88" t="s">
        <v>1211</v>
      </c>
      <c r="N167" s="72" t="s">
        <v>35</v>
      </c>
      <c r="O167" s="72" t="s">
        <v>52</v>
      </c>
      <c r="P167" s="72" t="s">
        <v>35</v>
      </c>
      <c r="Q167" s="89" t="s">
        <v>1212</v>
      </c>
    </row>
    <row r="168" spans="1:27">
      <c r="M168" s="90" t="s">
        <v>1213</v>
      </c>
      <c r="N168" s="91" t="s">
        <v>35</v>
      </c>
      <c r="O168" s="91" t="s">
        <v>52</v>
      </c>
      <c r="P168" s="91" t="s">
        <v>35</v>
      </c>
      <c r="Q168" s="92" t="s">
        <v>1214</v>
      </c>
    </row>
    <row r="173" spans="1:27">
      <c r="A173" s="214" t="s">
        <v>177</v>
      </c>
      <c r="B173" s="215"/>
      <c r="F173" s="85" t="s">
        <v>0</v>
      </c>
      <c r="G173" s="118" t="s">
        <v>1</v>
      </c>
      <c r="I173" s="85" t="s">
        <v>20</v>
      </c>
      <c r="J173" s="86" t="s">
        <v>21</v>
      </c>
      <c r="K173" s="87" t="s">
        <v>23</v>
      </c>
      <c r="M173" s="85" t="s">
        <v>27</v>
      </c>
      <c r="N173" s="86" t="s">
        <v>28</v>
      </c>
      <c r="O173" s="86" t="s">
        <v>29</v>
      </c>
      <c r="P173" s="86" t="s">
        <v>30</v>
      </c>
      <c r="Q173" s="87" t="s">
        <v>31</v>
      </c>
      <c r="S173" s="85" t="s">
        <v>56</v>
      </c>
      <c r="T173" s="87" t="s">
        <v>57</v>
      </c>
      <c r="U173" s="79"/>
      <c r="V173" s="85" t="s">
        <v>68</v>
      </c>
      <c r="W173" s="87" t="s">
        <v>69</v>
      </c>
      <c r="Y173" s="85" t="s">
        <v>85</v>
      </c>
      <c r="Z173" s="86" t="s">
        <v>88</v>
      </c>
      <c r="AA173" s="87" t="s">
        <v>89</v>
      </c>
    </row>
    <row r="174" spans="1:27">
      <c r="A174" s="216"/>
      <c r="B174" s="217"/>
      <c r="F174" s="88" t="s">
        <v>2</v>
      </c>
      <c r="G174" s="112" t="s">
        <v>1215</v>
      </c>
      <c r="I174" s="88" t="s">
        <v>24</v>
      </c>
      <c r="J174" s="72">
        <v>8</v>
      </c>
      <c r="K174" s="89">
        <v>580</v>
      </c>
      <c r="M174" s="88" t="s">
        <v>1216</v>
      </c>
      <c r="N174" s="72" t="s">
        <v>33</v>
      </c>
      <c r="O174" s="72" t="s">
        <v>34</v>
      </c>
      <c r="P174" s="72" t="s">
        <v>35</v>
      </c>
      <c r="Q174" s="89" t="s">
        <v>1217</v>
      </c>
      <c r="S174" s="88" t="s">
        <v>58</v>
      </c>
      <c r="T174" s="89" t="s">
        <v>1218</v>
      </c>
      <c r="V174" s="88" t="s">
        <v>70</v>
      </c>
      <c r="W174" s="89" t="s">
        <v>1219</v>
      </c>
      <c r="Y174" s="88" t="s">
        <v>90</v>
      </c>
      <c r="Z174" s="72">
        <v>580</v>
      </c>
      <c r="AA174" s="89">
        <v>330</v>
      </c>
    </row>
    <row r="175" spans="1:27">
      <c r="A175" s="216"/>
      <c r="B175" s="217"/>
      <c r="F175" s="88" t="s">
        <v>4</v>
      </c>
      <c r="G175" s="112" t="s">
        <v>894</v>
      </c>
      <c r="I175" s="88" t="s">
        <v>25</v>
      </c>
      <c r="J175" s="80">
        <v>5</v>
      </c>
      <c r="K175" s="89">
        <v>260</v>
      </c>
      <c r="M175" s="88" t="s">
        <v>1220</v>
      </c>
      <c r="N175" s="72" t="s">
        <v>33</v>
      </c>
      <c r="O175" s="72" t="s">
        <v>34</v>
      </c>
      <c r="P175" s="72" t="s">
        <v>35</v>
      </c>
      <c r="Q175" s="89" t="s">
        <v>1126</v>
      </c>
      <c r="S175" s="88" t="s">
        <v>60</v>
      </c>
      <c r="T175" s="89" t="s">
        <v>1221</v>
      </c>
      <c r="V175" s="88" t="s">
        <v>73</v>
      </c>
      <c r="W175" s="89" t="s">
        <v>1222</v>
      </c>
      <c r="Y175" s="88" t="s">
        <v>91</v>
      </c>
      <c r="Z175" s="72">
        <v>260</v>
      </c>
      <c r="AA175" s="89">
        <v>400</v>
      </c>
    </row>
    <row r="176" spans="1:27">
      <c r="A176" s="216"/>
      <c r="B176" s="217"/>
      <c r="F176" s="88" t="s">
        <v>6</v>
      </c>
      <c r="G176" s="112" t="s">
        <v>895</v>
      </c>
      <c r="I176" s="90" t="s">
        <v>26</v>
      </c>
      <c r="J176" s="91"/>
      <c r="K176" s="92">
        <v>840</v>
      </c>
      <c r="M176" s="88" t="s">
        <v>1223</v>
      </c>
      <c r="N176" s="72" t="s">
        <v>33</v>
      </c>
      <c r="O176" s="72" t="s">
        <v>43</v>
      </c>
      <c r="P176" s="72" t="s">
        <v>33</v>
      </c>
      <c r="Q176" s="89" t="s">
        <v>1224</v>
      </c>
      <c r="S176" s="88" t="s">
        <v>62</v>
      </c>
      <c r="T176" s="89" t="s">
        <v>1225</v>
      </c>
      <c r="V176" s="88" t="s">
        <v>76</v>
      </c>
      <c r="W176" s="89" t="s">
        <v>1226</v>
      </c>
      <c r="Y176" s="88" t="s">
        <v>26</v>
      </c>
      <c r="Z176" s="72">
        <v>840</v>
      </c>
      <c r="AA176" s="89">
        <v>730</v>
      </c>
    </row>
    <row r="177" spans="1:27" ht="17.25" customHeight="1">
      <c r="A177" s="216"/>
      <c r="B177" s="217"/>
      <c r="F177" s="88" t="s">
        <v>8</v>
      </c>
      <c r="G177" s="112" t="s">
        <v>1227</v>
      </c>
      <c r="M177" s="88" t="s">
        <v>1228</v>
      </c>
      <c r="N177" s="72" t="s">
        <v>33</v>
      </c>
      <c r="O177" s="72" t="s">
        <v>43</v>
      </c>
      <c r="P177" s="72" t="s">
        <v>33</v>
      </c>
      <c r="Q177" s="89" t="s">
        <v>1229</v>
      </c>
      <c r="S177" s="88" t="s">
        <v>64</v>
      </c>
      <c r="T177" s="89" t="s">
        <v>1230</v>
      </c>
      <c r="V177" s="88" t="s">
        <v>79</v>
      </c>
      <c r="W177" s="89" t="s">
        <v>1231</v>
      </c>
      <c r="Y177" s="90" t="s">
        <v>92</v>
      </c>
      <c r="Z177" s="91"/>
      <c r="AA177" s="122">
        <v>0.13</v>
      </c>
    </row>
    <row r="178" spans="1:27">
      <c r="A178" s="216"/>
      <c r="B178" s="217"/>
      <c r="F178" s="88" t="s">
        <v>10</v>
      </c>
      <c r="G178" s="112" t="s">
        <v>1106</v>
      </c>
      <c r="M178" s="88" t="s">
        <v>1022</v>
      </c>
      <c r="N178" s="72" t="s">
        <v>33</v>
      </c>
      <c r="O178" s="72" t="s">
        <v>34</v>
      </c>
      <c r="P178" s="72" t="s">
        <v>33</v>
      </c>
      <c r="Q178" s="89" t="s">
        <v>1232</v>
      </c>
      <c r="S178" s="90" t="s">
        <v>66</v>
      </c>
      <c r="T178" s="92" t="s">
        <v>1233</v>
      </c>
      <c r="V178" s="90" t="s">
        <v>82</v>
      </c>
      <c r="W178" s="92" t="s">
        <v>1234</v>
      </c>
    </row>
    <row r="179" spans="1:27">
      <c r="A179" s="216"/>
      <c r="B179" s="217"/>
      <c r="F179" s="88" t="s">
        <v>13</v>
      </c>
      <c r="G179" s="201" t="s">
        <v>1235</v>
      </c>
      <c r="M179" s="88" t="s">
        <v>1236</v>
      </c>
      <c r="N179" s="72" t="s">
        <v>33</v>
      </c>
      <c r="O179" s="72" t="s">
        <v>34</v>
      </c>
      <c r="P179" s="72" t="s">
        <v>35</v>
      </c>
      <c r="Q179" s="89" t="s">
        <v>1237</v>
      </c>
    </row>
    <row r="180" spans="1:27">
      <c r="A180" s="216"/>
      <c r="B180" s="217"/>
      <c r="F180" s="88" t="s">
        <v>15</v>
      </c>
      <c r="G180" s="112" t="s">
        <v>1238</v>
      </c>
      <c r="M180" s="88" t="s">
        <v>1239</v>
      </c>
      <c r="N180" s="72" t="s">
        <v>33</v>
      </c>
      <c r="O180" s="72" t="s">
        <v>43</v>
      </c>
      <c r="P180" s="72" t="s">
        <v>33</v>
      </c>
      <c r="Q180" s="89" t="s">
        <v>1240</v>
      </c>
    </row>
    <row r="181" spans="1:27" ht="21.75" customHeight="1">
      <c r="A181" s="216"/>
      <c r="B181" s="217"/>
      <c r="F181" s="88" t="s">
        <v>17</v>
      </c>
      <c r="G181" s="113">
        <v>46126</v>
      </c>
      <c r="M181" s="88" t="s">
        <v>1241</v>
      </c>
      <c r="N181" s="72" t="s">
        <v>33</v>
      </c>
      <c r="O181" s="72" t="s">
        <v>43</v>
      </c>
      <c r="P181" s="72" t="s">
        <v>33</v>
      </c>
      <c r="Q181" s="89" t="s">
        <v>1242</v>
      </c>
    </row>
    <row r="182" spans="1:27">
      <c r="A182" s="218"/>
      <c r="B182" s="219"/>
      <c r="F182" s="90" t="s">
        <v>18</v>
      </c>
      <c r="G182" s="114" t="s">
        <v>19</v>
      </c>
      <c r="M182" s="88" t="s">
        <v>1243</v>
      </c>
      <c r="N182" s="72" t="s">
        <v>35</v>
      </c>
      <c r="O182" s="72" t="s">
        <v>52</v>
      </c>
      <c r="P182" s="72" t="s">
        <v>35</v>
      </c>
      <c r="Q182" s="89" t="s">
        <v>1244</v>
      </c>
    </row>
    <row r="183" spans="1:27" ht="17.25" customHeight="1">
      <c r="M183" s="88" t="s">
        <v>1245</v>
      </c>
      <c r="N183" s="72" t="s">
        <v>35</v>
      </c>
      <c r="O183" s="72" t="s">
        <v>52</v>
      </c>
      <c r="P183" s="72" t="s">
        <v>35</v>
      </c>
      <c r="Q183" s="89" t="s">
        <v>1246</v>
      </c>
    </row>
    <row r="184" spans="1:27" ht="16.5" customHeight="1">
      <c r="M184" s="88" t="s">
        <v>1247</v>
      </c>
      <c r="N184" s="72" t="s">
        <v>35</v>
      </c>
      <c r="O184" s="72" t="s">
        <v>52</v>
      </c>
      <c r="P184" s="72" t="s">
        <v>35</v>
      </c>
      <c r="Q184" s="89" t="s">
        <v>1248</v>
      </c>
    </row>
    <row r="185" spans="1:27" ht="18.75" customHeight="1">
      <c r="M185" s="131" t="s">
        <v>1249</v>
      </c>
      <c r="N185" s="72" t="s">
        <v>35</v>
      </c>
      <c r="O185" s="72" t="s">
        <v>52</v>
      </c>
      <c r="P185" s="72" t="s">
        <v>35</v>
      </c>
      <c r="Q185" s="89" t="s">
        <v>1250</v>
      </c>
    </row>
    <row r="186" spans="1:27" ht="19.5" customHeight="1">
      <c r="M186" s="121" t="s">
        <v>1251</v>
      </c>
      <c r="N186" s="91" t="s">
        <v>35</v>
      </c>
      <c r="O186" s="91" t="s">
        <v>52</v>
      </c>
      <c r="P186" s="91" t="s">
        <v>35</v>
      </c>
      <c r="Q186" s="92" t="s">
        <v>1252</v>
      </c>
    </row>
    <row r="191" spans="1:27">
      <c r="A191" s="214" t="s">
        <v>179</v>
      </c>
      <c r="B191" s="215"/>
      <c r="F191" s="85" t="s">
        <v>0</v>
      </c>
      <c r="G191" s="118" t="s">
        <v>1</v>
      </c>
      <c r="I191" s="85" t="s">
        <v>20</v>
      </c>
      <c r="J191" s="86" t="s">
        <v>21</v>
      </c>
      <c r="K191" s="87" t="s">
        <v>23</v>
      </c>
      <c r="M191" s="85" t="s">
        <v>27</v>
      </c>
      <c r="N191" s="86" t="s">
        <v>28</v>
      </c>
      <c r="O191" s="86" t="s">
        <v>29</v>
      </c>
      <c r="P191" s="86" t="s">
        <v>30</v>
      </c>
      <c r="Q191" s="87" t="s">
        <v>31</v>
      </c>
      <c r="S191" s="85" t="s">
        <v>56</v>
      </c>
      <c r="T191" s="87" t="s">
        <v>57</v>
      </c>
      <c r="U191" s="79"/>
      <c r="V191" s="85" t="s">
        <v>68</v>
      </c>
      <c r="W191" s="87" t="s">
        <v>69</v>
      </c>
      <c r="Y191" s="85" t="s">
        <v>85</v>
      </c>
      <c r="Z191" s="86" t="s">
        <v>88</v>
      </c>
      <c r="AA191" s="87" t="s">
        <v>89</v>
      </c>
    </row>
    <row r="192" spans="1:27">
      <c r="A192" s="216"/>
      <c r="B192" s="217"/>
      <c r="F192" s="88" t="s">
        <v>2</v>
      </c>
      <c r="G192" s="112" t="s">
        <v>1253</v>
      </c>
      <c r="I192" s="88" t="s">
        <v>24</v>
      </c>
      <c r="J192" s="72">
        <v>8</v>
      </c>
      <c r="K192" s="89">
        <v>560</v>
      </c>
      <c r="M192" s="88" t="s">
        <v>1216</v>
      </c>
      <c r="N192" s="72" t="s">
        <v>33</v>
      </c>
      <c r="O192" s="72" t="s">
        <v>34</v>
      </c>
      <c r="P192" s="72" t="s">
        <v>35</v>
      </c>
      <c r="Q192" s="89" t="s">
        <v>1254</v>
      </c>
      <c r="S192" s="88" t="s">
        <v>58</v>
      </c>
      <c r="T192" s="89" t="s">
        <v>1255</v>
      </c>
      <c r="V192" s="88" t="s">
        <v>70</v>
      </c>
      <c r="W192" s="89" t="s">
        <v>1219</v>
      </c>
      <c r="Y192" s="88" t="s">
        <v>90</v>
      </c>
      <c r="Z192" s="72">
        <v>560</v>
      </c>
      <c r="AA192" s="89">
        <v>310</v>
      </c>
    </row>
    <row r="193" spans="1:27">
      <c r="A193" s="216"/>
      <c r="B193" s="217"/>
      <c r="F193" s="88" t="s">
        <v>4</v>
      </c>
      <c r="G193" s="112" t="s">
        <v>894</v>
      </c>
      <c r="I193" s="88" t="s">
        <v>25</v>
      </c>
      <c r="J193" s="80">
        <v>5</v>
      </c>
      <c r="K193" s="89">
        <v>260</v>
      </c>
      <c r="M193" s="88" t="s">
        <v>1256</v>
      </c>
      <c r="N193" s="72" t="s">
        <v>33</v>
      </c>
      <c r="O193" s="72" t="s">
        <v>43</v>
      </c>
      <c r="P193" s="72" t="s">
        <v>33</v>
      </c>
      <c r="Q193" s="89" t="s">
        <v>1257</v>
      </c>
      <c r="S193" s="88" t="s">
        <v>60</v>
      </c>
      <c r="T193" s="89" t="s">
        <v>1258</v>
      </c>
      <c r="V193" s="88" t="s">
        <v>73</v>
      </c>
      <c r="W193" s="89" t="s">
        <v>1259</v>
      </c>
      <c r="Y193" s="88" t="s">
        <v>91</v>
      </c>
      <c r="Z193" s="72">
        <v>260</v>
      </c>
      <c r="AA193" s="89">
        <v>420</v>
      </c>
    </row>
    <row r="194" spans="1:27">
      <c r="A194" s="216"/>
      <c r="B194" s="217"/>
      <c r="F194" s="88" t="s">
        <v>6</v>
      </c>
      <c r="G194" s="112" t="s">
        <v>895</v>
      </c>
      <c r="I194" s="90" t="s">
        <v>26</v>
      </c>
      <c r="J194" s="91"/>
      <c r="K194" s="92">
        <v>820</v>
      </c>
      <c r="M194" s="88" t="s">
        <v>1094</v>
      </c>
      <c r="N194" s="72" t="s">
        <v>33</v>
      </c>
      <c r="O194" s="72" t="s">
        <v>34</v>
      </c>
      <c r="P194" s="72" t="s">
        <v>35</v>
      </c>
      <c r="Q194" s="89" t="s">
        <v>1260</v>
      </c>
      <c r="S194" s="88" t="s">
        <v>62</v>
      </c>
      <c r="T194" s="89" t="s">
        <v>1261</v>
      </c>
      <c r="V194" s="88" t="s">
        <v>76</v>
      </c>
      <c r="W194" s="89" t="s">
        <v>1262</v>
      </c>
      <c r="Y194" s="88" t="s">
        <v>26</v>
      </c>
      <c r="Z194" s="72">
        <v>820</v>
      </c>
      <c r="AA194" s="89">
        <v>730</v>
      </c>
    </row>
    <row r="195" spans="1:27">
      <c r="A195" s="216"/>
      <c r="B195" s="217"/>
      <c r="F195" s="88" t="s">
        <v>8</v>
      </c>
      <c r="G195" s="112" t="s">
        <v>1227</v>
      </c>
      <c r="M195" s="88" t="s">
        <v>1263</v>
      </c>
      <c r="N195" s="72" t="s">
        <v>33</v>
      </c>
      <c r="O195" s="72" t="s">
        <v>43</v>
      </c>
      <c r="P195" s="72" t="s">
        <v>33</v>
      </c>
      <c r="Q195" s="89" t="s">
        <v>1264</v>
      </c>
      <c r="S195" s="88" t="s">
        <v>64</v>
      </c>
      <c r="T195" s="89" t="s">
        <v>1265</v>
      </c>
      <c r="V195" s="88" t="s">
        <v>79</v>
      </c>
      <c r="W195" s="89" t="s">
        <v>1266</v>
      </c>
      <c r="Y195" s="90" t="s">
        <v>92</v>
      </c>
      <c r="Z195" s="91"/>
      <c r="AA195" s="122">
        <v>0.11</v>
      </c>
    </row>
    <row r="196" spans="1:27">
      <c r="A196" s="216"/>
      <c r="B196" s="217"/>
      <c r="F196" s="88" t="s">
        <v>10</v>
      </c>
      <c r="G196" s="112" t="s">
        <v>1106</v>
      </c>
      <c r="M196" s="88" t="s">
        <v>1267</v>
      </c>
      <c r="N196" s="72" t="s">
        <v>33</v>
      </c>
      <c r="O196" s="72" t="s">
        <v>34</v>
      </c>
      <c r="P196" s="72" t="s">
        <v>33</v>
      </c>
      <c r="Q196" s="89" t="s">
        <v>1268</v>
      </c>
      <c r="S196" s="90" t="s">
        <v>66</v>
      </c>
      <c r="T196" s="92" t="s">
        <v>1269</v>
      </c>
      <c r="V196" s="90" t="s">
        <v>82</v>
      </c>
      <c r="W196" s="92" t="s">
        <v>1270</v>
      </c>
    </row>
    <row r="197" spans="1:27">
      <c r="A197" s="216"/>
      <c r="B197" s="217"/>
      <c r="F197" s="88" t="s">
        <v>13</v>
      </c>
      <c r="G197" s="201" t="s">
        <v>1271</v>
      </c>
      <c r="M197" s="88" t="s">
        <v>42</v>
      </c>
      <c r="N197" s="72" t="s">
        <v>33</v>
      </c>
      <c r="O197" s="72" t="s">
        <v>43</v>
      </c>
      <c r="P197" s="72" t="s">
        <v>33</v>
      </c>
      <c r="Q197" s="89" t="s">
        <v>1272</v>
      </c>
    </row>
    <row r="198" spans="1:27">
      <c r="A198" s="216"/>
      <c r="B198" s="217"/>
      <c r="F198" s="88" t="s">
        <v>15</v>
      </c>
      <c r="G198" s="112" t="s">
        <v>1273</v>
      </c>
      <c r="M198" s="88" t="s">
        <v>1274</v>
      </c>
      <c r="N198" s="72" t="s">
        <v>33</v>
      </c>
      <c r="O198" s="72" t="s">
        <v>43</v>
      </c>
      <c r="P198" s="72" t="s">
        <v>33</v>
      </c>
      <c r="Q198" s="89" t="s">
        <v>1275</v>
      </c>
    </row>
    <row r="199" spans="1:27">
      <c r="A199" s="216"/>
      <c r="B199" s="217"/>
      <c r="F199" s="88" t="s">
        <v>17</v>
      </c>
      <c r="G199" s="113">
        <v>46126</v>
      </c>
      <c r="M199" s="88" t="s">
        <v>1276</v>
      </c>
      <c r="N199" s="72" t="s">
        <v>33</v>
      </c>
      <c r="O199" s="72" t="s">
        <v>34</v>
      </c>
      <c r="P199" s="72" t="s">
        <v>35</v>
      </c>
      <c r="Q199" s="89" t="s">
        <v>1277</v>
      </c>
    </row>
    <row r="200" spans="1:27">
      <c r="A200" s="218"/>
      <c r="B200" s="219"/>
      <c r="F200" s="90" t="s">
        <v>18</v>
      </c>
      <c r="G200" s="114" t="s">
        <v>19</v>
      </c>
      <c r="M200" s="88" t="s">
        <v>1278</v>
      </c>
      <c r="N200" s="72" t="s">
        <v>35</v>
      </c>
      <c r="O200" s="72" t="s">
        <v>52</v>
      </c>
      <c r="P200" s="72" t="s">
        <v>35</v>
      </c>
      <c r="Q200" s="89" t="s">
        <v>1279</v>
      </c>
    </row>
    <row r="201" spans="1:27">
      <c r="M201" s="88" t="s">
        <v>924</v>
      </c>
      <c r="N201" s="72" t="s">
        <v>35</v>
      </c>
      <c r="O201" s="72" t="s">
        <v>52</v>
      </c>
      <c r="P201" s="72" t="s">
        <v>35</v>
      </c>
      <c r="Q201" s="89" t="s">
        <v>1280</v>
      </c>
    </row>
    <row r="202" spans="1:27">
      <c r="M202" s="88" t="s">
        <v>1281</v>
      </c>
      <c r="N202" s="72" t="s">
        <v>35</v>
      </c>
      <c r="O202" s="72" t="s">
        <v>52</v>
      </c>
      <c r="P202" s="72" t="s">
        <v>35</v>
      </c>
      <c r="Q202" s="89" t="s">
        <v>1282</v>
      </c>
    </row>
    <row r="203" spans="1:27">
      <c r="M203" s="121" t="s">
        <v>1283</v>
      </c>
      <c r="N203" s="91" t="s">
        <v>35</v>
      </c>
      <c r="O203" s="91" t="s">
        <v>52</v>
      </c>
      <c r="P203" s="91" t="s">
        <v>35</v>
      </c>
      <c r="Q203" s="92" t="s">
        <v>1284</v>
      </c>
    </row>
    <row r="208" spans="1:27">
      <c r="A208" s="214" t="s">
        <v>183</v>
      </c>
      <c r="B208" s="215"/>
      <c r="F208" s="85" t="s">
        <v>0</v>
      </c>
      <c r="G208" s="118" t="s">
        <v>1</v>
      </c>
      <c r="I208" s="85" t="s">
        <v>20</v>
      </c>
      <c r="J208" s="86" t="s">
        <v>21</v>
      </c>
      <c r="K208" s="87" t="s">
        <v>23</v>
      </c>
      <c r="M208" s="85" t="s">
        <v>27</v>
      </c>
      <c r="N208" s="86" t="s">
        <v>28</v>
      </c>
      <c r="O208" s="86" t="s">
        <v>29</v>
      </c>
      <c r="P208" s="86" t="s">
        <v>30</v>
      </c>
      <c r="Q208" s="87" t="s">
        <v>31</v>
      </c>
      <c r="S208" s="85" t="s">
        <v>56</v>
      </c>
      <c r="T208" s="87" t="s">
        <v>57</v>
      </c>
      <c r="U208" s="79"/>
      <c r="V208" s="85" t="s">
        <v>68</v>
      </c>
      <c r="W208" s="87" t="s">
        <v>69</v>
      </c>
      <c r="Y208" s="85" t="s">
        <v>85</v>
      </c>
      <c r="Z208" s="86" t="s">
        <v>88</v>
      </c>
      <c r="AA208" s="87" t="s">
        <v>89</v>
      </c>
    </row>
    <row r="209" spans="1:27">
      <c r="A209" s="216"/>
      <c r="B209" s="217"/>
      <c r="F209" s="88" t="s">
        <v>2</v>
      </c>
      <c r="G209" s="112" t="s">
        <v>1285</v>
      </c>
      <c r="I209" s="88" t="s">
        <v>24</v>
      </c>
      <c r="J209" s="72">
        <v>5</v>
      </c>
      <c r="K209" s="89">
        <v>300</v>
      </c>
      <c r="M209" s="88" t="s">
        <v>1286</v>
      </c>
      <c r="N209" s="72" t="s">
        <v>33</v>
      </c>
      <c r="O209" s="72" t="s">
        <v>34</v>
      </c>
      <c r="P209" s="72" t="s">
        <v>35</v>
      </c>
      <c r="Q209" s="89" t="s">
        <v>1287</v>
      </c>
      <c r="S209" s="88" t="s">
        <v>58</v>
      </c>
      <c r="T209" s="89" t="s">
        <v>1288</v>
      </c>
      <c r="V209" s="88" t="s">
        <v>70</v>
      </c>
      <c r="W209" s="89" t="s">
        <v>1289</v>
      </c>
      <c r="Y209" s="88" t="s">
        <v>90</v>
      </c>
      <c r="Z209" s="72">
        <v>300</v>
      </c>
      <c r="AA209" s="89">
        <v>180</v>
      </c>
    </row>
    <row r="210" spans="1:27">
      <c r="A210" s="216"/>
      <c r="B210" s="217"/>
      <c r="F210" s="88" t="s">
        <v>4</v>
      </c>
      <c r="G210" s="112" t="s">
        <v>894</v>
      </c>
      <c r="I210" s="88" t="s">
        <v>25</v>
      </c>
      <c r="J210" s="80">
        <v>6</v>
      </c>
      <c r="K210" s="89">
        <v>360</v>
      </c>
      <c r="M210" s="88" t="s">
        <v>1290</v>
      </c>
      <c r="N210" s="72" t="s">
        <v>33</v>
      </c>
      <c r="O210" s="72" t="s">
        <v>34</v>
      </c>
      <c r="P210" s="72" t="s">
        <v>35</v>
      </c>
      <c r="Q210" s="89" t="s">
        <v>1291</v>
      </c>
      <c r="S210" s="88" t="s">
        <v>60</v>
      </c>
      <c r="T210" s="89" t="s">
        <v>1292</v>
      </c>
      <c r="V210" s="88" t="s">
        <v>73</v>
      </c>
      <c r="W210" s="89" t="s">
        <v>1293</v>
      </c>
      <c r="Y210" s="88" t="s">
        <v>91</v>
      </c>
      <c r="Z210" s="72">
        <v>360</v>
      </c>
      <c r="AA210" s="89">
        <v>420</v>
      </c>
    </row>
    <row r="211" spans="1:27">
      <c r="A211" s="216"/>
      <c r="B211" s="217"/>
      <c r="F211" s="88" t="s">
        <v>6</v>
      </c>
      <c r="G211" s="112" t="s">
        <v>895</v>
      </c>
      <c r="I211" s="90" t="s">
        <v>26</v>
      </c>
      <c r="J211" s="91"/>
      <c r="K211" s="92">
        <v>660</v>
      </c>
      <c r="M211" s="88" t="s">
        <v>1294</v>
      </c>
      <c r="N211" s="72" t="s">
        <v>33</v>
      </c>
      <c r="O211" s="72" t="s">
        <v>43</v>
      </c>
      <c r="P211" s="72" t="s">
        <v>33</v>
      </c>
      <c r="Q211" s="89" t="s">
        <v>1295</v>
      </c>
      <c r="S211" s="88" t="s">
        <v>62</v>
      </c>
      <c r="T211" s="89" t="s">
        <v>1296</v>
      </c>
      <c r="V211" s="88" t="s">
        <v>76</v>
      </c>
      <c r="W211" s="89" t="s">
        <v>1297</v>
      </c>
      <c r="Y211" s="88" t="s">
        <v>26</v>
      </c>
      <c r="Z211" s="72">
        <v>660</v>
      </c>
      <c r="AA211" s="89">
        <v>600</v>
      </c>
    </row>
    <row r="212" spans="1:27">
      <c r="A212" s="216"/>
      <c r="B212" s="217"/>
      <c r="F212" s="88" t="s">
        <v>8</v>
      </c>
      <c r="G212" s="112" t="s">
        <v>1298</v>
      </c>
      <c r="M212" s="88" t="s">
        <v>1299</v>
      </c>
      <c r="N212" s="72" t="s">
        <v>33</v>
      </c>
      <c r="O212" s="72" t="s">
        <v>43</v>
      </c>
      <c r="P212" s="72" t="s">
        <v>33</v>
      </c>
      <c r="Q212" s="89" t="s">
        <v>1300</v>
      </c>
      <c r="S212" s="88" t="s">
        <v>64</v>
      </c>
      <c r="T212" s="89" t="s">
        <v>1301</v>
      </c>
      <c r="V212" s="88" t="s">
        <v>79</v>
      </c>
      <c r="W212" s="89" t="s">
        <v>1302</v>
      </c>
      <c r="Y212" s="90" t="s">
        <v>92</v>
      </c>
      <c r="Z212" s="91"/>
      <c r="AA212" s="122">
        <v>9.0999999999999998E-2</v>
      </c>
    </row>
    <row r="213" spans="1:27">
      <c r="A213" s="216"/>
      <c r="B213" s="217"/>
      <c r="F213" s="88" t="s">
        <v>10</v>
      </c>
      <c r="G213" s="112" t="s">
        <v>1106</v>
      </c>
      <c r="M213" s="88" t="s">
        <v>1303</v>
      </c>
      <c r="N213" s="72" t="s">
        <v>33</v>
      </c>
      <c r="O213" s="72" t="s">
        <v>43</v>
      </c>
      <c r="P213" s="72" t="s">
        <v>33</v>
      </c>
      <c r="Q213" s="89" t="s">
        <v>1304</v>
      </c>
      <c r="S213" s="90" t="s">
        <v>66</v>
      </c>
      <c r="T213" s="92" t="s">
        <v>1305</v>
      </c>
      <c r="V213" s="90" t="s">
        <v>82</v>
      </c>
      <c r="W213" s="92" t="s">
        <v>1306</v>
      </c>
    </row>
    <row r="214" spans="1:27">
      <c r="A214" s="216"/>
      <c r="B214" s="217"/>
      <c r="F214" s="88" t="s">
        <v>13</v>
      </c>
      <c r="G214" s="201" t="s">
        <v>1307</v>
      </c>
      <c r="M214" s="88" t="s">
        <v>1308</v>
      </c>
      <c r="N214" s="72" t="s">
        <v>35</v>
      </c>
      <c r="O214" s="72" t="s">
        <v>52</v>
      </c>
      <c r="P214" s="72" t="s">
        <v>35</v>
      </c>
      <c r="Q214" s="89" t="s">
        <v>1309</v>
      </c>
    </row>
    <row r="215" spans="1:27">
      <c r="A215" s="216"/>
      <c r="B215" s="217"/>
      <c r="F215" s="88" t="s">
        <v>15</v>
      </c>
      <c r="G215" s="112" t="s">
        <v>1310</v>
      </c>
      <c r="M215" s="88" t="s">
        <v>1311</v>
      </c>
      <c r="N215" s="72" t="s">
        <v>35</v>
      </c>
      <c r="O215" s="72" t="s">
        <v>52</v>
      </c>
      <c r="P215" s="72" t="s">
        <v>35</v>
      </c>
      <c r="Q215" s="89" t="s">
        <v>1312</v>
      </c>
    </row>
    <row r="216" spans="1:27">
      <c r="A216" s="216"/>
      <c r="B216" s="217"/>
      <c r="F216" s="88" t="s">
        <v>17</v>
      </c>
      <c r="G216" s="113">
        <v>46126</v>
      </c>
      <c r="M216" s="88" t="s">
        <v>54</v>
      </c>
      <c r="N216" s="72" t="s">
        <v>35</v>
      </c>
      <c r="O216" s="72" t="s">
        <v>52</v>
      </c>
      <c r="P216" s="72" t="s">
        <v>35</v>
      </c>
      <c r="Q216" s="89" t="s">
        <v>1313</v>
      </c>
    </row>
    <row r="217" spans="1:27">
      <c r="A217" s="218"/>
      <c r="B217" s="219"/>
      <c r="F217" s="90" t="s">
        <v>18</v>
      </c>
      <c r="G217" s="114" t="s">
        <v>19</v>
      </c>
      <c r="M217" s="88" t="s">
        <v>924</v>
      </c>
      <c r="N217" s="72" t="s">
        <v>35</v>
      </c>
      <c r="O217" s="72" t="s">
        <v>52</v>
      </c>
      <c r="P217" s="72" t="s">
        <v>35</v>
      </c>
      <c r="Q217" s="89" t="s">
        <v>1314</v>
      </c>
    </row>
    <row r="218" spans="1:27">
      <c r="M218" s="88" t="s">
        <v>1182</v>
      </c>
      <c r="N218" s="72" t="s">
        <v>35</v>
      </c>
      <c r="O218" s="72" t="s">
        <v>52</v>
      </c>
      <c r="P218" s="72" t="s">
        <v>35</v>
      </c>
      <c r="Q218" s="89" t="s">
        <v>1008</v>
      </c>
    </row>
    <row r="219" spans="1:27">
      <c r="M219" s="90" t="s">
        <v>1315</v>
      </c>
      <c r="N219" s="91" t="s">
        <v>35</v>
      </c>
      <c r="O219" s="91" t="s">
        <v>52</v>
      </c>
      <c r="P219" s="91" t="s">
        <v>35</v>
      </c>
      <c r="Q219" s="92" t="s">
        <v>1316</v>
      </c>
    </row>
    <row r="220" spans="1:27">
      <c r="M220" s="132"/>
      <c r="N220" s="130"/>
      <c r="O220" s="130"/>
      <c r="P220" s="130"/>
      <c r="Q220" s="130"/>
    </row>
    <row r="221" spans="1:27">
      <c r="M221" s="130"/>
      <c r="N221" s="130"/>
      <c r="O221" s="130"/>
      <c r="P221" s="130"/>
      <c r="Q221" s="130"/>
    </row>
    <row r="224" spans="1:27">
      <c r="A224" s="214" t="s">
        <v>185</v>
      </c>
      <c r="B224" s="215"/>
      <c r="F224" s="85" t="s">
        <v>0</v>
      </c>
      <c r="G224" s="118" t="s">
        <v>1</v>
      </c>
      <c r="I224" s="85" t="s">
        <v>20</v>
      </c>
      <c r="J224" s="86" t="s">
        <v>21</v>
      </c>
      <c r="K224" s="87" t="s">
        <v>23</v>
      </c>
      <c r="M224" s="124" t="s">
        <v>27</v>
      </c>
      <c r="N224" s="123" t="s">
        <v>28</v>
      </c>
      <c r="O224" s="123" t="s">
        <v>29</v>
      </c>
      <c r="P224" s="123" t="s">
        <v>30</v>
      </c>
      <c r="Q224" s="127" t="s">
        <v>31</v>
      </c>
      <c r="S224" s="85" t="s">
        <v>56</v>
      </c>
      <c r="T224" s="87" t="s">
        <v>57</v>
      </c>
      <c r="U224" s="79"/>
      <c r="V224" s="85" t="s">
        <v>68</v>
      </c>
      <c r="W224" s="87" t="s">
        <v>69</v>
      </c>
      <c r="Y224" s="85" t="s">
        <v>85</v>
      </c>
      <c r="Z224" s="86" t="s">
        <v>88</v>
      </c>
      <c r="AA224" s="87" t="s">
        <v>89</v>
      </c>
    </row>
    <row r="225" spans="1:27">
      <c r="A225" s="216"/>
      <c r="B225" s="217"/>
      <c r="F225" s="88" t="s">
        <v>2</v>
      </c>
      <c r="G225" s="112" t="s">
        <v>1317</v>
      </c>
      <c r="I225" s="88" t="s">
        <v>24</v>
      </c>
      <c r="J225" s="72">
        <v>5</v>
      </c>
      <c r="K225" s="89">
        <v>360</v>
      </c>
      <c r="M225" s="125" t="s">
        <v>1318</v>
      </c>
      <c r="N225" s="72" t="s">
        <v>33</v>
      </c>
      <c r="O225" s="72" t="s">
        <v>34</v>
      </c>
      <c r="P225" s="72" t="s">
        <v>35</v>
      </c>
      <c r="Q225" s="128" t="s">
        <v>1319</v>
      </c>
      <c r="S225" s="88" t="s">
        <v>58</v>
      </c>
      <c r="T225" s="89" t="s">
        <v>1320</v>
      </c>
      <c r="V225" s="88" t="s">
        <v>70</v>
      </c>
      <c r="W225" s="89" t="s">
        <v>1321</v>
      </c>
      <c r="Y225" s="88" t="s">
        <v>90</v>
      </c>
      <c r="Z225" s="72">
        <v>360</v>
      </c>
      <c r="AA225" s="89">
        <v>210</v>
      </c>
    </row>
    <row r="226" spans="1:27">
      <c r="A226" s="216"/>
      <c r="B226" s="217"/>
      <c r="F226" s="88" t="s">
        <v>4</v>
      </c>
      <c r="G226" s="112" t="s">
        <v>894</v>
      </c>
      <c r="I226" s="88" t="s">
        <v>25</v>
      </c>
      <c r="J226" s="80">
        <v>5</v>
      </c>
      <c r="K226" s="89">
        <v>260</v>
      </c>
      <c r="M226" s="125" t="s">
        <v>1322</v>
      </c>
      <c r="N226" s="72" t="s">
        <v>33</v>
      </c>
      <c r="O226" s="72" t="s">
        <v>43</v>
      </c>
      <c r="P226" s="72" t="s">
        <v>33</v>
      </c>
      <c r="Q226" s="128" t="s">
        <v>1323</v>
      </c>
      <c r="S226" s="88" t="s">
        <v>60</v>
      </c>
      <c r="T226" s="89" t="s">
        <v>1324</v>
      </c>
      <c r="V226" s="88" t="s">
        <v>73</v>
      </c>
      <c r="W226" s="89" t="s">
        <v>1325</v>
      </c>
      <c r="Y226" s="88" t="s">
        <v>91</v>
      </c>
      <c r="Z226" s="72">
        <v>260</v>
      </c>
      <c r="AA226" s="89">
        <v>360</v>
      </c>
    </row>
    <row r="227" spans="1:27">
      <c r="A227" s="216"/>
      <c r="B227" s="217"/>
      <c r="F227" s="88" t="s">
        <v>6</v>
      </c>
      <c r="G227" s="112" t="s">
        <v>895</v>
      </c>
      <c r="I227" s="90" t="s">
        <v>26</v>
      </c>
      <c r="J227" s="91"/>
      <c r="K227" s="92">
        <v>620</v>
      </c>
      <c r="M227" s="125" t="s">
        <v>1326</v>
      </c>
      <c r="N227" s="72" t="s">
        <v>33</v>
      </c>
      <c r="O227" s="72" t="s">
        <v>34</v>
      </c>
      <c r="P227" s="72" t="s">
        <v>35</v>
      </c>
      <c r="Q227" s="128" t="s">
        <v>1327</v>
      </c>
      <c r="S227" s="88" t="s">
        <v>62</v>
      </c>
      <c r="T227" s="89" t="s">
        <v>1328</v>
      </c>
      <c r="V227" s="88" t="s">
        <v>76</v>
      </c>
      <c r="W227" s="89" t="s">
        <v>1329</v>
      </c>
      <c r="Y227" s="88" t="s">
        <v>26</v>
      </c>
      <c r="Z227" s="72">
        <v>620</v>
      </c>
      <c r="AA227" s="89">
        <v>570</v>
      </c>
    </row>
    <row r="228" spans="1:27">
      <c r="A228" s="216"/>
      <c r="B228" s="217"/>
      <c r="F228" s="88" t="s">
        <v>8</v>
      </c>
      <c r="G228" s="112" t="s">
        <v>1227</v>
      </c>
      <c r="M228" s="125" t="s">
        <v>1094</v>
      </c>
      <c r="N228" s="72" t="s">
        <v>33</v>
      </c>
      <c r="O228" s="72" t="s">
        <v>34</v>
      </c>
      <c r="P228" s="72" t="s">
        <v>35</v>
      </c>
      <c r="Q228" s="128" t="s">
        <v>1330</v>
      </c>
      <c r="S228" s="88" t="s">
        <v>64</v>
      </c>
      <c r="T228" s="89" t="s">
        <v>1331</v>
      </c>
      <c r="V228" s="88" t="s">
        <v>79</v>
      </c>
      <c r="W228" s="89" t="s">
        <v>1332</v>
      </c>
      <c r="Y228" s="90" t="s">
        <v>92</v>
      </c>
      <c r="Z228" s="91"/>
      <c r="AA228" s="122">
        <v>8.1000000000000003E-2</v>
      </c>
    </row>
    <row r="229" spans="1:27">
      <c r="A229" s="216"/>
      <c r="B229" s="217"/>
      <c r="F229" s="88" t="s">
        <v>10</v>
      </c>
      <c r="G229" s="112" t="s">
        <v>1106</v>
      </c>
      <c r="M229" s="125" t="s">
        <v>1333</v>
      </c>
      <c r="N229" s="72" t="s">
        <v>33</v>
      </c>
      <c r="O229" s="72" t="s">
        <v>43</v>
      </c>
      <c r="P229" s="72" t="s">
        <v>33</v>
      </c>
      <c r="Q229" s="128" t="s">
        <v>1334</v>
      </c>
      <c r="S229" s="90" t="s">
        <v>66</v>
      </c>
      <c r="T229" s="92" t="s">
        <v>1335</v>
      </c>
      <c r="V229" s="90" t="s">
        <v>82</v>
      </c>
      <c r="W229" s="92" t="s">
        <v>1336</v>
      </c>
    </row>
    <row r="230" spans="1:27">
      <c r="A230" s="216"/>
      <c r="B230" s="217"/>
      <c r="F230" s="88" t="s">
        <v>13</v>
      </c>
      <c r="G230" s="201" t="s">
        <v>1307</v>
      </c>
      <c r="M230" s="125" t="s">
        <v>1337</v>
      </c>
      <c r="N230" s="72" t="s">
        <v>33</v>
      </c>
      <c r="O230" s="72" t="s">
        <v>43</v>
      </c>
      <c r="P230" s="72" t="s">
        <v>33</v>
      </c>
      <c r="Q230" s="128" t="s">
        <v>1338</v>
      </c>
    </row>
    <row r="231" spans="1:27">
      <c r="A231" s="216"/>
      <c r="B231" s="217"/>
      <c r="F231" s="88" t="s">
        <v>15</v>
      </c>
      <c r="G231" s="112" t="s">
        <v>1339</v>
      </c>
      <c r="M231" s="125" t="s">
        <v>1340</v>
      </c>
      <c r="N231" s="72" t="s">
        <v>33</v>
      </c>
      <c r="O231" s="72" t="s">
        <v>34</v>
      </c>
      <c r="P231" s="72" t="s">
        <v>33</v>
      </c>
      <c r="Q231" s="128" t="s">
        <v>1341</v>
      </c>
    </row>
    <row r="232" spans="1:27">
      <c r="A232" s="216"/>
      <c r="B232" s="217"/>
      <c r="F232" s="88" t="s">
        <v>17</v>
      </c>
      <c r="G232" s="113">
        <v>46126</v>
      </c>
      <c r="M232" s="125" t="s">
        <v>1342</v>
      </c>
      <c r="N232" s="72" t="s">
        <v>35</v>
      </c>
      <c r="O232" s="72" t="s">
        <v>52</v>
      </c>
      <c r="P232" s="72" t="s">
        <v>35</v>
      </c>
      <c r="Q232" s="128" t="s">
        <v>1343</v>
      </c>
    </row>
    <row r="233" spans="1:27">
      <c r="A233" s="218"/>
      <c r="B233" s="219"/>
      <c r="F233" s="90" t="s">
        <v>18</v>
      </c>
      <c r="G233" s="114" t="s">
        <v>19</v>
      </c>
      <c r="M233" s="125" t="s">
        <v>1344</v>
      </c>
      <c r="N233" s="72" t="s">
        <v>35</v>
      </c>
      <c r="O233" s="72" t="s">
        <v>52</v>
      </c>
      <c r="P233" s="72" t="s">
        <v>35</v>
      </c>
      <c r="Q233" s="128" t="s">
        <v>1345</v>
      </c>
    </row>
    <row r="234" spans="1:27">
      <c r="M234" s="126" t="s">
        <v>1346</v>
      </c>
      <c r="N234" s="93" t="s">
        <v>35</v>
      </c>
      <c r="O234" s="93" t="s">
        <v>52</v>
      </c>
      <c r="P234" s="93" t="s">
        <v>35</v>
      </c>
      <c r="Q234" s="129" t="s">
        <v>1347</v>
      </c>
    </row>
    <row r="235" spans="1:27">
      <c r="M235" s="125" t="s">
        <v>1182</v>
      </c>
      <c r="N235" s="72" t="s">
        <v>35</v>
      </c>
      <c r="O235" s="72" t="s">
        <v>52</v>
      </c>
      <c r="P235" s="72" t="s">
        <v>35</v>
      </c>
      <c r="Q235" s="128" t="s">
        <v>1348</v>
      </c>
    </row>
    <row r="236" spans="1:27">
      <c r="M236" s="126" t="s">
        <v>1349</v>
      </c>
      <c r="N236" s="93" t="s">
        <v>35</v>
      </c>
      <c r="O236" s="93" t="s">
        <v>52</v>
      </c>
      <c r="P236" s="93" t="s">
        <v>35</v>
      </c>
      <c r="Q236" s="129" t="s">
        <v>1350</v>
      </c>
    </row>
    <row r="240" spans="1:27">
      <c r="A240" s="214" t="s">
        <v>187</v>
      </c>
      <c r="B240" s="215"/>
      <c r="F240" s="85" t="s">
        <v>0</v>
      </c>
      <c r="G240" s="118" t="s">
        <v>1</v>
      </c>
      <c r="I240" s="85" t="s">
        <v>20</v>
      </c>
      <c r="J240" s="86" t="s">
        <v>21</v>
      </c>
      <c r="K240" s="87" t="s">
        <v>23</v>
      </c>
      <c r="M240" s="85" t="s">
        <v>27</v>
      </c>
      <c r="N240" s="86" t="s">
        <v>28</v>
      </c>
      <c r="O240" s="86" t="s">
        <v>29</v>
      </c>
      <c r="P240" s="86" t="s">
        <v>30</v>
      </c>
      <c r="Q240" s="87" t="s">
        <v>31</v>
      </c>
      <c r="S240" s="85" t="s">
        <v>56</v>
      </c>
      <c r="T240" s="87" t="s">
        <v>57</v>
      </c>
      <c r="U240" s="79"/>
      <c r="V240" s="85" t="s">
        <v>68</v>
      </c>
      <c r="W240" s="87" t="s">
        <v>69</v>
      </c>
      <c r="Y240" s="85" t="s">
        <v>85</v>
      </c>
      <c r="Z240" s="86" t="s">
        <v>88</v>
      </c>
      <c r="AA240" s="87" t="s">
        <v>89</v>
      </c>
    </row>
    <row r="241" spans="1:27">
      <c r="A241" s="216"/>
      <c r="B241" s="217"/>
      <c r="F241" s="88" t="s">
        <v>2</v>
      </c>
      <c r="G241" s="112" t="s">
        <v>1351</v>
      </c>
      <c r="I241" s="88" t="s">
        <v>24</v>
      </c>
      <c r="J241" s="72">
        <v>8</v>
      </c>
      <c r="K241" s="89">
        <v>560</v>
      </c>
      <c r="M241" s="88" t="s">
        <v>1352</v>
      </c>
      <c r="N241" s="72" t="s">
        <v>33</v>
      </c>
      <c r="O241" s="72" t="s">
        <v>43</v>
      </c>
      <c r="P241" s="72" t="s">
        <v>33</v>
      </c>
      <c r="Q241" s="89" t="s">
        <v>1353</v>
      </c>
      <c r="S241" s="88" t="s">
        <v>58</v>
      </c>
      <c r="T241" s="89" t="s">
        <v>1354</v>
      </c>
      <c r="V241" s="88" t="s">
        <v>70</v>
      </c>
      <c r="W241" s="89" t="s">
        <v>1355</v>
      </c>
      <c r="Y241" s="88" t="s">
        <v>90</v>
      </c>
      <c r="Z241" s="72">
        <v>560</v>
      </c>
      <c r="AA241" s="89">
        <v>330</v>
      </c>
    </row>
    <row r="242" spans="1:27">
      <c r="A242" s="216"/>
      <c r="B242" s="217"/>
      <c r="F242" s="88" t="s">
        <v>4</v>
      </c>
      <c r="G242" s="112" t="s">
        <v>894</v>
      </c>
      <c r="I242" s="88" t="s">
        <v>25</v>
      </c>
      <c r="J242" s="80">
        <v>5</v>
      </c>
      <c r="K242" s="89">
        <v>260</v>
      </c>
      <c r="M242" s="88" t="s">
        <v>1356</v>
      </c>
      <c r="N242" s="72" t="s">
        <v>33</v>
      </c>
      <c r="O242" s="72" t="s">
        <v>34</v>
      </c>
      <c r="P242" s="72" t="s">
        <v>33</v>
      </c>
      <c r="Q242" s="89" t="s">
        <v>1357</v>
      </c>
      <c r="S242" s="88" t="s">
        <v>60</v>
      </c>
      <c r="T242" s="89" t="s">
        <v>1324</v>
      </c>
      <c r="V242" s="88" t="s">
        <v>73</v>
      </c>
      <c r="W242" s="89" t="s">
        <v>1358</v>
      </c>
      <c r="Y242" s="88" t="s">
        <v>91</v>
      </c>
      <c r="Z242" s="72">
        <v>260</v>
      </c>
      <c r="AA242" s="89">
        <v>420</v>
      </c>
    </row>
    <row r="243" spans="1:27">
      <c r="A243" s="216"/>
      <c r="B243" s="217"/>
      <c r="F243" s="88" t="s">
        <v>6</v>
      </c>
      <c r="G243" s="112" t="s">
        <v>895</v>
      </c>
      <c r="I243" s="90" t="s">
        <v>26</v>
      </c>
      <c r="J243" s="91"/>
      <c r="K243" s="92">
        <v>820</v>
      </c>
      <c r="M243" s="88" t="s">
        <v>1359</v>
      </c>
      <c r="N243" s="72" t="s">
        <v>33</v>
      </c>
      <c r="O243" s="72" t="s">
        <v>34</v>
      </c>
      <c r="P243" s="72" t="s">
        <v>35</v>
      </c>
      <c r="Q243" s="89" t="s">
        <v>1360</v>
      </c>
      <c r="S243" s="88" t="s">
        <v>62</v>
      </c>
      <c r="T243" s="89" t="s">
        <v>1361</v>
      </c>
      <c r="V243" s="88" t="s">
        <v>76</v>
      </c>
      <c r="W243" s="89" t="s">
        <v>1362</v>
      </c>
      <c r="Y243" s="88" t="s">
        <v>26</v>
      </c>
      <c r="Z243" s="72">
        <v>820</v>
      </c>
      <c r="AA243" s="89">
        <v>750</v>
      </c>
    </row>
    <row r="244" spans="1:27">
      <c r="A244" s="216"/>
      <c r="B244" s="217"/>
      <c r="F244" s="88" t="s">
        <v>8</v>
      </c>
      <c r="G244" s="112" t="s">
        <v>1227</v>
      </c>
      <c r="M244" s="88" t="s">
        <v>1363</v>
      </c>
      <c r="N244" s="72" t="s">
        <v>33</v>
      </c>
      <c r="O244" s="72" t="s">
        <v>34</v>
      </c>
      <c r="P244" s="72" t="s">
        <v>35</v>
      </c>
      <c r="Q244" s="89" t="s">
        <v>1364</v>
      </c>
      <c r="S244" s="88" t="s">
        <v>64</v>
      </c>
      <c r="T244" s="89" t="s">
        <v>1365</v>
      </c>
      <c r="V244" s="88" t="s">
        <v>79</v>
      </c>
      <c r="W244" s="89" t="s">
        <v>1366</v>
      </c>
      <c r="Y244" s="90" t="s">
        <v>92</v>
      </c>
      <c r="Z244" s="91"/>
      <c r="AA244" s="122">
        <v>8.5000000000000006E-2</v>
      </c>
    </row>
    <row r="245" spans="1:27">
      <c r="A245" s="216"/>
      <c r="B245" s="217"/>
      <c r="F245" s="88" t="s">
        <v>10</v>
      </c>
      <c r="G245" s="112" t="s">
        <v>1106</v>
      </c>
      <c r="M245" s="88" t="s">
        <v>1367</v>
      </c>
      <c r="N245" s="72" t="s">
        <v>33</v>
      </c>
      <c r="O245" s="72" t="s">
        <v>43</v>
      </c>
      <c r="P245" s="72" t="s">
        <v>33</v>
      </c>
      <c r="Q245" s="89" t="s">
        <v>1368</v>
      </c>
      <c r="S245" s="90" t="s">
        <v>66</v>
      </c>
      <c r="T245" s="92" t="s">
        <v>1369</v>
      </c>
      <c r="V245" s="90" t="s">
        <v>82</v>
      </c>
      <c r="W245" s="92" t="s">
        <v>1370</v>
      </c>
    </row>
    <row r="246" spans="1:27">
      <c r="A246" s="216"/>
      <c r="B246" s="217"/>
      <c r="F246" s="88" t="s">
        <v>13</v>
      </c>
      <c r="G246" s="201" t="s">
        <v>1371</v>
      </c>
      <c r="M246" s="88" t="s">
        <v>1372</v>
      </c>
      <c r="N246" s="72" t="s">
        <v>33</v>
      </c>
      <c r="O246" s="72" t="s">
        <v>43</v>
      </c>
      <c r="P246" s="72" t="s">
        <v>33</v>
      </c>
      <c r="Q246" s="89" t="s">
        <v>1373</v>
      </c>
    </row>
    <row r="247" spans="1:27">
      <c r="A247" s="216"/>
      <c r="B247" s="217"/>
      <c r="F247" s="88" t="s">
        <v>15</v>
      </c>
      <c r="G247" s="112" t="s">
        <v>1374</v>
      </c>
      <c r="M247" s="88" t="s">
        <v>1375</v>
      </c>
      <c r="N247" s="72" t="s">
        <v>33</v>
      </c>
      <c r="O247" s="72" t="s">
        <v>34</v>
      </c>
      <c r="P247" s="72" t="s">
        <v>35</v>
      </c>
      <c r="Q247" s="89" t="s">
        <v>1376</v>
      </c>
    </row>
    <row r="248" spans="1:27">
      <c r="A248" s="216"/>
      <c r="B248" s="217"/>
      <c r="F248" s="88" t="s">
        <v>17</v>
      </c>
      <c r="G248" s="113">
        <v>46126</v>
      </c>
      <c r="M248" s="88" t="s">
        <v>1022</v>
      </c>
      <c r="N248" s="72" t="s">
        <v>33</v>
      </c>
      <c r="O248" s="72" t="s">
        <v>34</v>
      </c>
      <c r="P248" s="72" t="s">
        <v>33</v>
      </c>
      <c r="Q248" s="89" t="s">
        <v>1377</v>
      </c>
    </row>
    <row r="249" spans="1:27">
      <c r="A249" s="218"/>
      <c r="B249" s="219"/>
      <c r="F249" s="90" t="s">
        <v>18</v>
      </c>
      <c r="G249" s="114" t="s">
        <v>19</v>
      </c>
      <c r="M249" s="88" t="s">
        <v>1378</v>
      </c>
      <c r="N249" s="72" t="s">
        <v>35</v>
      </c>
      <c r="O249" s="72" t="s">
        <v>52</v>
      </c>
      <c r="P249" s="72" t="s">
        <v>35</v>
      </c>
      <c r="Q249" s="89" t="s">
        <v>1379</v>
      </c>
    </row>
    <row r="250" spans="1:27">
      <c r="M250" s="88" t="s">
        <v>1380</v>
      </c>
      <c r="N250" s="72" t="s">
        <v>35</v>
      </c>
      <c r="O250" s="72" t="s">
        <v>52</v>
      </c>
      <c r="P250" s="72" t="s">
        <v>35</v>
      </c>
      <c r="Q250" s="89" t="s">
        <v>1381</v>
      </c>
    </row>
    <row r="251" spans="1:27">
      <c r="M251" s="88" t="s">
        <v>1182</v>
      </c>
      <c r="N251" s="72" t="s">
        <v>35</v>
      </c>
      <c r="O251" s="72" t="s">
        <v>52</v>
      </c>
      <c r="P251" s="72" t="s">
        <v>35</v>
      </c>
      <c r="Q251" s="89" t="s">
        <v>1382</v>
      </c>
    </row>
    <row r="252" spans="1:27">
      <c r="M252" s="88" t="s">
        <v>1383</v>
      </c>
      <c r="N252" s="72" t="s">
        <v>35</v>
      </c>
      <c r="O252" s="72" t="s">
        <v>52</v>
      </c>
      <c r="P252" s="72" t="s">
        <v>35</v>
      </c>
      <c r="Q252" s="89" t="s">
        <v>1384</v>
      </c>
    </row>
    <row r="253" spans="1:27">
      <c r="M253" s="90" t="s">
        <v>1385</v>
      </c>
      <c r="N253" s="91" t="s">
        <v>35</v>
      </c>
      <c r="O253" s="91" t="s">
        <v>52</v>
      </c>
      <c r="P253" s="91" t="s">
        <v>35</v>
      </c>
      <c r="Q253" s="92" t="s">
        <v>1386</v>
      </c>
    </row>
    <row r="258" spans="1:27">
      <c r="A258" s="214" t="s">
        <v>189</v>
      </c>
      <c r="B258" s="215"/>
      <c r="F258" s="85" t="s">
        <v>0</v>
      </c>
      <c r="G258" s="118" t="s">
        <v>1</v>
      </c>
      <c r="I258" s="85" t="s">
        <v>20</v>
      </c>
      <c r="J258" s="86" t="s">
        <v>21</v>
      </c>
      <c r="K258" s="87" t="s">
        <v>23</v>
      </c>
      <c r="M258" s="85" t="s">
        <v>27</v>
      </c>
      <c r="N258" s="86" t="s">
        <v>28</v>
      </c>
      <c r="O258" s="86" t="s">
        <v>29</v>
      </c>
      <c r="P258" s="86" t="s">
        <v>30</v>
      </c>
      <c r="Q258" s="87" t="s">
        <v>31</v>
      </c>
      <c r="S258" s="85" t="s">
        <v>56</v>
      </c>
      <c r="T258" s="87" t="s">
        <v>57</v>
      </c>
      <c r="U258" s="79"/>
      <c r="V258" s="85" t="s">
        <v>68</v>
      </c>
      <c r="W258" s="87" t="s">
        <v>69</v>
      </c>
      <c r="Y258" s="85" t="s">
        <v>85</v>
      </c>
      <c r="Z258" s="86" t="s">
        <v>88</v>
      </c>
      <c r="AA258" s="87" t="s">
        <v>89</v>
      </c>
    </row>
    <row r="259" spans="1:27">
      <c r="A259" s="216"/>
      <c r="B259" s="217"/>
      <c r="F259" s="88" t="s">
        <v>2</v>
      </c>
      <c r="G259" s="112" t="s">
        <v>1387</v>
      </c>
      <c r="I259" s="88" t="s">
        <v>24</v>
      </c>
      <c r="J259" s="72">
        <v>5</v>
      </c>
      <c r="K259" s="89">
        <v>360</v>
      </c>
      <c r="M259" s="88" t="s">
        <v>1121</v>
      </c>
      <c r="N259" s="72" t="s">
        <v>33</v>
      </c>
      <c r="O259" s="72" t="s">
        <v>34</v>
      </c>
      <c r="P259" s="72" t="s">
        <v>35</v>
      </c>
      <c r="Q259" s="89" t="s">
        <v>1388</v>
      </c>
      <c r="S259" s="88" t="s">
        <v>58</v>
      </c>
      <c r="T259" s="89" t="s">
        <v>1389</v>
      </c>
      <c r="V259" s="88" t="s">
        <v>70</v>
      </c>
      <c r="W259" s="89" t="s">
        <v>1390</v>
      </c>
      <c r="Y259" s="88" t="s">
        <v>90</v>
      </c>
      <c r="Z259" s="72">
        <v>360</v>
      </c>
      <c r="AA259" s="89">
        <v>210</v>
      </c>
    </row>
    <row r="260" spans="1:27">
      <c r="A260" s="216"/>
      <c r="B260" s="217"/>
      <c r="F260" s="88" t="s">
        <v>4</v>
      </c>
      <c r="G260" s="112" t="s">
        <v>894</v>
      </c>
      <c r="I260" s="88" t="s">
        <v>25</v>
      </c>
      <c r="J260" s="80">
        <v>5</v>
      </c>
      <c r="K260" s="89">
        <v>260</v>
      </c>
      <c r="M260" s="88" t="s">
        <v>1391</v>
      </c>
      <c r="N260" s="72" t="s">
        <v>33</v>
      </c>
      <c r="O260" s="72" t="s">
        <v>34</v>
      </c>
      <c r="P260" s="72" t="s">
        <v>35</v>
      </c>
      <c r="Q260" s="89" t="s">
        <v>1392</v>
      </c>
      <c r="S260" s="88" t="s">
        <v>60</v>
      </c>
      <c r="T260" s="89" t="s">
        <v>1393</v>
      </c>
      <c r="V260" s="88" t="s">
        <v>73</v>
      </c>
      <c r="W260" s="89" t="s">
        <v>1394</v>
      </c>
      <c r="Y260" s="88" t="s">
        <v>91</v>
      </c>
      <c r="Z260" s="72">
        <v>260</v>
      </c>
      <c r="AA260" s="89">
        <v>330</v>
      </c>
    </row>
    <row r="261" spans="1:27">
      <c r="A261" s="216"/>
      <c r="B261" s="217"/>
      <c r="F261" s="88" t="s">
        <v>6</v>
      </c>
      <c r="G261" s="112" t="s">
        <v>895</v>
      </c>
      <c r="I261" s="90" t="s">
        <v>26</v>
      </c>
      <c r="J261" s="91"/>
      <c r="K261" s="92">
        <v>620</v>
      </c>
      <c r="M261" s="88" t="s">
        <v>1395</v>
      </c>
      <c r="N261" s="72" t="s">
        <v>33</v>
      </c>
      <c r="O261" s="72" t="s">
        <v>34</v>
      </c>
      <c r="P261" s="72" t="s">
        <v>35</v>
      </c>
      <c r="Q261" s="89" t="s">
        <v>1396</v>
      </c>
      <c r="S261" s="88" t="s">
        <v>62</v>
      </c>
      <c r="T261" s="89" t="s">
        <v>1397</v>
      </c>
      <c r="V261" s="88" t="s">
        <v>76</v>
      </c>
      <c r="W261" s="89" t="s">
        <v>1398</v>
      </c>
      <c r="Y261" s="88" t="s">
        <v>26</v>
      </c>
      <c r="Z261" s="72">
        <v>620</v>
      </c>
      <c r="AA261" s="89">
        <v>540</v>
      </c>
    </row>
    <row r="262" spans="1:27">
      <c r="A262" s="216"/>
      <c r="B262" s="217"/>
      <c r="F262" s="88" t="s">
        <v>8</v>
      </c>
      <c r="G262" s="112" t="s">
        <v>1227</v>
      </c>
      <c r="M262" s="88" t="s">
        <v>1399</v>
      </c>
      <c r="N262" s="72" t="s">
        <v>33</v>
      </c>
      <c r="O262" s="72" t="s">
        <v>43</v>
      </c>
      <c r="P262" s="72" t="s">
        <v>33</v>
      </c>
      <c r="Q262" s="89" t="s">
        <v>1400</v>
      </c>
      <c r="S262" s="88" t="s">
        <v>64</v>
      </c>
      <c r="T262" s="89" t="s">
        <v>1401</v>
      </c>
      <c r="V262" s="88" t="s">
        <v>79</v>
      </c>
      <c r="W262" s="89" t="s">
        <v>1402</v>
      </c>
      <c r="Y262" s="90" t="s">
        <v>92</v>
      </c>
      <c r="Z262" s="91"/>
      <c r="AA262" s="122">
        <v>0.129</v>
      </c>
    </row>
    <row r="263" spans="1:27">
      <c r="A263" s="216"/>
      <c r="B263" s="217"/>
      <c r="F263" s="88" t="s">
        <v>10</v>
      </c>
      <c r="G263" s="112" t="s">
        <v>1403</v>
      </c>
      <c r="M263" s="88" t="s">
        <v>1404</v>
      </c>
      <c r="N263" s="72" t="s">
        <v>33</v>
      </c>
      <c r="O263" s="72" t="s">
        <v>43</v>
      </c>
      <c r="P263" s="72" t="s">
        <v>33</v>
      </c>
      <c r="Q263" s="89" t="s">
        <v>1405</v>
      </c>
      <c r="S263" s="90" t="s">
        <v>66</v>
      </c>
      <c r="T263" s="92" t="s">
        <v>1406</v>
      </c>
      <c r="V263" s="90" t="s">
        <v>82</v>
      </c>
      <c r="W263" s="92" t="s">
        <v>1407</v>
      </c>
    </row>
    <row r="264" spans="1:27">
      <c r="A264" s="216"/>
      <c r="B264" s="217"/>
      <c r="F264" s="88" t="s">
        <v>13</v>
      </c>
      <c r="G264" s="201" t="s">
        <v>1408</v>
      </c>
      <c r="M264" s="88" t="s">
        <v>1409</v>
      </c>
      <c r="N264" s="72" t="s">
        <v>33</v>
      </c>
      <c r="O264" s="72" t="s">
        <v>43</v>
      </c>
      <c r="P264" s="72" t="s">
        <v>33</v>
      </c>
      <c r="Q264" s="89" t="s">
        <v>1410</v>
      </c>
    </row>
    <row r="265" spans="1:27">
      <c r="A265" s="216"/>
      <c r="B265" s="217"/>
      <c r="F265" s="88" t="s">
        <v>15</v>
      </c>
      <c r="G265" s="112" t="s">
        <v>1411</v>
      </c>
      <c r="M265" s="88" t="s">
        <v>1412</v>
      </c>
      <c r="N265" s="72" t="s">
        <v>35</v>
      </c>
      <c r="O265" s="72" t="s">
        <v>52</v>
      </c>
      <c r="P265" s="72" t="s">
        <v>35</v>
      </c>
      <c r="Q265" s="89" t="s">
        <v>1413</v>
      </c>
    </row>
    <row r="266" spans="1:27">
      <c r="A266" s="216"/>
      <c r="B266" s="217"/>
      <c r="F266" s="88" t="s">
        <v>17</v>
      </c>
      <c r="G266" s="113">
        <v>46126</v>
      </c>
      <c r="M266" s="88" t="s">
        <v>1414</v>
      </c>
      <c r="N266" s="72" t="s">
        <v>35</v>
      </c>
      <c r="O266" s="72" t="s">
        <v>52</v>
      </c>
      <c r="P266" s="72" t="s">
        <v>35</v>
      </c>
      <c r="Q266" s="89" t="s">
        <v>1415</v>
      </c>
    </row>
    <row r="267" spans="1:27">
      <c r="A267" s="218"/>
      <c r="B267" s="219"/>
      <c r="F267" s="90" t="s">
        <v>18</v>
      </c>
      <c r="G267" s="114" t="s">
        <v>19</v>
      </c>
      <c r="M267" s="88" t="s">
        <v>1416</v>
      </c>
      <c r="N267" s="72" t="s">
        <v>35</v>
      </c>
      <c r="O267" s="72" t="s">
        <v>52</v>
      </c>
      <c r="P267" s="72" t="s">
        <v>35</v>
      </c>
      <c r="Q267" s="89" t="s">
        <v>1212</v>
      </c>
    </row>
    <row r="268" spans="1:27">
      <c r="M268" s="90" t="s">
        <v>1182</v>
      </c>
      <c r="N268" s="91" t="s">
        <v>35</v>
      </c>
      <c r="O268" s="91" t="s">
        <v>52</v>
      </c>
      <c r="P268" s="91" t="s">
        <v>35</v>
      </c>
      <c r="Q268" s="92" t="s">
        <v>1417</v>
      </c>
    </row>
    <row r="271" spans="1:27">
      <c r="A271" s="214" t="s">
        <v>191</v>
      </c>
      <c r="B271" s="215"/>
      <c r="F271" s="85" t="s">
        <v>0</v>
      </c>
      <c r="G271" s="118" t="s">
        <v>1</v>
      </c>
      <c r="I271" s="85" t="s">
        <v>20</v>
      </c>
      <c r="J271" s="86" t="s">
        <v>21</v>
      </c>
      <c r="K271" s="87" t="s">
        <v>23</v>
      </c>
      <c r="M271" s="85" t="s">
        <v>27</v>
      </c>
      <c r="N271" s="86" t="s">
        <v>28</v>
      </c>
      <c r="O271" s="86" t="s">
        <v>29</v>
      </c>
      <c r="P271" s="86" t="s">
        <v>30</v>
      </c>
      <c r="Q271" s="87" t="s">
        <v>31</v>
      </c>
      <c r="S271" s="85" t="s">
        <v>56</v>
      </c>
      <c r="T271" s="87" t="s">
        <v>57</v>
      </c>
      <c r="U271" s="79"/>
      <c r="V271" s="85" t="s">
        <v>68</v>
      </c>
      <c r="W271" s="87" t="s">
        <v>69</v>
      </c>
      <c r="Y271" s="85" t="s">
        <v>85</v>
      </c>
      <c r="Z271" s="86" t="s">
        <v>88</v>
      </c>
      <c r="AA271" s="87" t="s">
        <v>89</v>
      </c>
    </row>
    <row r="272" spans="1:27">
      <c r="A272" s="216"/>
      <c r="B272" s="217"/>
      <c r="F272" s="88" t="s">
        <v>2</v>
      </c>
      <c r="G272" s="112" t="s">
        <v>1418</v>
      </c>
      <c r="I272" s="88" t="s">
        <v>24</v>
      </c>
      <c r="J272" s="72">
        <v>5</v>
      </c>
      <c r="K272" s="89">
        <v>360</v>
      </c>
      <c r="M272" s="88" t="s">
        <v>1419</v>
      </c>
      <c r="N272" s="72" t="s">
        <v>33</v>
      </c>
      <c r="O272" s="72" t="s">
        <v>34</v>
      </c>
      <c r="P272" s="72" t="s">
        <v>35</v>
      </c>
      <c r="Q272" s="89" t="s">
        <v>1420</v>
      </c>
      <c r="S272" s="88" t="s">
        <v>58</v>
      </c>
      <c r="T272" s="89" t="s">
        <v>1421</v>
      </c>
      <c r="V272" s="88" t="s">
        <v>70</v>
      </c>
      <c r="W272" s="89" t="s">
        <v>1422</v>
      </c>
      <c r="Y272" s="88" t="s">
        <v>90</v>
      </c>
      <c r="Z272" s="72">
        <v>360</v>
      </c>
      <c r="AA272" s="89">
        <v>210</v>
      </c>
    </row>
    <row r="273" spans="1:27">
      <c r="A273" s="216"/>
      <c r="B273" s="217"/>
      <c r="F273" s="88" t="s">
        <v>4</v>
      </c>
      <c r="G273" s="112" t="s">
        <v>894</v>
      </c>
      <c r="I273" s="88" t="s">
        <v>25</v>
      </c>
      <c r="J273" s="80">
        <v>5</v>
      </c>
      <c r="K273" s="89">
        <v>300</v>
      </c>
      <c r="M273" s="88" t="s">
        <v>1423</v>
      </c>
      <c r="N273" s="72" t="s">
        <v>33</v>
      </c>
      <c r="O273" s="72" t="s">
        <v>43</v>
      </c>
      <c r="P273" s="72" t="s">
        <v>33</v>
      </c>
      <c r="Q273" s="89" t="s">
        <v>1424</v>
      </c>
      <c r="S273" s="88" t="s">
        <v>60</v>
      </c>
      <c r="T273" s="89" t="s">
        <v>1425</v>
      </c>
      <c r="V273" s="88" t="s">
        <v>73</v>
      </c>
      <c r="W273" s="89" t="s">
        <v>1426</v>
      </c>
      <c r="Y273" s="88" t="s">
        <v>91</v>
      </c>
      <c r="Z273" s="72">
        <v>300</v>
      </c>
      <c r="AA273" s="89">
        <v>390</v>
      </c>
    </row>
    <row r="274" spans="1:27">
      <c r="A274" s="216"/>
      <c r="B274" s="217"/>
      <c r="F274" s="88" t="s">
        <v>6</v>
      </c>
      <c r="G274" s="112" t="s">
        <v>895</v>
      </c>
      <c r="I274" s="90" t="s">
        <v>26</v>
      </c>
      <c r="J274" s="91"/>
      <c r="K274" s="92">
        <v>660</v>
      </c>
      <c r="M274" s="88" t="s">
        <v>1249</v>
      </c>
      <c r="N274" s="72" t="s">
        <v>33</v>
      </c>
      <c r="O274" s="72" t="s">
        <v>34</v>
      </c>
      <c r="P274" s="72" t="s">
        <v>35</v>
      </c>
      <c r="Q274" s="89" t="s">
        <v>1427</v>
      </c>
      <c r="S274" s="88" t="s">
        <v>62</v>
      </c>
      <c r="T274" s="89" t="s">
        <v>1428</v>
      </c>
      <c r="V274" s="88" t="s">
        <v>76</v>
      </c>
      <c r="W274" s="89" t="s">
        <v>1429</v>
      </c>
      <c r="Y274" s="88" t="s">
        <v>26</v>
      </c>
      <c r="Z274" s="72">
        <v>660</v>
      </c>
      <c r="AA274" s="89">
        <v>600</v>
      </c>
    </row>
    <row r="275" spans="1:27">
      <c r="A275" s="216"/>
      <c r="B275" s="217"/>
      <c r="F275" s="88" t="s">
        <v>8</v>
      </c>
      <c r="G275" s="112" t="s">
        <v>1227</v>
      </c>
      <c r="M275" s="88" t="s">
        <v>1430</v>
      </c>
      <c r="N275" s="72" t="s">
        <v>33</v>
      </c>
      <c r="O275" s="72" t="s">
        <v>43</v>
      </c>
      <c r="P275" s="72" t="s">
        <v>33</v>
      </c>
      <c r="Q275" s="89" t="s">
        <v>1431</v>
      </c>
      <c r="S275" s="88" t="s">
        <v>64</v>
      </c>
      <c r="T275" s="89" t="s">
        <v>1432</v>
      </c>
      <c r="V275" s="88" t="s">
        <v>79</v>
      </c>
      <c r="W275" s="89" t="s">
        <v>1433</v>
      </c>
      <c r="Y275" s="90" t="s">
        <v>92</v>
      </c>
      <c r="Z275" s="91"/>
      <c r="AA275" s="122">
        <v>9.0999999999999998E-2</v>
      </c>
    </row>
    <row r="276" spans="1:27">
      <c r="A276" s="216"/>
      <c r="B276" s="217"/>
      <c r="F276" s="88" t="s">
        <v>10</v>
      </c>
      <c r="G276" s="112" t="s">
        <v>1106</v>
      </c>
      <c r="M276" s="88" t="s">
        <v>1434</v>
      </c>
      <c r="N276" s="72" t="s">
        <v>33</v>
      </c>
      <c r="O276" s="72" t="s">
        <v>43</v>
      </c>
      <c r="P276" s="72" t="s">
        <v>33</v>
      </c>
      <c r="Q276" s="89" t="s">
        <v>1435</v>
      </c>
      <c r="S276" s="90" t="s">
        <v>66</v>
      </c>
      <c r="T276" s="92" t="s">
        <v>1436</v>
      </c>
      <c r="V276" s="90" t="s">
        <v>82</v>
      </c>
      <c r="W276" s="92" t="s">
        <v>1437</v>
      </c>
    </row>
    <row r="277" spans="1:27">
      <c r="A277" s="216"/>
      <c r="B277" s="217"/>
      <c r="F277" s="88" t="s">
        <v>13</v>
      </c>
      <c r="G277" s="201" t="s">
        <v>1438</v>
      </c>
      <c r="M277" s="88" t="s">
        <v>42</v>
      </c>
      <c r="N277" s="72" t="s">
        <v>33</v>
      </c>
      <c r="O277" s="72" t="s">
        <v>34</v>
      </c>
      <c r="P277" s="72" t="s">
        <v>35</v>
      </c>
      <c r="Q277" s="89" t="s">
        <v>1439</v>
      </c>
    </row>
    <row r="278" spans="1:27">
      <c r="A278" s="216"/>
      <c r="B278" s="217"/>
      <c r="F278" s="88" t="s">
        <v>15</v>
      </c>
      <c r="G278" s="112" t="s">
        <v>1440</v>
      </c>
      <c r="M278" s="88" t="s">
        <v>1315</v>
      </c>
      <c r="N278" s="72" t="s">
        <v>35</v>
      </c>
      <c r="O278" s="72" t="s">
        <v>52</v>
      </c>
      <c r="P278" s="72" t="s">
        <v>35</v>
      </c>
      <c r="Q278" s="89" t="s">
        <v>1441</v>
      </c>
    </row>
    <row r="279" spans="1:27">
      <c r="A279" s="216"/>
      <c r="B279" s="217"/>
      <c r="F279" s="88" t="s">
        <v>17</v>
      </c>
      <c r="G279" s="113">
        <v>46126</v>
      </c>
      <c r="M279" s="88" t="s">
        <v>1442</v>
      </c>
      <c r="N279" s="72" t="s">
        <v>35</v>
      </c>
      <c r="O279" s="72" t="s">
        <v>52</v>
      </c>
      <c r="P279" s="72" t="s">
        <v>35</v>
      </c>
      <c r="Q279" s="89" t="s">
        <v>1443</v>
      </c>
    </row>
    <row r="280" spans="1:27">
      <c r="A280" s="218"/>
      <c r="B280" s="219"/>
      <c r="F280" s="90" t="s">
        <v>18</v>
      </c>
      <c r="G280" s="114" t="s">
        <v>19</v>
      </c>
      <c r="M280" s="88" t="s">
        <v>1444</v>
      </c>
      <c r="N280" s="72" t="s">
        <v>35</v>
      </c>
      <c r="O280" s="72" t="s">
        <v>52</v>
      </c>
      <c r="P280" s="72" t="s">
        <v>35</v>
      </c>
      <c r="Q280" s="89" t="s">
        <v>1445</v>
      </c>
    </row>
    <row r="281" spans="1:27">
      <c r="M281" s="90" t="s">
        <v>1446</v>
      </c>
      <c r="N281" s="91" t="s">
        <v>35</v>
      </c>
      <c r="O281" s="91" t="s">
        <v>52</v>
      </c>
      <c r="P281" s="91" t="s">
        <v>35</v>
      </c>
      <c r="Q281" s="92" t="s">
        <v>1447</v>
      </c>
    </row>
    <row r="284" spans="1:27">
      <c r="A284" s="214" t="s">
        <v>197</v>
      </c>
      <c r="B284" s="215"/>
      <c r="F284" s="85" t="s">
        <v>0</v>
      </c>
      <c r="G284" s="118" t="s">
        <v>1</v>
      </c>
      <c r="I284" s="85" t="s">
        <v>20</v>
      </c>
      <c r="J284" s="86" t="s">
        <v>21</v>
      </c>
      <c r="K284" s="87" t="s">
        <v>23</v>
      </c>
      <c r="M284" s="85" t="s">
        <v>27</v>
      </c>
      <c r="N284" s="86" t="s">
        <v>28</v>
      </c>
      <c r="O284" s="86" t="s">
        <v>29</v>
      </c>
      <c r="P284" s="86" t="s">
        <v>30</v>
      </c>
      <c r="Q284" s="87" t="s">
        <v>31</v>
      </c>
      <c r="S284" s="85" t="s">
        <v>56</v>
      </c>
      <c r="T284" s="87" t="s">
        <v>57</v>
      </c>
      <c r="U284" s="79"/>
      <c r="V284" s="85" t="s">
        <v>68</v>
      </c>
      <c r="W284" s="87" t="s">
        <v>69</v>
      </c>
      <c r="Y284" s="85" t="s">
        <v>85</v>
      </c>
      <c r="Z284" s="86" t="s">
        <v>88</v>
      </c>
      <c r="AA284" s="87" t="s">
        <v>89</v>
      </c>
    </row>
    <row r="285" spans="1:27">
      <c r="A285" s="216"/>
      <c r="B285" s="217"/>
      <c r="F285" s="88" t="s">
        <v>2</v>
      </c>
      <c r="G285" s="112" t="s">
        <v>1448</v>
      </c>
      <c r="I285" s="88" t="s">
        <v>24</v>
      </c>
      <c r="J285" s="72">
        <v>5</v>
      </c>
      <c r="K285" s="89">
        <v>360</v>
      </c>
      <c r="M285" s="88" t="s">
        <v>1449</v>
      </c>
      <c r="N285" s="72" t="s">
        <v>33</v>
      </c>
      <c r="O285" s="72" t="s">
        <v>34</v>
      </c>
      <c r="P285" s="72" t="s">
        <v>35</v>
      </c>
      <c r="Q285" s="89" t="s">
        <v>1450</v>
      </c>
      <c r="S285" s="88" t="s">
        <v>58</v>
      </c>
      <c r="T285" s="89" t="s">
        <v>1451</v>
      </c>
      <c r="V285" s="88" t="s">
        <v>70</v>
      </c>
      <c r="W285" s="89" t="s">
        <v>1452</v>
      </c>
      <c r="Y285" s="88" t="s">
        <v>90</v>
      </c>
      <c r="Z285" s="72">
        <v>360</v>
      </c>
      <c r="AA285" s="89">
        <v>210</v>
      </c>
    </row>
    <row r="286" spans="1:27">
      <c r="A286" s="216"/>
      <c r="B286" s="217"/>
      <c r="F286" s="88" t="s">
        <v>4</v>
      </c>
      <c r="G286" s="112" t="s">
        <v>894</v>
      </c>
      <c r="I286" s="88" t="s">
        <v>25</v>
      </c>
      <c r="J286" s="80">
        <v>5</v>
      </c>
      <c r="K286" s="89">
        <v>300</v>
      </c>
      <c r="M286" s="88" t="s">
        <v>1453</v>
      </c>
      <c r="N286" s="72" t="s">
        <v>33</v>
      </c>
      <c r="O286" s="72" t="s">
        <v>43</v>
      </c>
      <c r="P286" s="72" t="s">
        <v>33</v>
      </c>
      <c r="Q286" s="89" t="s">
        <v>1454</v>
      </c>
      <c r="S286" s="88" t="s">
        <v>60</v>
      </c>
      <c r="T286" s="89" t="s">
        <v>1455</v>
      </c>
      <c r="V286" s="88" t="s">
        <v>73</v>
      </c>
      <c r="W286" s="89" t="s">
        <v>1456</v>
      </c>
      <c r="Y286" s="88" t="s">
        <v>91</v>
      </c>
      <c r="Z286" s="72">
        <v>300</v>
      </c>
      <c r="AA286" s="89">
        <v>390</v>
      </c>
    </row>
    <row r="287" spans="1:27">
      <c r="A287" s="216"/>
      <c r="B287" s="217"/>
      <c r="F287" s="88" t="s">
        <v>6</v>
      </c>
      <c r="G287" s="112" t="s">
        <v>895</v>
      </c>
      <c r="I287" s="90" t="s">
        <v>26</v>
      </c>
      <c r="J287" s="91"/>
      <c r="K287" s="92">
        <v>660</v>
      </c>
      <c r="M287" s="88" t="s">
        <v>1094</v>
      </c>
      <c r="N287" s="72" t="s">
        <v>33</v>
      </c>
      <c r="O287" s="72" t="s">
        <v>34</v>
      </c>
      <c r="P287" s="72" t="s">
        <v>35</v>
      </c>
      <c r="Q287" s="89" t="s">
        <v>1457</v>
      </c>
      <c r="S287" s="88" t="s">
        <v>62</v>
      </c>
      <c r="T287" s="89" t="s">
        <v>1458</v>
      </c>
      <c r="V287" s="88" t="s">
        <v>76</v>
      </c>
      <c r="W287" s="89" t="s">
        <v>1459</v>
      </c>
      <c r="Y287" s="88" t="s">
        <v>26</v>
      </c>
      <c r="Z287" s="72">
        <v>660</v>
      </c>
      <c r="AA287" s="89">
        <v>600</v>
      </c>
    </row>
    <row r="288" spans="1:27">
      <c r="A288" s="216"/>
      <c r="B288" s="217"/>
      <c r="F288" s="88" t="s">
        <v>8</v>
      </c>
      <c r="G288" s="112" t="s">
        <v>1227</v>
      </c>
      <c r="M288" s="88" t="s">
        <v>1135</v>
      </c>
      <c r="N288" s="72" t="s">
        <v>33</v>
      </c>
      <c r="O288" s="72" t="s">
        <v>43</v>
      </c>
      <c r="P288" s="72" t="s">
        <v>33</v>
      </c>
      <c r="Q288" s="89" t="s">
        <v>1460</v>
      </c>
      <c r="S288" s="88" t="s">
        <v>64</v>
      </c>
      <c r="T288" s="89" t="s">
        <v>1461</v>
      </c>
      <c r="V288" s="88" t="s">
        <v>79</v>
      </c>
      <c r="W288" s="89" t="s">
        <v>1332</v>
      </c>
      <c r="Y288" s="90" t="s">
        <v>92</v>
      </c>
      <c r="Z288" s="91"/>
      <c r="AA288" s="122">
        <v>9.0999999999999998E-2</v>
      </c>
    </row>
    <row r="289" spans="1:27">
      <c r="A289" s="216"/>
      <c r="B289" s="217"/>
      <c r="F289" s="88" t="s">
        <v>10</v>
      </c>
      <c r="G289" s="112" t="s">
        <v>1106</v>
      </c>
      <c r="M289" s="88" t="s">
        <v>1333</v>
      </c>
      <c r="N289" s="72" t="s">
        <v>33</v>
      </c>
      <c r="O289" s="72" t="s">
        <v>34</v>
      </c>
      <c r="P289" s="72" t="s">
        <v>35</v>
      </c>
      <c r="Q289" s="89" t="s">
        <v>1462</v>
      </c>
      <c r="S289" s="90" t="s">
        <v>66</v>
      </c>
      <c r="T289" s="92" t="s">
        <v>1463</v>
      </c>
      <c r="V289" s="90" t="s">
        <v>82</v>
      </c>
      <c r="W289" s="92" t="s">
        <v>1464</v>
      </c>
    </row>
    <row r="290" spans="1:27" ht="30.75">
      <c r="A290" s="216"/>
      <c r="B290" s="217"/>
      <c r="F290" s="88" t="s">
        <v>13</v>
      </c>
      <c r="G290" s="210" t="s">
        <v>1465</v>
      </c>
      <c r="M290" s="88" t="s">
        <v>1175</v>
      </c>
      <c r="N290" s="72" t="s">
        <v>33</v>
      </c>
      <c r="O290" s="72" t="s">
        <v>43</v>
      </c>
      <c r="P290" s="72" t="s">
        <v>33</v>
      </c>
      <c r="Q290" s="89" t="s">
        <v>1466</v>
      </c>
    </row>
    <row r="291" spans="1:27">
      <c r="A291" s="216"/>
      <c r="B291" s="217"/>
      <c r="F291" s="88" t="s">
        <v>15</v>
      </c>
      <c r="G291" s="112" t="s">
        <v>1467</v>
      </c>
      <c r="M291" s="88" t="s">
        <v>1468</v>
      </c>
      <c r="N291" s="72" t="s">
        <v>35</v>
      </c>
      <c r="O291" s="72" t="s">
        <v>52</v>
      </c>
      <c r="P291" s="72" t="s">
        <v>35</v>
      </c>
      <c r="Q291" s="89" t="s">
        <v>1469</v>
      </c>
    </row>
    <row r="292" spans="1:27">
      <c r="A292" s="216"/>
      <c r="B292" s="217"/>
      <c r="F292" s="88" t="s">
        <v>17</v>
      </c>
      <c r="G292" s="113">
        <v>46126</v>
      </c>
      <c r="M292" s="88" t="s">
        <v>1245</v>
      </c>
      <c r="N292" s="72" t="s">
        <v>35</v>
      </c>
      <c r="O292" s="72" t="s">
        <v>52</v>
      </c>
      <c r="P292" s="72" t="s">
        <v>35</v>
      </c>
      <c r="Q292" s="89" t="s">
        <v>1470</v>
      </c>
    </row>
    <row r="293" spans="1:27">
      <c r="A293" s="218"/>
      <c r="B293" s="219"/>
      <c r="F293" s="90" t="s">
        <v>18</v>
      </c>
      <c r="G293" s="114" t="s">
        <v>19</v>
      </c>
      <c r="M293" s="88" t="s">
        <v>1471</v>
      </c>
      <c r="N293" s="72" t="s">
        <v>35</v>
      </c>
      <c r="O293" s="72" t="s">
        <v>52</v>
      </c>
      <c r="P293" s="72" t="s">
        <v>35</v>
      </c>
      <c r="Q293" s="89" t="s">
        <v>1472</v>
      </c>
    </row>
    <row r="294" spans="1:27">
      <c r="M294" s="90" t="s">
        <v>1182</v>
      </c>
      <c r="N294" s="91" t="s">
        <v>35</v>
      </c>
      <c r="O294" s="91" t="s">
        <v>52</v>
      </c>
      <c r="P294" s="91" t="s">
        <v>35</v>
      </c>
      <c r="Q294" s="92" t="s">
        <v>1473</v>
      </c>
    </row>
    <row r="297" spans="1:27">
      <c r="A297" s="214" t="s">
        <v>199</v>
      </c>
      <c r="B297" s="215"/>
      <c r="F297" s="85" t="s">
        <v>0</v>
      </c>
      <c r="G297" s="118" t="s">
        <v>1</v>
      </c>
      <c r="I297" s="85" t="s">
        <v>20</v>
      </c>
      <c r="J297" s="86" t="s">
        <v>21</v>
      </c>
      <c r="K297" s="87" t="s">
        <v>23</v>
      </c>
      <c r="M297" s="85" t="s">
        <v>27</v>
      </c>
      <c r="N297" s="86" t="s">
        <v>28</v>
      </c>
      <c r="O297" s="86" t="s">
        <v>29</v>
      </c>
      <c r="P297" s="86" t="s">
        <v>30</v>
      </c>
      <c r="Q297" s="87" t="s">
        <v>31</v>
      </c>
      <c r="S297" s="85" t="s">
        <v>56</v>
      </c>
      <c r="T297" s="87" t="s">
        <v>57</v>
      </c>
      <c r="U297" s="79"/>
      <c r="V297" s="85" t="s">
        <v>68</v>
      </c>
      <c r="W297" s="87" t="s">
        <v>69</v>
      </c>
      <c r="Y297" s="85" t="s">
        <v>85</v>
      </c>
      <c r="Z297" s="86" t="s">
        <v>88</v>
      </c>
      <c r="AA297" s="87" t="s">
        <v>89</v>
      </c>
    </row>
    <row r="298" spans="1:27">
      <c r="A298" s="216"/>
      <c r="B298" s="217"/>
      <c r="F298" s="88" t="s">
        <v>2</v>
      </c>
      <c r="G298" s="112" t="s">
        <v>1474</v>
      </c>
      <c r="I298" s="88" t="s">
        <v>24</v>
      </c>
      <c r="J298" s="72">
        <v>8</v>
      </c>
      <c r="K298" s="89">
        <v>560</v>
      </c>
      <c r="M298" s="119" t="s">
        <v>1475</v>
      </c>
      <c r="N298" s="93" t="s">
        <v>33</v>
      </c>
      <c r="O298" s="93" t="s">
        <v>34</v>
      </c>
      <c r="P298" s="93" t="s">
        <v>35</v>
      </c>
      <c r="Q298" s="120" t="s">
        <v>1476</v>
      </c>
      <c r="S298" s="88" t="s">
        <v>58</v>
      </c>
      <c r="T298" s="89" t="s">
        <v>1477</v>
      </c>
      <c r="V298" s="88" t="s">
        <v>70</v>
      </c>
      <c r="W298" s="89" t="s">
        <v>1478</v>
      </c>
      <c r="Y298" s="88" t="s">
        <v>90</v>
      </c>
      <c r="Z298" s="72">
        <v>560</v>
      </c>
      <c r="AA298" s="89">
        <v>330</v>
      </c>
    </row>
    <row r="299" spans="1:27">
      <c r="A299" s="216"/>
      <c r="B299" s="217"/>
      <c r="F299" s="88" t="s">
        <v>4</v>
      </c>
      <c r="G299" s="112" t="s">
        <v>1479</v>
      </c>
      <c r="I299" s="88" t="s">
        <v>25</v>
      </c>
      <c r="J299" s="80">
        <v>3</v>
      </c>
      <c r="K299" s="89">
        <v>150</v>
      </c>
      <c r="M299" s="88" t="s">
        <v>1480</v>
      </c>
      <c r="N299" s="72" t="s">
        <v>33</v>
      </c>
      <c r="O299" s="72" t="s">
        <v>43</v>
      </c>
      <c r="P299" s="72" t="s">
        <v>33</v>
      </c>
      <c r="Q299" s="89" t="s">
        <v>1481</v>
      </c>
      <c r="S299" s="88" t="s">
        <v>60</v>
      </c>
      <c r="T299" s="89" t="s">
        <v>1482</v>
      </c>
      <c r="V299" s="88" t="s">
        <v>73</v>
      </c>
      <c r="W299" s="89" t="s">
        <v>1483</v>
      </c>
      <c r="Y299" s="88" t="s">
        <v>91</v>
      </c>
      <c r="Z299" s="72">
        <v>150</v>
      </c>
      <c r="AA299" s="89">
        <v>320</v>
      </c>
    </row>
    <row r="300" spans="1:27">
      <c r="A300" s="216"/>
      <c r="B300" s="217"/>
      <c r="F300" s="88" t="s">
        <v>6</v>
      </c>
      <c r="G300" s="112" t="s">
        <v>1484</v>
      </c>
      <c r="I300" s="90" t="s">
        <v>26</v>
      </c>
      <c r="J300" s="91"/>
      <c r="K300" s="92">
        <v>710</v>
      </c>
      <c r="M300" s="88" t="s">
        <v>1485</v>
      </c>
      <c r="N300" s="72" t="s">
        <v>33</v>
      </c>
      <c r="O300" s="72" t="s">
        <v>34</v>
      </c>
      <c r="P300" s="72" t="s">
        <v>35</v>
      </c>
      <c r="Q300" s="89" t="s">
        <v>1486</v>
      </c>
      <c r="S300" s="88" t="s">
        <v>62</v>
      </c>
      <c r="T300" s="89" t="s">
        <v>1487</v>
      </c>
      <c r="V300" s="88" t="s">
        <v>76</v>
      </c>
      <c r="W300" s="89" t="s">
        <v>1488</v>
      </c>
      <c r="Y300" s="88" t="s">
        <v>26</v>
      </c>
      <c r="Z300" s="72">
        <v>710</v>
      </c>
      <c r="AA300" s="89">
        <v>650</v>
      </c>
    </row>
    <row r="301" spans="1:27">
      <c r="A301" s="216"/>
      <c r="B301" s="217"/>
      <c r="F301" s="88" t="s">
        <v>8</v>
      </c>
      <c r="G301" s="112" t="s">
        <v>1489</v>
      </c>
      <c r="M301" s="88" t="s">
        <v>1490</v>
      </c>
      <c r="N301" s="72" t="s">
        <v>33</v>
      </c>
      <c r="O301" s="72" t="s">
        <v>43</v>
      </c>
      <c r="P301" s="72" t="s">
        <v>33</v>
      </c>
      <c r="Q301" s="89" t="s">
        <v>1491</v>
      </c>
      <c r="S301" s="88" t="s">
        <v>64</v>
      </c>
      <c r="T301" s="89" t="s">
        <v>1492</v>
      </c>
      <c r="V301" s="88" t="s">
        <v>79</v>
      </c>
      <c r="W301" s="89" t="s">
        <v>1493</v>
      </c>
      <c r="Y301" s="90" t="s">
        <v>92</v>
      </c>
      <c r="Z301" s="91"/>
      <c r="AA301" s="122">
        <v>8.5000000000000006E-2</v>
      </c>
    </row>
    <row r="302" spans="1:27">
      <c r="A302" s="216"/>
      <c r="B302" s="217"/>
      <c r="F302" s="88" t="s">
        <v>10</v>
      </c>
      <c r="G302" s="112" t="s">
        <v>1494</v>
      </c>
      <c r="M302" s="88" t="s">
        <v>1495</v>
      </c>
      <c r="N302" s="72" t="s">
        <v>33</v>
      </c>
      <c r="O302" s="72" t="s">
        <v>34</v>
      </c>
      <c r="P302" s="72" t="s">
        <v>33</v>
      </c>
      <c r="Q302" s="89" t="s">
        <v>1496</v>
      </c>
      <c r="S302" s="90" t="s">
        <v>66</v>
      </c>
      <c r="T302" s="92" t="s">
        <v>1497</v>
      </c>
      <c r="V302" s="90" t="s">
        <v>82</v>
      </c>
      <c r="W302" s="92" t="s">
        <v>1498</v>
      </c>
    </row>
    <row r="303" spans="1:27">
      <c r="A303" s="216"/>
      <c r="B303" s="217"/>
      <c r="F303" s="88" t="s">
        <v>13</v>
      </c>
      <c r="G303" s="201" t="s">
        <v>1499</v>
      </c>
      <c r="M303" s="88" t="s">
        <v>1500</v>
      </c>
      <c r="N303" s="72" t="s">
        <v>33</v>
      </c>
      <c r="O303" s="72" t="s">
        <v>43</v>
      </c>
      <c r="P303" s="72" t="s">
        <v>33</v>
      </c>
      <c r="Q303" s="89" t="s">
        <v>1501</v>
      </c>
    </row>
    <row r="304" spans="1:27">
      <c r="A304" s="216"/>
      <c r="B304" s="217"/>
      <c r="F304" s="88" t="s">
        <v>15</v>
      </c>
      <c r="G304" s="112" t="s">
        <v>1502</v>
      </c>
      <c r="M304" s="88" t="s">
        <v>1503</v>
      </c>
      <c r="N304" s="72" t="s">
        <v>33</v>
      </c>
      <c r="O304" s="72" t="s">
        <v>43</v>
      </c>
      <c r="P304" s="72" t="s">
        <v>33</v>
      </c>
      <c r="Q304" s="89" t="s">
        <v>1504</v>
      </c>
    </row>
    <row r="305" spans="1:27">
      <c r="A305" s="216"/>
      <c r="B305" s="217"/>
      <c r="F305" s="88" t="s">
        <v>17</v>
      </c>
      <c r="G305" s="113">
        <v>46126</v>
      </c>
      <c r="M305" s="88" t="s">
        <v>1505</v>
      </c>
      <c r="N305" s="72" t="s">
        <v>33</v>
      </c>
      <c r="O305" s="72" t="s">
        <v>34</v>
      </c>
      <c r="P305" s="72" t="s">
        <v>35</v>
      </c>
      <c r="Q305" s="89" t="s">
        <v>1506</v>
      </c>
    </row>
    <row r="306" spans="1:27">
      <c r="A306" s="218"/>
      <c r="B306" s="219"/>
      <c r="F306" s="90" t="s">
        <v>18</v>
      </c>
      <c r="G306" s="114" t="s">
        <v>19</v>
      </c>
      <c r="M306" s="88" t="s">
        <v>1507</v>
      </c>
      <c r="N306" s="72" t="s">
        <v>35</v>
      </c>
      <c r="O306" s="72" t="s">
        <v>52</v>
      </c>
      <c r="P306" s="72" t="s">
        <v>35</v>
      </c>
      <c r="Q306" s="89" t="s">
        <v>1508</v>
      </c>
    </row>
    <row r="307" spans="1:27">
      <c r="M307" s="88" t="s">
        <v>1509</v>
      </c>
      <c r="N307" s="72" t="s">
        <v>35</v>
      </c>
      <c r="O307" s="72" t="s">
        <v>52</v>
      </c>
      <c r="P307" s="72" t="s">
        <v>35</v>
      </c>
      <c r="Q307" s="89" t="s">
        <v>1510</v>
      </c>
    </row>
    <row r="308" spans="1:27">
      <c r="M308" s="90" t="s">
        <v>1511</v>
      </c>
      <c r="N308" s="91" t="s">
        <v>35</v>
      </c>
      <c r="O308" s="91" t="s">
        <v>52</v>
      </c>
      <c r="P308" s="91" t="s">
        <v>35</v>
      </c>
      <c r="Q308" s="92" t="s">
        <v>1512</v>
      </c>
    </row>
    <row r="311" spans="1:27">
      <c r="A311" s="214" t="s">
        <v>216</v>
      </c>
      <c r="B311" s="215"/>
      <c r="F311" s="85" t="s">
        <v>0</v>
      </c>
      <c r="G311" s="118" t="s">
        <v>1</v>
      </c>
      <c r="I311" s="85" t="s">
        <v>20</v>
      </c>
      <c r="J311" s="86" t="s">
        <v>21</v>
      </c>
      <c r="K311" s="87" t="s">
        <v>23</v>
      </c>
      <c r="M311" s="124" t="s">
        <v>27</v>
      </c>
      <c r="N311" s="123" t="s">
        <v>28</v>
      </c>
      <c r="O311" s="123" t="s">
        <v>29</v>
      </c>
      <c r="P311" s="123" t="s">
        <v>30</v>
      </c>
      <c r="Q311" s="127" t="s">
        <v>31</v>
      </c>
      <c r="S311" s="85" t="s">
        <v>56</v>
      </c>
      <c r="T311" s="87" t="s">
        <v>57</v>
      </c>
      <c r="U311" s="79"/>
      <c r="V311" s="85" t="s">
        <v>68</v>
      </c>
      <c r="W311" s="87" t="s">
        <v>69</v>
      </c>
      <c r="Y311" s="85" t="s">
        <v>85</v>
      </c>
      <c r="Z311" s="86" t="s">
        <v>88</v>
      </c>
      <c r="AA311" s="87" t="s">
        <v>89</v>
      </c>
    </row>
    <row r="312" spans="1:27">
      <c r="A312" s="216"/>
      <c r="B312" s="217"/>
      <c r="F312" s="88" t="s">
        <v>2</v>
      </c>
      <c r="G312" s="112" t="s">
        <v>1513</v>
      </c>
      <c r="I312" s="88" t="s">
        <v>24</v>
      </c>
      <c r="J312" s="72">
        <v>8</v>
      </c>
      <c r="K312" s="89">
        <v>540</v>
      </c>
      <c r="M312" s="126" t="s">
        <v>1514</v>
      </c>
      <c r="N312" s="93" t="s">
        <v>33</v>
      </c>
      <c r="O312" s="93" t="s">
        <v>43</v>
      </c>
      <c r="P312" s="93" t="s">
        <v>33</v>
      </c>
      <c r="Q312" s="129" t="s">
        <v>1515</v>
      </c>
      <c r="S312" s="88" t="s">
        <v>58</v>
      </c>
      <c r="T312" s="89" t="s">
        <v>1154</v>
      </c>
      <c r="V312" s="88" t="s">
        <v>70</v>
      </c>
      <c r="W312" s="89" t="s">
        <v>1516</v>
      </c>
      <c r="Y312" s="88" t="s">
        <v>90</v>
      </c>
      <c r="Z312" s="72">
        <v>540</v>
      </c>
      <c r="AA312" s="89">
        <v>310</v>
      </c>
    </row>
    <row r="313" spans="1:27">
      <c r="A313" s="216"/>
      <c r="B313" s="217"/>
      <c r="F313" s="88" t="s">
        <v>4</v>
      </c>
      <c r="G313" s="112" t="s">
        <v>894</v>
      </c>
      <c r="I313" s="88" t="s">
        <v>25</v>
      </c>
      <c r="J313" s="80">
        <v>2</v>
      </c>
      <c r="K313" s="89">
        <v>140</v>
      </c>
      <c r="M313" s="125" t="s">
        <v>1517</v>
      </c>
      <c r="N313" s="72" t="s">
        <v>33</v>
      </c>
      <c r="O313" s="72" t="s">
        <v>34</v>
      </c>
      <c r="P313" s="72" t="s">
        <v>33</v>
      </c>
      <c r="Q313" s="128" t="s">
        <v>1518</v>
      </c>
      <c r="S313" s="88" t="s">
        <v>60</v>
      </c>
      <c r="T313" s="89" t="s">
        <v>1519</v>
      </c>
      <c r="V313" s="88" t="s">
        <v>73</v>
      </c>
      <c r="W313" s="89" t="s">
        <v>1520</v>
      </c>
      <c r="Y313" s="88" t="s">
        <v>91</v>
      </c>
      <c r="Z313" s="72">
        <v>140</v>
      </c>
      <c r="AA313" s="89">
        <v>280</v>
      </c>
    </row>
    <row r="314" spans="1:27">
      <c r="A314" s="216"/>
      <c r="B314" s="217"/>
      <c r="F314" s="88" t="s">
        <v>6</v>
      </c>
      <c r="G314" s="112" t="s">
        <v>895</v>
      </c>
      <c r="I314" s="90" t="s">
        <v>26</v>
      </c>
      <c r="J314" s="91"/>
      <c r="K314" s="92">
        <v>680</v>
      </c>
      <c r="M314" s="125" t="s">
        <v>1521</v>
      </c>
      <c r="N314" s="72" t="s">
        <v>33</v>
      </c>
      <c r="O314" s="72" t="s">
        <v>34</v>
      </c>
      <c r="P314" s="72" t="s">
        <v>35</v>
      </c>
      <c r="Q314" s="128" t="s">
        <v>1396</v>
      </c>
      <c r="S314" s="88" t="s">
        <v>62</v>
      </c>
      <c r="T314" s="89" t="s">
        <v>1522</v>
      </c>
      <c r="V314" s="88" t="s">
        <v>76</v>
      </c>
      <c r="W314" s="89" t="s">
        <v>1523</v>
      </c>
      <c r="Y314" s="88" t="s">
        <v>26</v>
      </c>
      <c r="Z314" s="72">
        <v>680</v>
      </c>
      <c r="AA314" s="89">
        <v>590</v>
      </c>
    </row>
    <row r="315" spans="1:27">
      <c r="A315" s="216"/>
      <c r="B315" s="217"/>
      <c r="F315" s="88" t="s">
        <v>8</v>
      </c>
      <c r="G315" s="112" t="s">
        <v>1524</v>
      </c>
      <c r="M315" s="125" t="s">
        <v>1525</v>
      </c>
      <c r="N315" s="72" t="s">
        <v>33</v>
      </c>
      <c r="O315" s="72" t="s">
        <v>34</v>
      </c>
      <c r="P315" s="72" t="s">
        <v>35</v>
      </c>
      <c r="Q315" s="128" t="s">
        <v>962</v>
      </c>
      <c r="S315" s="119" t="s">
        <v>64</v>
      </c>
      <c r="T315" s="120" t="s">
        <v>1526</v>
      </c>
      <c r="V315" s="88" t="s">
        <v>79</v>
      </c>
      <c r="W315" s="89" t="s">
        <v>1527</v>
      </c>
      <c r="Y315" s="90" t="s">
        <v>92</v>
      </c>
      <c r="Z315" s="91"/>
      <c r="AA315" s="122">
        <v>0.13200000000000001</v>
      </c>
    </row>
    <row r="316" spans="1:27" ht="21" customHeight="1">
      <c r="A316" s="216"/>
      <c r="B316" s="217"/>
      <c r="F316" s="88" t="s">
        <v>10</v>
      </c>
      <c r="G316" s="112" t="s">
        <v>1403</v>
      </c>
      <c r="M316" s="125" t="s">
        <v>1528</v>
      </c>
      <c r="N316" s="72" t="s">
        <v>33</v>
      </c>
      <c r="O316" s="72" t="s">
        <v>43</v>
      </c>
      <c r="P316" s="72" t="s">
        <v>33</v>
      </c>
      <c r="Q316" s="128" t="s">
        <v>1529</v>
      </c>
      <c r="S316" s="90" t="s">
        <v>66</v>
      </c>
      <c r="T316" s="133" t="s">
        <v>1530</v>
      </c>
      <c r="V316" s="90" t="s">
        <v>82</v>
      </c>
      <c r="W316" s="92" t="s">
        <v>1531</v>
      </c>
    </row>
    <row r="317" spans="1:27">
      <c r="A317" s="216"/>
      <c r="B317" s="217"/>
      <c r="F317" s="88" t="s">
        <v>13</v>
      </c>
      <c r="G317" s="201" t="s">
        <v>1532</v>
      </c>
      <c r="M317" s="125" t="s">
        <v>1533</v>
      </c>
      <c r="N317" s="72" t="s">
        <v>33</v>
      </c>
      <c r="O317" s="72" t="s">
        <v>43</v>
      </c>
      <c r="P317" s="72" t="s">
        <v>33</v>
      </c>
      <c r="Q317" s="128" t="s">
        <v>1534</v>
      </c>
    </row>
    <row r="318" spans="1:27">
      <c r="A318" s="216"/>
      <c r="B318" s="217"/>
      <c r="F318" s="88" t="s">
        <v>15</v>
      </c>
      <c r="G318" s="112" t="s">
        <v>1535</v>
      </c>
      <c r="M318" s="125" t="s">
        <v>1536</v>
      </c>
      <c r="N318" s="72" t="s">
        <v>33</v>
      </c>
      <c r="O318" s="72" t="s">
        <v>43</v>
      </c>
      <c r="P318" s="72" t="s">
        <v>33</v>
      </c>
      <c r="Q318" s="128" t="s">
        <v>1537</v>
      </c>
    </row>
    <row r="319" spans="1:27">
      <c r="A319" s="216"/>
      <c r="B319" s="217"/>
      <c r="F319" s="88" t="s">
        <v>17</v>
      </c>
      <c r="G319" s="113">
        <v>46126</v>
      </c>
      <c r="M319" s="125" t="s">
        <v>1149</v>
      </c>
      <c r="N319" s="72" t="s">
        <v>33</v>
      </c>
      <c r="O319" s="72" t="s">
        <v>34</v>
      </c>
      <c r="P319" s="72" t="s">
        <v>35</v>
      </c>
      <c r="Q319" s="128" t="s">
        <v>1538</v>
      </c>
    </row>
    <row r="320" spans="1:27">
      <c r="A320" s="218"/>
      <c r="B320" s="219"/>
      <c r="F320" s="90" t="s">
        <v>18</v>
      </c>
      <c r="G320" s="114" t="s">
        <v>19</v>
      </c>
      <c r="M320" s="125" t="s">
        <v>1160</v>
      </c>
      <c r="N320" s="72" t="s">
        <v>35</v>
      </c>
      <c r="O320" s="72" t="s">
        <v>52</v>
      </c>
      <c r="P320" s="72" t="s">
        <v>35</v>
      </c>
      <c r="Q320" s="128" t="s">
        <v>1539</v>
      </c>
    </row>
    <row r="321" spans="1:27">
      <c r="M321" s="126" t="s">
        <v>1414</v>
      </c>
      <c r="N321" s="93" t="s">
        <v>35</v>
      </c>
      <c r="O321" s="93" t="s">
        <v>52</v>
      </c>
      <c r="P321" s="93" t="s">
        <v>35</v>
      </c>
      <c r="Q321" s="129" t="s">
        <v>1540</v>
      </c>
    </row>
    <row r="324" spans="1:27">
      <c r="A324" s="214" t="s">
        <v>128</v>
      </c>
      <c r="B324" s="215"/>
      <c r="F324" s="85" t="s">
        <v>0</v>
      </c>
      <c r="G324" s="118" t="s">
        <v>1</v>
      </c>
      <c r="I324" s="85" t="s">
        <v>20</v>
      </c>
      <c r="J324" s="86" t="s">
        <v>21</v>
      </c>
      <c r="K324" s="87" t="s">
        <v>23</v>
      </c>
      <c r="M324" s="85" t="s">
        <v>27</v>
      </c>
      <c r="N324" s="86" t="s">
        <v>28</v>
      </c>
      <c r="O324" s="86" t="s">
        <v>29</v>
      </c>
      <c r="P324" s="86" t="s">
        <v>30</v>
      </c>
      <c r="Q324" s="87" t="s">
        <v>31</v>
      </c>
      <c r="S324" s="85" t="s">
        <v>56</v>
      </c>
      <c r="T324" s="87" t="s">
        <v>57</v>
      </c>
      <c r="U324" s="79"/>
      <c r="V324" s="85" t="s">
        <v>68</v>
      </c>
      <c r="W324" s="87" t="s">
        <v>69</v>
      </c>
      <c r="Y324" s="85" t="s">
        <v>85</v>
      </c>
      <c r="Z324" s="86" t="s">
        <v>88</v>
      </c>
      <c r="AA324" s="87" t="s">
        <v>89</v>
      </c>
    </row>
    <row r="325" spans="1:27">
      <c r="A325" s="216"/>
      <c r="B325" s="217"/>
      <c r="F325" s="88" t="s">
        <v>2</v>
      </c>
      <c r="G325" s="112" t="s">
        <v>957</v>
      </c>
      <c r="I325" s="88" t="s">
        <v>24</v>
      </c>
      <c r="J325" s="72">
        <v>6</v>
      </c>
      <c r="K325" s="89">
        <v>400</v>
      </c>
      <c r="M325" s="119" t="s">
        <v>1541</v>
      </c>
      <c r="N325" s="93" t="s">
        <v>33</v>
      </c>
      <c r="O325" s="93" t="s">
        <v>43</v>
      </c>
      <c r="P325" s="93" t="s">
        <v>33</v>
      </c>
      <c r="Q325" s="120" t="s">
        <v>1542</v>
      </c>
      <c r="S325" s="88" t="s">
        <v>58</v>
      </c>
      <c r="T325" s="89" t="s">
        <v>1543</v>
      </c>
      <c r="V325" s="88" t="s">
        <v>70</v>
      </c>
      <c r="W325" s="89" t="s">
        <v>1544</v>
      </c>
      <c r="Y325" s="88" t="s">
        <v>90</v>
      </c>
      <c r="Z325" s="72">
        <v>400</v>
      </c>
      <c r="AA325" s="89">
        <v>250</v>
      </c>
    </row>
    <row r="326" spans="1:27">
      <c r="A326" s="216"/>
      <c r="B326" s="217"/>
      <c r="F326" s="88" t="s">
        <v>4</v>
      </c>
      <c r="G326" s="112" t="s">
        <v>894</v>
      </c>
      <c r="I326" s="88" t="s">
        <v>25</v>
      </c>
      <c r="J326" s="80">
        <v>4</v>
      </c>
      <c r="K326" s="89">
        <v>260</v>
      </c>
      <c r="M326" s="88" t="s">
        <v>1545</v>
      </c>
      <c r="N326" s="72" t="s">
        <v>33</v>
      </c>
      <c r="O326" s="72" t="s">
        <v>34</v>
      </c>
      <c r="P326" s="72" t="s">
        <v>35</v>
      </c>
      <c r="Q326" s="89" t="s">
        <v>1546</v>
      </c>
      <c r="S326" s="88" t="s">
        <v>60</v>
      </c>
      <c r="T326" s="89" t="s">
        <v>1547</v>
      </c>
      <c r="V326" s="88" t="s">
        <v>73</v>
      </c>
      <c r="W326" s="89" t="s">
        <v>1548</v>
      </c>
      <c r="Y326" s="88" t="s">
        <v>91</v>
      </c>
      <c r="Z326" s="72">
        <v>260</v>
      </c>
      <c r="AA326" s="89">
        <v>350</v>
      </c>
    </row>
    <row r="327" spans="1:27">
      <c r="A327" s="216"/>
      <c r="B327" s="217"/>
      <c r="F327" s="88" t="s">
        <v>6</v>
      </c>
      <c r="G327" s="112" t="s">
        <v>895</v>
      </c>
      <c r="I327" s="90" t="s">
        <v>26</v>
      </c>
      <c r="J327" s="91"/>
      <c r="K327" s="92">
        <v>660</v>
      </c>
      <c r="M327" s="88" t="s">
        <v>1359</v>
      </c>
      <c r="N327" s="72" t="s">
        <v>33</v>
      </c>
      <c r="O327" s="72" t="s">
        <v>34</v>
      </c>
      <c r="P327" s="72" t="s">
        <v>33</v>
      </c>
      <c r="Q327" s="89" t="s">
        <v>1549</v>
      </c>
      <c r="S327" s="88" t="s">
        <v>62</v>
      </c>
      <c r="T327" s="89" t="s">
        <v>1550</v>
      </c>
      <c r="V327" s="88" t="s">
        <v>76</v>
      </c>
      <c r="W327" s="89" t="s">
        <v>1551</v>
      </c>
      <c r="Y327" s="88" t="s">
        <v>26</v>
      </c>
      <c r="Z327" s="72">
        <v>660</v>
      </c>
      <c r="AA327" s="89">
        <v>600</v>
      </c>
    </row>
    <row r="328" spans="1:27">
      <c r="A328" s="216"/>
      <c r="B328" s="217"/>
      <c r="F328" s="88" t="s">
        <v>8</v>
      </c>
      <c r="G328" s="112" t="s">
        <v>1552</v>
      </c>
      <c r="M328" s="88" t="s">
        <v>1553</v>
      </c>
      <c r="N328" s="72" t="s">
        <v>33</v>
      </c>
      <c r="O328" s="72" t="s">
        <v>43</v>
      </c>
      <c r="P328" s="72" t="s">
        <v>33</v>
      </c>
      <c r="Q328" s="89" t="s">
        <v>1554</v>
      </c>
      <c r="S328" s="119" t="s">
        <v>64</v>
      </c>
      <c r="T328" s="120" t="s">
        <v>1555</v>
      </c>
      <c r="V328" s="88" t="s">
        <v>79</v>
      </c>
      <c r="W328" s="89" t="s">
        <v>1556</v>
      </c>
      <c r="Y328" s="90" t="s">
        <v>92</v>
      </c>
      <c r="Z328" s="91"/>
      <c r="AA328" s="122">
        <v>0.09</v>
      </c>
    </row>
    <row r="329" spans="1:27">
      <c r="A329" s="216"/>
      <c r="B329" s="217"/>
      <c r="F329" s="88" t="s">
        <v>10</v>
      </c>
      <c r="G329" s="112" t="s">
        <v>12</v>
      </c>
      <c r="M329" s="88" t="s">
        <v>1557</v>
      </c>
      <c r="N329" s="72" t="s">
        <v>33</v>
      </c>
      <c r="O329" s="72" t="s">
        <v>43</v>
      </c>
      <c r="P329" s="72" t="s">
        <v>33</v>
      </c>
      <c r="Q329" s="89" t="s">
        <v>1558</v>
      </c>
      <c r="S329" s="90" t="s">
        <v>66</v>
      </c>
      <c r="T329" s="133" t="s">
        <v>1559</v>
      </c>
      <c r="V329" s="90" t="s">
        <v>82</v>
      </c>
      <c r="W329" s="92" t="s">
        <v>1560</v>
      </c>
    </row>
    <row r="330" spans="1:27">
      <c r="A330" s="216"/>
      <c r="B330" s="217"/>
      <c r="F330" s="88" t="s">
        <v>13</v>
      </c>
      <c r="G330" s="201" t="s">
        <v>1561</v>
      </c>
      <c r="M330" s="88" t="s">
        <v>1562</v>
      </c>
      <c r="N330" s="72" t="s">
        <v>33</v>
      </c>
      <c r="O330" s="72" t="s">
        <v>34</v>
      </c>
      <c r="P330" s="72" t="s">
        <v>35</v>
      </c>
      <c r="Q330" s="89" t="s">
        <v>1563</v>
      </c>
    </row>
    <row r="331" spans="1:27">
      <c r="A331" s="216"/>
      <c r="B331" s="217"/>
      <c r="F331" s="88" t="s">
        <v>15</v>
      </c>
      <c r="G331" s="112" t="s">
        <v>1564</v>
      </c>
      <c r="M331" s="88" t="s">
        <v>1565</v>
      </c>
      <c r="N331" s="72" t="s">
        <v>35</v>
      </c>
      <c r="O331" s="72" t="s">
        <v>52</v>
      </c>
      <c r="P331" s="72" t="s">
        <v>35</v>
      </c>
      <c r="Q331" s="89" t="s">
        <v>1566</v>
      </c>
    </row>
    <row r="332" spans="1:27">
      <c r="A332" s="216"/>
      <c r="B332" s="217"/>
      <c r="F332" s="88" t="s">
        <v>17</v>
      </c>
      <c r="G332" s="113">
        <v>46126</v>
      </c>
      <c r="M332" s="88" t="s">
        <v>924</v>
      </c>
      <c r="N332" s="72" t="s">
        <v>35</v>
      </c>
      <c r="O332" s="72" t="s">
        <v>52</v>
      </c>
      <c r="P332" s="72" t="s">
        <v>35</v>
      </c>
      <c r="Q332" s="89" t="s">
        <v>1567</v>
      </c>
    </row>
    <row r="333" spans="1:27">
      <c r="A333" s="218"/>
      <c r="B333" s="219"/>
      <c r="F333" s="90" t="s">
        <v>18</v>
      </c>
      <c r="G333" s="114" t="s">
        <v>19</v>
      </c>
      <c r="M333" s="88" t="s">
        <v>1568</v>
      </c>
      <c r="N333" s="72" t="s">
        <v>35</v>
      </c>
      <c r="O333" s="72" t="s">
        <v>52</v>
      </c>
      <c r="P333" s="72" t="s">
        <v>35</v>
      </c>
      <c r="Q333" s="89" t="s">
        <v>1569</v>
      </c>
    </row>
    <row r="334" spans="1:27">
      <c r="M334" s="90" t="s">
        <v>1570</v>
      </c>
      <c r="N334" s="91" t="s">
        <v>35</v>
      </c>
      <c r="O334" s="91" t="s">
        <v>52</v>
      </c>
      <c r="P334" s="91" t="s">
        <v>35</v>
      </c>
      <c r="Q334" s="92" t="s">
        <v>1183</v>
      </c>
    </row>
    <row r="337" spans="1:27">
      <c r="A337" s="214" t="s">
        <v>143</v>
      </c>
      <c r="B337" s="215"/>
      <c r="F337" s="85" t="s">
        <v>0</v>
      </c>
      <c r="G337" s="118" t="s">
        <v>1</v>
      </c>
      <c r="I337" s="85" t="s">
        <v>20</v>
      </c>
      <c r="J337" s="86" t="s">
        <v>21</v>
      </c>
      <c r="K337" s="87" t="s">
        <v>23</v>
      </c>
      <c r="M337" s="85" t="s">
        <v>27</v>
      </c>
      <c r="N337" s="86" t="s">
        <v>28</v>
      </c>
      <c r="O337" s="86" t="s">
        <v>29</v>
      </c>
      <c r="P337" s="86" t="s">
        <v>30</v>
      </c>
      <c r="Q337" s="87" t="s">
        <v>31</v>
      </c>
      <c r="S337" s="85" t="s">
        <v>56</v>
      </c>
      <c r="T337" s="87" t="s">
        <v>57</v>
      </c>
      <c r="U337" s="79"/>
      <c r="V337" s="85" t="s">
        <v>68</v>
      </c>
      <c r="W337" s="87" t="s">
        <v>69</v>
      </c>
      <c r="Y337" s="85" t="s">
        <v>85</v>
      </c>
      <c r="Z337" s="86" t="s">
        <v>88</v>
      </c>
      <c r="AA337" s="87" t="s">
        <v>89</v>
      </c>
    </row>
    <row r="338" spans="1:27">
      <c r="A338" s="216"/>
      <c r="B338" s="217"/>
      <c r="F338" s="88" t="s">
        <v>2</v>
      </c>
      <c r="G338" s="112" t="s">
        <v>1009</v>
      </c>
      <c r="I338" s="88" t="s">
        <v>24</v>
      </c>
      <c r="J338" s="72">
        <v>5</v>
      </c>
      <c r="K338" s="89">
        <v>310</v>
      </c>
      <c r="M338" s="119" t="s">
        <v>1485</v>
      </c>
      <c r="N338" s="93" t="s">
        <v>33</v>
      </c>
      <c r="O338" s="93" t="s">
        <v>34</v>
      </c>
      <c r="P338" s="93" t="s">
        <v>35</v>
      </c>
      <c r="Q338" s="120" t="s">
        <v>1571</v>
      </c>
      <c r="S338" s="88" t="s">
        <v>58</v>
      </c>
      <c r="T338" s="89" t="s">
        <v>1572</v>
      </c>
      <c r="V338" s="88" t="s">
        <v>70</v>
      </c>
      <c r="W338" s="89" t="s">
        <v>1573</v>
      </c>
      <c r="Y338" s="88" t="s">
        <v>90</v>
      </c>
      <c r="Z338" s="72">
        <v>310</v>
      </c>
      <c r="AA338" s="89">
        <v>190</v>
      </c>
    </row>
    <row r="339" spans="1:27">
      <c r="A339" s="216"/>
      <c r="B339" s="217"/>
      <c r="F339" s="88" t="s">
        <v>4</v>
      </c>
      <c r="G339" s="112" t="s">
        <v>894</v>
      </c>
      <c r="I339" s="88" t="s">
        <v>25</v>
      </c>
      <c r="J339" s="80">
        <v>5</v>
      </c>
      <c r="K339" s="89">
        <v>290</v>
      </c>
      <c r="M339" s="88" t="s">
        <v>1574</v>
      </c>
      <c r="N339" s="72" t="s">
        <v>33</v>
      </c>
      <c r="O339" s="72" t="s">
        <v>34</v>
      </c>
      <c r="P339" s="72" t="s">
        <v>35</v>
      </c>
      <c r="Q339" s="89" t="s">
        <v>1575</v>
      </c>
      <c r="S339" s="88" t="s">
        <v>60</v>
      </c>
      <c r="T339" s="89" t="s">
        <v>1576</v>
      </c>
      <c r="V339" s="88" t="s">
        <v>73</v>
      </c>
      <c r="W339" s="89" t="s">
        <v>1577</v>
      </c>
      <c r="Y339" s="88" t="s">
        <v>91</v>
      </c>
      <c r="Z339" s="72">
        <v>290</v>
      </c>
      <c r="AA339" s="89">
        <v>360</v>
      </c>
    </row>
    <row r="340" spans="1:27">
      <c r="A340" s="216"/>
      <c r="B340" s="217"/>
      <c r="F340" s="88" t="s">
        <v>6</v>
      </c>
      <c r="G340" s="112" t="s">
        <v>1484</v>
      </c>
      <c r="I340" s="90" t="s">
        <v>26</v>
      </c>
      <c r="J340" s="91"/>
      <c r="K340" s="92">
        <v>600</v>
      </c>
      <c r="M340" s="88" t="s">
        <v>1490</v>
      </c>
      <c r="N340" s="72" t="s">
        <v>33</v>
      </c>
      <c r="O340" s="72" t="s">
        <v>43</v>
      </c>
      <c r="P340" s="72" t="s">
        <v>33</v>
      </c>
      <c r="Q340" s="89" t="s">
        <v>1578</v>
      </c>
      <c r="S340" s="88" t="s">
        <v>62</v>
      </c>
      <c r="T340" s="89" t="s">
        <v>1579</v>
      </c>
      <c r="V340" s="88" t="s">
        <v>76</v>
      </c>
      <c r="W340" s="89" t="s">
        <v>1580</v>
      </c>
      <c r="Y340" s="88" t="s">
        <v>26</v>
      </c>
      <c r="Z340" s="72">
        <v>600</v>
      </c>
      <c r="AA340" s="89">
        <v>550</v>
      </c>
    </row>
    <row r="341" spans="1:27">
      <c r="A341" s="216"/>
      <c r="B341" s="217"/>
      <c r="F341" s="88" t="s">
        <v>8</v>
      </c>
      <c r="G341" s="112" t="s">
        <v>942</v>
      </c>
      <c r="M341" s="88" t="s">
        <v>1581</v>
      </c>
      <c r="N341" s="72" t="s">
        <v>33</v>
      </c>
      <c r="O341" s="72" t="s">
        <v>34</v>
      </c>
      <c r="P341" s="72" t="s">
        <v>33</v>
      </c>
      <c r="Q341" s="89" t="s">
        <v>1582</v>
      </c>
      <c r="S341" s="119" t="s">
        <v>64</v>
      </c>
      <c r="T341" s="120" t="s">
        <v>1583</v>
      </c>
      <c r="V341" s="88" t="s">
        <v>79</v>
      </c>
      <c r="W341" s="89" t="s">
        <v>1584</v>
      </c>
      <c r="Y341" s="90" t="s">
        <v>92</v>
      </c>
      <c r="Z341" s="91"/>
      <c r="AA341" s="122">
        <v>8.3000000000000004E-2</v>
      </c>
    </row>
    <row r="342" spans="1:27">
      <c r="A342" s="216"/>
      <c r="B342" s="217"/>
      <c r="F342" s="88" t="s">
        <v>10</v>
      </c>
      <c r="G342" s="112" t="s">
        <v>1494</v>
      </c>
      <c r="M342" s="88" t="s">
        <v>1585</v>
      </c>
      <c r="N342" s="72" t="s">
        <v>33</v>
      </c>
      <c r="O342" s="72" t="s">
        <v>43</v>
      </c>
      <c r="P342" s="72" t="s">
        <v>33</v>
      </c>
      <c r="Q342" s="89" t="s">
        <v>1586</v>
      </c>
      <c r="S342" s="90" t="s">
        <v>66</v>
      </c>
      <c r="T342" s="133" t="s">
        <v>1587</v>
      </c>
      <c r="V342" s="90" t="s">
        <v>82</v>
      </c>
      <c r="W342" s="92" t="s">
        <v>1588</v>
      </c>
    </row>
    <row r="343" spans="1:27">
      <c r="A343" s="216"/>
      <c r="B343" s="217"/>
      <c r="F343" s="88" t="s">
        <v>13</v>
      </c>
      <c r="G343" s="201" t="s">
        <v>1589</v>
      </c>
      <c r="M343" s="88" t="s">
        <v>1590</v>
      </c>
      <c r="N343" s="72" t="s">
        <v>35</v>
      </c>
      <c r="O343" s="72" t="s">
        <v>52</v>
      </c>
      <c r="P343" s="72" t="s">
        <v>35</v>
      </c>
      <c r="Q343" s="89" t="s">
        <v>1591</v>
      </c>
    </row>
    <row r="344" spans="1:27">
      <c r="A344" s="216"/>
      <c r="B344" s="217"/>
      <c r="F344" s="88" t="s">
        <v>15</v>
      </c>
      <c r="G344" s="112" t="s">
        <v>1592</v>
      </c>
      <c r="M344" s="88" t="s">
        <v>1593</v>
      </c>
      <c r="N344" s="72" t="s">
        <v>35</v>
      </c>
      <c r="O344" s="72" t="s">
        <v>52</v>
      </c>
      <c r="P344" s="72" t="s">
        <v>35</v>
      </c>
      <c r="Q344" s="89" t="s">
        <v>1594</v>
      </c>
    </row>
    <row r="345" spans="1:27">
      <c r="A345" s="216"/>
      <c r="B345" s="217"/>
      <c r="F345" s="88" t="s">
        <v>17</v>
      </c>
      <c r="G345" s="113">
        <v>46126</v>
      </c>
      <c r="M345" s="88" t="s">
        <v>1595</v>
      </c>
      <c r="N345" s="72" t="s">
        <v>35</v>
      </c>
      <c r="O345" s="72" t="s">
        <v>52</v>
      </c>
      <c r="P345" s="72" t="s">
        <v>35</v>
      </c>
      <c r="Q345" s="89" t="s">
        <v>1596</v>
      </c>
    </row>
    <row r="346" spans="1:27">
      <c r="A346" s="218"/>
      <c r="B346" s="219"/>
      <c r="F346" s="90" t="s">
        <v>18</v>
      </c>
      <c r="G346" s="114" t="s">
        <v>19</v>
      </c>
      <c r="M346" s="88" t="s">
        <v>1597</v>
      </c>
      <c r="N346" s="72" t="s">
        <v>35</v>
      </c>
      <c r="O346" s="72" t="s">
        <v>52</v>
      </c>
      <c r="P346" s="72" t="s">
        <v>35</v>
      </c>
      <c r="Q346" s="89" t="s">
        <v>1598</v>
      </c>
    </row>
    <row r="347" spans="1:27">
      <c r="M347" s="90" t="s">
        <v>1182</v>
      </c>
      <c r="N347" s="91" t="s">
        <v>35</v>
      </c>
      <c r="O347" s="91" t="s">
        <v>52</v>
      </c>
      <c r="P347" s="91" t="s">
        <v>35</v>
      </c>
      <c r="Q347" s="92" t="s">
        <v>1599</v>
      </c>
    </row>
    <row r="351" spans="1:27">
      <c r="A351" s="214" t="s">
        <v>128</v>
      </c>
      <c r="B351" s="215"/>
      <c r="F351" s="85" t="s">
        <v>0</v>
      </c>
      <c r="G351" s="118" t="s">
        <v>1</v>
      </c>
      <c r="I351" s="85" t="s">
        <v>20</v>
      </c>
      <c r="J351" s="86" t="s">
        <v>21</v>
      </c>
      <c r="K351" s="87" t="s">
        <v>23</v>
      </c>
      <c r="M351" s="85" t="s">
        <v>27</v>
      </c>
      <c r="N351" s="86" t="s">
        <v>28</v>
      </c>
      <c r="O351" s="86" t="s">
        <v>29</v>
      </c>
      <c r="P351" s="86" t="s">
        <v>30</v>
      </c>
      <c r="Q351" s="87" t="s">
        <v>31</v>
      </c>
      <c r="S351" s="85" t="s">
        <v>56</v>
      </c>
      <c r="T351" s="87" t="s">
        <v>57</v>
      </c>
      <c r="U351" s="79"/>
      <c r="V351" s="85" t="s">
        <v>68</v>
      </c>
      <c r="W351" s="87" t="s">
        <v>69</v>
      </c>
      <c r="Y351" s="85" t="s">
        <v>85</v>
      </c>
      <c r="Z351" s="86" t="s">
        <v>88</v>
      </c>
      <c r="AA351" s="87" t="s">
        <v>89</v>
      </c>
    </row>
    <row r="352" spans="1:27">
      <c r="A352" s="216"/>
      <c r="B352" s="217"/>
      <c r="F352" s="88" t="s">
        <v>2</v>
      </c>
      <c r="G352" s="112" t="s">
        <v>957</v>
      </c>
      <c r="I352" s="88" t="s">
        <v>24</v>
      </c>
      <c r="J352" s="72">
        <v>7</v>
      </c>
      <c r="K352" s="89">
        <v>470</v>
      </c>
      <c r="M352" s="119" t="s">
        <v>1600</v>
      </c>
      <c r="N352" s="93" t="s">
        <v>33</v>
      </c>
      <c r="O352" s="93" t="s">
        <v>43</v>
      </c>
      <c r="P352" s="93" t="s">
        <v>33</v>
      </c>
      <c r="Q352" s="120" t="s">
        <v>1601</v>
      </c>
      <c r="S352" s="88" t="s">
        <v>58</v>
      </c>
      <c r="T352" s="89" t="s">
        <v>1602</v>
      </c>
      <c r="V352" s="88" t="s">
        <v>70</v>
      </c>
      <c r="W352" s="89" t="s">
        <v>1603</v>
      </c>
      <c r="Y352" s="88" t="s">
        <v>90</v>
      </c>
      <c r="Z352" s="72">
        <v>470</v>
      </c>
      <c r="AA352" s="89">
        <v>280</v>
      </c>
    </row>
    <row r="353" spans="1:27">
      <c r="A353" s="216"/>
      <c r="B353" s="217"/>
      <c r="F353" s="88" t="s">
        <v>4</v>
      </c>
      <c r="G353" s="112" t="s">
        <v>894</v>
      </c>
      <c r="I353" s="88" t="s">
        <v>25</v>
      </c>
      <c r="J353" s="80">
        <v>3</v>
      </c>
      <c r="K353" s="89">
        <v>180</v>
      </c>
      <c r="M353" s="88" t="s">
        <v>1604</v>
      </c>
      <c r="N353" s="72" t="s">
        <v>33</v>
      </c>
      <c r="O353" s="72" t="s">
        <v>34</v>
      </c>
      <c r="P353" s="72" t="s">
        <v>35</v>
      </c>
      <c r="Q353" s="89" t="s">
        <v>1605</v>
      </c>
      <c r="S353" s="88" t="s">
        <v>60</v>
      </c>
      <c r="T353" s="89" t="s">
        <v>1606</v>
      </c>
      <c r="V353" s="88" t="s">
        <v>73</v>
      </c>
      <c r="W353" s="89" t="s">
        <v>1607</v>
      </c>
      <c r="Y353" s="88" t="s">
        <v>91</v>
      </c>
      <c r="Z353" s="72">
        <v>180</v>
      </c>
      <c r="AA353" s="89">
        <v>300</v>
      </c>
    </row>
    <row r="354" spans="1:27">
      <c r="A354" s="216"/>
      <c r="B354" s="217"/>
      <c r="F354" s="88" t="s">
        <v>6</v>
      </c>
      <c r="G354" s="112" t="s">
        <v>895</v>
      </c>
      <c r="I354" s="90" t="s">
        <v>26</v>
      </c>
      <c r="J354" s="91"/>
      <c r="K354" s="92">
        <v>650</v>
      </c>
      <c r="M354" s="88" t="s">
        <v>1608</v>
      </c>
      <c r="N354" s="72" t="s">
        <v>33</v>
      </c>
      <c r="O354" s="72" t="s">
        <v>43</v>
      </c>
      <c r="P354" s="72" t="s">
        <v>33</v>
      </c>
      <c r="Q354" s="89" t="s">
        <v>1609</v>
      </c>
      <c r="S354" s="88" t="s">
        <v>62</v>
      </c>
      <c r="T354" s="89" t="s">
        <v>1610</v>
      </c>
      <c r="V354" s="88" t="s">
        <v>76</v>
      </c>
      <c r="W354" s="89" t="s">
        <v>1611</v>
      </c>
      <c r="Y354" s="88" t="s">
        <v>26</v>
      </c>
      <c r="Z354" s="72">
        <v>650</v>
      </c>
      <c r="AA354" s="89">
        <v>580</v>
      </c>
    </row>
    <row r="355" spans="1:27">
      <c r="A355" s="216"/>
      <c r="B355" s="217"/>
      <c r="F355" s="88" t="s">
        <v>8</v>
      </c>
      <c r="G355" s="112" t="s">
        <v>1298</v>
      </c>
      <c r="M355" s="88" t="s">
        <v>1612</v>
      </c>
      <c r="N355" s="72" t="s">
        <v>33</v>
      </c>
      <c r="O355" s="72" t="s">
        <v>34</v>
      </c>
      <c r="P355" s="72" t="s">
        <v>35</v>
      </c>
      <c r="Q355" s="89" t="s">
        <v>1613</v>
      </c>
      <c r="S355" s="119" t="s">
        <v>64</v>
      </c>
      <c r="T355" s="120" t="s">
        <v>1614</v>
      </c>
      <c r="V355" s="88" t="s">
        <v>79</v>
      </c>
      <c r="W355" s="89" t="s">
        <v>1615</v>
      </c>
      <c r="Y355" s="90" t="s">
        <v>92</v>
      </c>
      <c r="Z355" s="91"/>
      <c r="AA355" s="122">
        <v>0.108</v>
      </c>
    </row>
    <row r="356" spans="1:27">
      <c r="A356" s="216"/>
      <c r="B356" s="217"/>
      <c r="F356" s="88" t="s">
        <v>10</v>
      </c>
      <c r="G356" s="112" t="s">
        <v>1106</v>
      </c>
      <c r="M356" s="88" t="s">
        <v>1616</v>
      </c>
      <c r="N356" s="72" t="s">
        <v>33</v>
      </c>
      <c r="O356" s="72" t="s">
        <v>43</v>
      </c>
      <c r="P356" s="72" t="s">
        <v>33</v>
      </c>
      <c r="Q356" s="89" t="s">
        <v>1617</v>
      </c>
      <c r="S356" s="90" t="s">
        <v>66</v>
      </c>
      <c r="T356" s="133" t="s">
        <v>1618</v>
      </c>
      <c r="V356" s="90" t="s">
        <v>82</v>
      </c>
      <c r="W356" s="92" t="s">
        <v>1619</v>
      </c>
    </row>
    <row r="357" spans="1:27">
      <c r="A357" s="216"/>
      <c r="B357" s="217"/>
      <c r="F357" s="88" t="s">
        <v>13</v>
      </c>
      <c r="G357" s="201" t="s">
        <v>1620</v>
      </c>
      <c r="M357" s="88" t="s">
        <v>1621</v>
      </c>
      <c r="N357" s="72" t="s">
        <v>33</v>
      </c>
      <c r="O357" s="72" t="s">
        <v>43</v>
      </c>
      <c r="P357" s="72" t="s">
        <v>33</v>
      </c>
      <c r="Q357" s="89" t="s">
        <v>1622</v>
      </c>
    </row>
    <row r="358" spans="1:27">
      <c r="A358" s="216"/>
      <c r="B358" s="217"/>
      <c r="F358" s="88" t="s">
        <v>15</v>
      </c>
      <c r="G358" s="112" t="s">
        <v>1623</v>
      </c>
      <c r="M358" s="88" t="s">
        <v>1624</v>
      </c>
      <c r="N358" s="72" t="s">
        <v>33</v>
      </c>
      <c r="O358" s="72" t="s">
        <v>34</v>
      </c>
      <c r="P358" s="72" t="s">
        <v>33</v>
      </c>
      <c r="Q358" s="89" t="s">
        <v>1625</v>
      </c>
    </row>
    <row r="359" spans="1:27">
      <c r="A359" s="216"/>
      <c r="B359" s="217"/>
      <c r="F359" s="88" t="s">
        <v>17</v>
      </c>
      <c r="G359" s="113">
        <v>46126</v>
      </c>
      <c r="M359" s="88" t="s">
        <v>1626</v>
      </c>
      <c r="N359" s="72" t="s">
        <v>35</v>
      </c>
      <c r="O359" s="72" t="s">
        <v>52</v>
      </c>
      <c r="P359" s="72" t="s">
        <v>35</v>
      </c>
      <c r="Q359" s="89" t="s">
        <v>1627</v>
      </c>
    </row>
    <row r="360" spans="1:27">
      <c r="A360" s="218"/>
      <c r="B360" s="219"/>
      <c r="F360" s="90" t="s">
        <v>18</v>
      </c>
      <c r="G360" s="114" t="s">
        <v>19</v>
      </c>
      <c r="M360" s="88" t="s">
        <v>1628</v>
      </c>
      <c r="N360" s="72" t="s">
        <v>35</v>
      </c>
      <c r="O360" s="72" t="s">
        <v>52</v>
      </c>
      <c r="P360" s="72" t="s">
        <v>35</v>
      </c>
      <c r="Q360" s="89" t="s">
        <v>1629</v>
      </c>
    </row>
    <row r="361" spans="1:27">
      <c r="M361" s="90" t="s">
        <v>1630</v>
      </c>
      <c r="N361" s="91" t="s">
        <v>35</v>
      </c>
      <c r="O361" s="91" t="s">
        <v>52</v>
      </c>
      <c r="P361" s="91" t="s">
        <v>35</v>
      </c>
      <c r="Q361" s="92" t="s">
        <v>1631</v>
      </c>
    </row>
    <row r="365" spans="1:27">
      <c r="A365" s="214" t="s">
        <v>109</v>
      </c>
      <c r="B365" s="215"/>
      <c r="F365" s="85" t="s">
        <v>0</v>
      </c>
      <c r="G365" s="118" t="s">
        <v>1</v>
      </c>
      <c r="I365" s="85" t="s">
        <v>20</v>
      </c>
      <c r="J365" s="86" t="s">
        <v>21</v>
      </c>
      <c r="K365" s="87" t="s">
        <v>23</v>
      </c>
      <c r="M365" s="85" t="s">
        <v>27</v>
      </c>
      <c r="N365" s="86" t="s">
        <v>28</v>
      </c>
      <c r="O365" s="86" t="s">
        <v>29</v>
      </c>
      <c r="P365" s="86" t="s">
        <v>30</v>
      </c>
      <c r="Q365" s="87" t="s">
        <v>31</v>
      </c>
      <c r="S365" s="85" t="s">
        <v>56</v>
      </c>
      <c r="T365" s="87" t="s">
        <v>57</v>
      </c>
      <c r="U365" s="79"/>
      <c r="V365" s="85" t="s">
        <v>68</v>
      </c>
      <c r="W365" s="87" t="s">
        <v>69</v>
      </c>
      <c r="Y365" s="85" t="s">
        <v>85</v>
      </c>
      <c r="Z365" s="86" t="s">
        <v>88</v>
      </c>
      <c r="AA365" s="87" t="s">
        <v>89</v>
      </c>
    </row>
    <row r="366" spans="1:27">
      <c r="A366" s="216"/>
      <c r="B366" s="217"/>
      <c r="F366" s="88" t="s">
        <v>2</v>
      </c>
      <c r="G366" s="112" t="s">
        <v>3</v>
      </c>
      <c r="I366" s="88" t="s">
        <v>24</v>
      </c>
      <c r="J366" s="72">
        <v>4</v>
      </c>
      <c r="K366" s="89">
        <v>300</v>
      </c>
      <c r="M366" s="119" t="s">
        <v>1632</v>
      </c>
      <c r="N366" s="93" t="s">
        <v>33</v>
      </c>
      <c r="O366" s="93" t="s">
        <v>34</v>
      </c>
      <c r="P366" s="93" t="s">
        <v>35</v>
      </c>
      <c r="Q366" s="120" t="s">
        <v>1633</v>
      </c>
      <c r="S366" s="88" t="s">
        <v>58</v>
      </c>
      <c r="T366" s="89" t="s">
        <v>1634</v>
      </c>
      <c r="V366" s="88" t="s">
        <v>70</v>
      </c>
      <c r="W366" s="89" t="s">
        <v>1635</v>
      </c>
      <c r="Y366" s="88" t="s">
        <v>90</v>
      </c>
      <c r="Z366" s="72">
        <v>300</v>
      </c>
      <c r="AA366" s="89">
        <v>180</v>
      </c>
    </row>
    <row r="367" spans="1:27">
      <c r="A367" s="216"/>
      <c r="B367" s="217"/>
      <c r="F367" s="88" t="s">
        <v>4</v>
      </c>
      <c r="G367" s="112" t="s">
        <v>894</v>
      </c>
      <c r="I367" s="88" t="s">
        <v>25</v>
      </c>
      <c r="J367" s="80">
        <v>6</v>
      </c>
      <c r="K367" s="89">
        <v>360</v>
      </c>
      <c r="M367" s="88" t="s">
        <v>1356</v>
      </c>
      <c r="N367" s="72" t="s">
        <v>33</v>
      </c>
      <c r="O367" s="72" t="s">
        <v>43</v>
      </c>
      <c r="P367" s="72" t="s">
        <v>33</v>
      </c>
      <c r="Q367" s="89" t="s">
        <v>1636</v>
      </c>
      <c r="S367" s="88" t="s">
        <v>60</v>
      </c>
      <c r="T367" s="89" t="s">
        <v>1576</v>
      </c>
      <c r="V367" s="88" t="s">
        <v>73</v>
      </c>
      <c r="W367" s="89" t="s">
        <v>1637</v>
      </c>
      <c r="Y367" s="88" t="s">
        <v>91</v>
      </c>
      <c r="Z367" s="72">
        <v>360</v>
      </c>
      <c r="AA367" s="89">
        <v>420</v>
      </c>
    </row>
    <row r="368" spans="1:27">
      <c r="A368" s="216"/>
      <c r="B368" s="217"/>
      <c r="F368" s="88" t="s">
        <v>6</v>
      </c>
      <c r="G368" s="112" t="s">
        <v>895</v>
      </c>
      <c r="I368" s="90" t="s">
        <v>26</v>
      </c>
      <c r="J368" s="91"/>
      <c r="K368" s="92">
        <v>660</v>
      </c>
      <c r="M368" s="88" t="s">
        <v>1638</v>
      </c>
      <c r="N368" s="72" t="s">
        <v>33</v>
      </c>
      <c r="O368" s="72" t="s">
        <v>34</v>
      </c>
      <c r="P368" s="72" t="s">
        <v>35</v>
      </c>
      <c r="Q368" s="89" t="s">
        <v>1427</v>
      </c>
      <c r="S368" s="88" t="s">
        <v>62</v>
      </c>
      <c r="T368" s="89" t="s">
        <v>1639</v>
      </c>
      <c r="V368" s="88" t="s">
        <v>76</v>
      </c>
      <c r="W368" s="89" t="s">
        <v>1640</v>
      </c>
      <c r="Y368" s="88" t="s">
        <v>26</v>
      </c>
      <c r="Z368" s="72">
        <v>660</v>
      </c>
      <c r="AA368" s="89">
        <v>600</v>
      </c>
    </row>
    <row r="369" spans="1:27">
      <c r="A369" s="216"/>
      <c r="B369" s="217"/>
      <c r="F369" s="88" t="s">
        <v>8</v>
      </c>
      <c r="G369" s="112" t="s">
        <v>1552</v>
      </c>
      <c r="M369" s="88" t="s">
        <v>1553</v>
      </c>
      <c r="N369" s="72" t="s">
        <v>33</v>
      </c>
      <c r="O369" s="72" t="s">
        <v>43</v>
      </c>
      <c r="P369" s="72" t="s">
        <v>33</v>
      </c>
      <c r="Q369" s="89" t="s">
        <v>1641</v>
      </c>
      <c r="S369" s="119" t="s">
        <v>64</v>
      </c>
      <c r="T369" s="120" t="s">
        <v>1642</v>
      </c>
      <c r="V369" s="88" t="s">
        <v>79</v>
      </c>
      <c r="W369" s="89" t="s">
        <v>1643</v>
      </c>
      <c r="Y369" s="90" t="s">
        <v>92</v>
      </c>
      <c r="Z369" s="91"/>
      <c r="AA369" s="122">
        <v>0.09</v>
      </c>
    </row>
    <row r="370" spans="1:27">
      <c r="A370" s="216"/>
      <c r="B370" s="217"/>
      <c r="F370" s="88" t="s">
        <v>10</v>
      </c>
      <c r="G370" s="112" t="s">
        <v>12</v>
      </c>
      <c r="M370" s="88" t="s">
        <v>1434</v>
      </c>
      <c r="N370" s="72" t="s">
        <v>33</v>
      </c>
      <c r="O370" s="72" t="s">
        <v>43</v>
      </c>
      <c r="P370" s="72" t="s">
        <v>33</v>
      </c>
      <c r="Q370" s="89" t="s">
        <v>1644</v>
      </c>
      <c r="S370" s="90" t="s">
        <v>66</v>
      </c>
      <c r="T370" s="133" t="s">
        <v>1645</v>
      </c>
      <c r="V370" s="90" t="s">
        <v>82</v>
      </c>
      <c r="W370" s="92" t="s">
        <v>1646</v>
      </c>
    </row>
    <row r="371" spans="1:27">
      <c r="A371" s="216"/>
      <c r="B371" s="217"/>
      <c r="F371" s="88" t="s">
        <v>13</v>
      </c>
      <c r="G371" s="201" t="s">
        <v>1647</v>
      </c>
      <c r="M371" s="88" t="s">
        <v>1648</v>
      </c>
      <c r="N371" s="72" t="s">
        <v>35</v>
      </c>
      <c r="O371" s="72" t="s">
        <v>52</v>
      </c>
      <c r="P371" s="72" t="s">
        <v>35</v>
      </c>
      <c r="Q371" s="89" t="s">
        <v>1649</v>
      </c>
    </row>
    <row r="372" spans="1:27">
      <c r="A372" s="216"/>
      <c r="B372" s="217"/>
      <c r="F372" s="88" t="s">
        <v>15</v>
      </c>
      <c r="G372" s="112" t="s">
        <v>1650</v>
      </c>
      <c r="M372" s="88" t="s">
        <v>924</v>
      </c>
      <c r="N372" s="72" t="s">
        <v>35</v>
      </c>
      <c r="O372" s="72" t="s">
        <v>52</v>
      </c>
      <c r="P372" s="72" t="s">
        <v>35</v>
      </c>
      <c r="Q372" s="89" t="s">
        <v>1651</v>
      </c>
    </row>
    <row r="373" spans="1:27">
      <c r="A373" s="216"/>
      <c r="B373" s="217"/>
      <c r="F373" s="88" t="s">
        <v>17</v>
      </c>
      <c r="G373" s="113">
        <v>46126</v>
      </c>
      <c r="M373" s="88" t="s">
        <v>1652</v>
      </c>
      <c r="N373" s="72" t="s">
        <v>35</v>
      </c>
      <c r="O373" s="72" t="s">
        <v>52</v>
      </c>
      <c r="P373" s="72" t="s">
        <v>35</v>
      </c>
      <c r="Q373" s="89" t="s">
        <v>1252</v>
      </c>
    </row>
    <row r="374" spans="1:27">
      <c r="A374" s="218"/>
      <c r="B374" s="219"/>
      <c r="F374" s="90" t="s">
        <v>18</v>
      </c>
      <c r="G374" s="114" t="s">
        <v>19</v>
      </c>
      <c r="M374" s="88" t="s">
        <v>1653</v>
      </c>
      <c r="N374" s="72" t="s">
        <v>35</v>
      </c>
      <c r="O374" s="72" t="s">
        <v>52</v>
      </c>
      <c r="P374" s="72" t="s">
        <v>35</v>
      </c>
      <c r="Q374" s="89" t="s">
        <v>1599</v>
      </c>
    </row>
    <row r="375" spans="1:27">
      <c r="M375" s="90" t="s">
        <v>1654</v>
      </c>
      <c r="N375" s="91" t="s">
        <v>35</v>
      </c>
      <c r="O375" s="91" t="s">
        <v>52</v>
      </c>
      <c r="P375" s="91" t="s">
        <v>35</v>
      </c>
      <c r="Q375" s="92" t="s">
        <v>1655</v>
      </c>
    </row>
    <row r="379" spans="1:27">
      <c r="A379" s="214" t="s">
        <v>231</v>
      </c>
      <c r="B379" s="215"/>
      <c r="F379" s="85" t="s">
        <v>0</v>
      </c>
      <c r="G379" s="118" t="s">
        <v>1</v>
      </c>
      <c r="I379" s="85" t="s">
        <v>20</v>
      </c>
      <c r="J379" s="86" t="s">
        <v>21</v>
      </c>
      <c r="K379" s="87" t="s">
        <v>23</v>
      </c>
      <c r="M379" s="85" t="s">
        <v>27</v>
      </c>
      <c r="N379" s="86" t="s">
        <v>28</v>
      </c>
      <c r="O379" s="86" t="s">
        <v>29</v>
      </c>
      <c r="P379" s="86" t="s">
        <v>30</v>
      </c>
      <c r="Q379" s="87" t="s">
        <v>31</v>
      </c>
      <c r="S379" s="85" t="s">
        <v>56</v>
      </c>
      <c r="T379" s="87" t="s">
        <v>57</v>
      </c>
      <c r="U379" s="79"/>
      <c r="V379" s="85" t="s">
        <v>68</v>
      </c>
      <c r="W379" s="87" t="s">
        <v>69</v>
      </c>
      <c r="Y379" s="85" t="s">
        <v>85</v>
      </c>
      <c r="Z379" s="86" t="s">
        <v>88</v>
      </c>
      <c r="AA379" s="87" t="s">
        <v>89</v>
      </c>
    </row>
    <row r="380" spans="1:27">
      <c r="A380" s="216"/>
      <c r="B380" s="217"/>
      <c r="F380" s="88" t="s">
        <v>2</v>
      </c>
      <c r="G380" s="112" t="s">
        <v>1656</v>
      </c>
      <c r="I380" s="88" t="s">
        <v>24</v>
      </c>
      <c r="J380" s="72">
        <v>6</v>
      </c>
      <c r="K380" s="89">
        <v>480</v>
      </c>
      <c r="M380" s="119" t="s">
        <v>1657</v>
      </c>
      <c r="N380" s="93" t="s">
        <v>33</v>
      </c>
      <c r="O380" s="93" t="s">
        <v>34</v>
      </c>
      <c r="P380" s="93" t="s">
        <v>35</v>
      </c>
      <c r="Q380" s="120" t="s">
        <v>1658</v>
      </c>
      <c r="S380" s="88" t="s">
        <v>58</v>
      </c>
      <c r="T380" s="89" t="s">
        <v>1659</v>
      </c>
      <c r="V380" s="88" t="s">
        <v>70</v>
      </c>
      <c r="W380" s="89" t="s">
        <v>1660</v>
      </c>
      <c r="Y380" s="88" t="s">
        <v>90</v>
      </c>
      <c r="Z380" s="72">
        <v>480</v>
      </c>
      <c r="AA380" s="89">
        <v>260</v>
      </c>
    </row>
    <row r="381" spans="1:27">
      <c r="A381" s="216"/>
      <c r="B381" s="217"/>
      <c r="F381" s="88" t="s">
        <v>4</v>
      </c>
      <c r="G381" s="112" t="s">
        <v>894</v>
      </c>
      <c r="I381" s="88" t="s">
        <v>25</v>
      </c>
      <c r="J381" s="80">
        <v>3</v>
      </c>
      <c r="K381" s="89">
        <v>210</v>
      </c>
      <c r="M381" s="88" t="s">
        <v>1661</v>
      </c>
      <c r="N381" s="72" t="s">
        <v>33</v>
      </c>
      <c r="O381" s="72" t="s">
        <v>43</v>
      </c>
      <c r="P381" s="72" t="s">
        <v>33</v>
      </c>
      <c r="Q381" s="89" t="s">
        <v>1662</v>
      </c>
      <c r="S381" s="88" t="s">
        <v>60</v>
      </c>
      <c r="T381" s="89" t="s">
        <v>1663</v>
      </c>
      <c r="V381" s="88" t="s">
        <v>73</v>
      </c>
      <c r="W381" s="89" t="s">
        <v>1664</v>
      </c>
      <c r="Y381" s="88" t="s">
        <v>91</v>
      </c>
      <c r="Z381" s="72">
        <v>210</v>
      </c>
      <c r="AA381" s="89">
        <v>320</v>
      </c>
    </row>
    <row r="382" spans="1:27">
      <c r="A382" s="216"/>
      <c r="B382" s="217"/>
      <c r="F382" s="88" t="s">
        <v>6</v>
      </c>
      <c r="G382" s="112" t="s">
        <v>1484</v>
      </c>
      <c r="I382" s="90" t="s">
        <v>26</v>
      </c>
      <c r="J382" s="91"/>
      <c r="K382" s="92">
        <v>690</v>
      </c>
      <c r="M382" s="88" t="s">
        <v>1125</v>
      </c>
      <c r="N382" s="72" t="s">
        <v>33</v>
      </c>
      <c r="O382" s="72" t="s">
        <v>34</v>
      </c>
      <c r="P382" s="72" t="s">
        <v>35</v>
      </c>
      <c r="Q382" s="89" t="s">
        <v>1665</v>
      </c>
      <c r="S382" s="88" t="s">
        <v>62</v>
      </c>
      <c r="T382" s="89" t="s">
        <v>1666</v>
      </c>
      <c r="V382" s="88" t="s">
        <v>76</v>
      </c>
      <c r="W382" s="89" t="s">
        <v>1667</v>
      </c>
      <c r="Y382" s="88" t="s">
        <v>26</v>
      </c>
      <c r="Z382" s="72">
        <v>690</v>
      </c>
      <c r="AA382" s="89">
        <v>580</v>
      </c>
    </row>
    <row r="383" spans="1:27">
      <c r="A383" s="216"/>
      <c r="B383" s="217"/>
      <c r="F383" s="88" t="s">
        <v>8</v>
      </c>
      <c r="G383" s="112" t="s">
        <v>942</v>
      </c>
      <c r="M383" s="88" t="s">
        <v>1668</v>
      </c>
      <c r="N383" s="72" t="s">
        <v>33</v>
      </c>
      <c r="O383" s="72" t="s">
        <v>43</v>
      </c>
      <c r="P383" s="72" t="s">
        <v>33</v>
      </c>
      <c r="Q383" s="89" t="s">
        <v>1669</v>
      </c>
      <c r="S383" s="119" t="s">
        <v>64</v>
      </c>
      <c r="T383" s="120" t="s">
        <v>1670</v>
      </c>
      <c r="V383" s="88" t="s">
        <v>79</v>
      </c>
      <c r="W383" s="89" t="s">
        <v>945</v>
      </c>
      <c r="Y383" s="90" t="s">
        <v>92</v>
      </c>
      <c r="Z383" s="91"/>
      <c r="AA383" s="122">
        <v>0.159</v>
      </c>
    </row>
    <row r="384" spans="1:27">
      <c r="A384" s="216"/>
      <c r="B384" s="217"/>
      <c r="F384" s="88" t="s">
        <v>10</v>
      </c>
      <c r="G384" s="112" t="s">
        <v>1403</v>
      </c>
      <c r="M384" s="88" t="s">
        <v>1671</v>
      </c>
      <c r="N384" s="72" t="s">
        <v>33</v>
      </c>
      <c r="O384" s="72" t="s">
        <v>43</v>
      </c>
      <c r="P384" s="72" t="s">
        <v>33</v>
      </c>
      <c r="Q384" s="89" t="s">
        <v>1672</v>
      </c>
      <c r="S384" s="90" t="s">
        <v>66</v>
      </c>
      <c r="T384" s="133" t="s">
        <v>1673</v>
      </c>
      <c r="V384" s="90" t="s">
        <v>82</v>
      </c>
      <c r="W384" s="92" t="s">
        <v>1674</v>
      </c>
    </row>
    <row r="385" spans="1:27">
      <c r="A385" s="216"/>
      <c r="B385" s="217"/>
      <c r="F385" s="88" t="s">
        <v>13</v>
      </c>
      <c r="G385" s="201" t="s">
        <v>1076</v>
      </c>
      <c r="M385" s="88" t="s">
        <v>1675</v>
      </c>
      <c r="N385" s="72" t="s">
        <v>33</v>
      </c>
      <c r="O385" s="72" t="s">
        <v>34</v>
      </c>
      <c r="P385" s="72" t="s">
        <v>35</v>
      </c>
      <c r="Q385" s="89" t="s">
        <v>1676</v>
      </c>
    </row>
    <row r="386" spans="1:27">
      <c r="A386" s="216"/>
      <c r="B386" s="217"/>
      <c r="F386" s="88" t="s">
        <v>15</v>
      </c>
      <c r="G386" s="112" t="s">
        <v>1677</v>
      </c>
      <c r="M386" s="88" t="s">
        <v>1678</v>
      </c>
      <c r="N386" s="72" t="s">
        <v>35</v>
      </c>
      <c r="O386" s="72" t="s">
        <v>52</v>
      </c>
      <c r="P386" s="72" t="s">
        <v>35</v>
      </c>
      <c r="Q386" s="89" t="s">
        <v>1116</v>
      </c>
    </row>
    <row r="387" spans="1:27">
      <c r="A387" s="216"/>
      <c r="B387" s="217"/>
      <c r="F387" s="88" t="s">
        <v>17</v>
      </c>
      <c r="G387" s="113">
        <v>46126</v>
      </c>
      <c r="M387" s="88" t="s">
        <v>1679</v>
      </c>
      <c r="N387" s="72" t="s">
        <v>35</v>
      </c>
      <c r="O387" s="72" t="s">
        <v>52</v>
      </c>
      <c r="P387" s="72" t="s">
        <v>35</v>
      </c>
      <c r="Q387" s="89" t="s">
        <v>1680</v>
      </c>
    </row>
    <row r="388" spans="1:27">
      <c r="A388" s="218"/>
      <c r="B388" s="219"/>
      <c r="F388" s="90" t="s">
        <v>18</v>
      </c>
      <c r="G388" s="114" t="s">
        <v>19</v>
      </c>
      <c r="M388" s="90" t="s">
        <v>1681</v>
      </c>
      <c r="N388" s="91" t="s">
        <v>35</v>
      </c>
      <c r="O388" s="91" t="s">
        <v>52</v>
      </c>
      <c r="P388" s="91" t="s">
        <v>35</v>
      </c>
      <c r="Q388" s="92" t="s">
        <v>1682</v>
      </c>
    </row>
    <row r="392" spans="1:27">
      <c r="A392" s="214" t="s">
        <v>235</v>
      </c>
      <c r="B392" s="215"/>
      <c r="F392" s="85" t="s">
        <v>0</v>
      </c>
      <c r="G392" s="118" t="s">
        <v>1</v>
      </c>
      <c r="I392" s="85" t="s">
        <v>20</v>
      </c>
      <c r="J392" s="86" t="s">
        <v>21</v>
      </c>
      <c r="K392" s="87" t="s">
        <v>23</v>
      </c>
      <c r="M392" s="85" t="s">
        <v>27</v>
      </c>
      <c r="N392" s="86" t="s">
        <v>28</v>
      </c>
      <c r="O392" s="86" t="s">
        <v>29</v>
      </c>
      <c r="P392" s="86" t="s">
        <v>30</v>
      </c>
      <c r="Q392" s="87" t="s">
        <v>31</v>
      </c>
      <c r="S392" s="85" t="s">
        <v>56</v>
      </c>
      <c r="T392" s="87" t="s">
        <v>57</v>
      </c>
      <c r="U392" s="79"/>
      <c r="V392" s="85" t="s">
        <v>68</v>
      </c>
      <c r="W392" s="87" t="s">
        <v>69</v>
      </c>
      <c r="Y392" s="85" t="s">
        <v>85</v>
      </c>
      <c r="Z392" s="86" t="s">
        <v>88</v>
      </c>
      <c r="AA392" s="87" t="s">
        <v>89</v>
      </c>
    </row>
    <row r="393" spans="1:27">
      <c r="A393" s="216"/>
      <c r="B393" s="217"/>
      <c r="F393" s="88" t="s">
        <v>2</v>
      </c>
      <c r="G393" s="112" t="s">
        <v>1683</v>
      </c>
      <c r="I393" s="88" t="s">
        <v>24</v>
      </c>
      <c r="J393" s="72">
        <v>5</v>
      </c>
      <c r="K393" s="89">
        <v>390</v>
      </c>
      <c r="M393" s="119" t="s">
        <v>1684</v>
      </c>
      <c r="N393" s="93" t="s">
        <v>33</v>
      </c>
      <c r="O393" s="93" t="s">
        <v>34</v>
      </c>
      <c r="P393" s="93" t="s">
        <v>35</v>
      </c>
      <c r="Q393" s="120" t="s">
        <v>1685</v>
      </c>
      <c r="S393" s="88" t="s">
        <v>58</v>
      </c>
      <c r="T393" s="89" t="s">
        <v>1686</v>
      </c>
      <c r="V393" s="88" t="s">
        <v>70</v>
      </c>
      <c r="W393" s="89" t="s">
        <v>1687</v>
      </c>
      <c r="Y393" s="88" t="s">
        <v>90</v>
      </c>
      <c r="Z393" s="72">
        <v>390</v>
      </c>
      <c r="AA393" s="89">
        <v>230</v>
      </c>
    </row>
    <row r="394" spans="1:27">
      <c r="A394" s="216"/>
      <c r="B394" s="217"/>
      <c r="F394" s="88" t="s">
        <v>4</v>
      </c>
      <c r="G394" s="112" t="s">
        <v>894</v>
      </c>
      <c r="I394" s="88" t="s">
        <v>25</v>
      </c>
      <c r="J394" s="80">
        <v>5</v>
      </c>
      <c r="K394" s="89">
        <v>330</v>
      </c>
      <c r="M394" s="88" t="s">
        <v>1688</v>
      </c>
      <c r="N394" s="72" t="s">
        <v>33</v>
      </c>
      <c r="O394" s="72" t="s">
        <v>43</v>
      </c>
      <c r="P394" s="72" t="s">
        <v>33</v>
      </c>
      <c r="Q394" s="89" t="s">
        <v>1689</v>
      </c>
      <c r="S394" s="88" t="s">
        <v>60</v>
      </c>
      <c r="T394" s="89" t="s">
        <v>1690</v>
      </c>
      <c r="V394" s="88" t="s">
        <v>73</v>
      </c>
      <c r="W394" s="89" t="s">
        <v>1691</v>
      </c>
      <c r="Y394" s="88" t="s">
        <v>91</v>
      </c>
      <c r="Z394" s="72">
        <v>330</v>
      </c>
      <c r="AA394" s="89">
        <v>400</v>
      </c>
    </row>
    <row r="395" spans="1:27">
      <c r="A395" s="216"/>
      <c r="B395" s="217"/>
      <c r="F395" s="88" t="s">
        <v>6</v>
      </c>
      <c r="G395" s="112" t="s">
        <v>895</v>
      </c>
      <c r="I395" s="90" t="s">
        <v>26</v>
      </c>
      <c r="J395" s="91"/>
      <c r="K395" s="92">
        <v>720</v>
      </c>
      <c r="M395" s="88" t="s">
        <v>1608</v>
      </c>
      <c r="N395" s="72" t="s">
        <v>33</v>
      </c>
      <c r="O395" s="72" t="s">
        <v>34</v>
      </c>
      <c r="P395" s="72" t="s">
        <v>33</v>
      </c>
      <c r="Q395" s="89" t="s">
        <v>1692</v>
      </c>
      <c r="S395" s="88" t="s">
        <v>62</v>
      </c>
      <c r="T395" s="89" t="s">
        <v>1693</v>
      </c>
      <c r="V395" s="88" t="s">
        <v>76</v>
      </c>
      <c r="W395" s="89" t="s">
        <v>1694</v>
      </c>
      <c r="Y395" s="88" t="s">
        <v>26</v>
      </c>
      <c r="Z395" s="72">
        <v>720</v>
      </c>
      <c r="AA395" s="89">
        <v>630</v>
      </c>
    </row>
    <row r="396" spans="1:27">
      <c r="A396" s="216"/>
      <c r="B396" s="217"/>
      <c r="F396" s="88" t="s">
        <v>8</v>
      </c>
      <c r="G396" s="112" t="s">
        <v>1695</v>
      </c>
      <c r="M396" s="88" t="s">
        <v>1696</v>
      </c>
      <c r="N396" s="72" t="s">
        <v>33</v>
      </c>
      <c r="O396" s="72" t="s">
        <v>43</v>
      </c>
      <c r="P396" s="72" t="s">
        <v>33</v>
      </c>
      <c r="Q396" s="89" t="s">
        <v>1697</v>
      </c>
      <c r="S396" s="119" t="s">
        <v>64</v>
      </c>
      <c r="T396" s="120" t="s">
        <v>1698</v>
      </c>
      <c r="V396" s="88" t="s">
        <v>79</v>
      </c>
      <c r="W396" s="89" t="s">
        <v>1699</v>
      </c>
      <c r="Y396" s="90" t="s">
        <v>92</v>
      </c>
      <c r="Z396" s="91"/>
      <c r="AA396" s="122">
        <v>0.125</v>
      </c>
    </row>
    <row r="397" spans="1:27">
      <c r="A397" s="216"/>
      <c r="B397" s="217"/>
      <c r="F397" s="88" t="s">
        <v>10</v>
      </c>
      <c r="G397" s="112" t="s">
        <v>1494</v>
      </c>
      <c r="M397" s="88" t="s">
        <v>1700</v>
      </c>
      <c r="N397" s="72" t="s">
        <v>33</v>
      </c>
      <c r="O397" s="72" t="s">
        <v>43</v>
      </c>
      <c r="P397" s="72" t="s">
        <v>33</v>
      </c>
      <c r="Q397" s="89" t="s">
        <v>1701</v>
      </c>
      <c r="S397" s="90" t="s">
        <v>66</v>
      </c>
      <c r="T397" s="133" t="s">
        <v>1702</v>
      </c>
      <c r="V397" s="90" t="s">
        <v>82</v>
      </c>
      <c r="W397" s="92" t="s">
        <v>1703</v>
      </c>
    </row>
    <row r="398" spans="1:27">
      <c r="A398" s="216"/>
      <c r="B398" s="217"/>
      <c r="F398" s="88" t="s">
        <v>13</v>
      </c>
      <c r="G398" s="201" t="s">
        <v>1704</v>
      </c>
      <c r="M398" s="88" t="s">
        <v>1705</v>
      </c>
      <c r="N398" s="72" t="s">
        <v>35</v>
      </c>
      <c r="O398" s="72" t="s">
        <v>52</v>
      </c>
      <c r="P398" s="72" t="s">
        <v>35</v>
      </c>
      <c r="Q398" s="89" t="s">
        <v>1706</v>
      </c>
    </row>
    <row r="399" spans="1:27">
      <c r="A399" s="216"/>
      <c r="B399" s="217"/>
      <c r="F399" s="88" t="s">
        <v>15</v>
      </c>
      <c r="G399" s="112" t="s">
        <v>1707</v>
      </c>
      <c r="M399" s="88" t="s">
        <v>1385</v>
      </c>
      <c r="N399" s="72" t="s">
        <v>35</v>
      </c>
      <c r="O399" s="72" t="s">
        <v>52</v>
      </c>
      <c r="P399" s="72" t="s">
        <v>35</v>
      </c>
      <c r="Q399" s="89" t="s">
        <v>1708</v>
      </c>
    </row>
    <row r="400" spans="1:27">
      <c r="A400" s="216"/>
      <c r="B400" s="217"/>
      <c r="F400" s="88" t="s">
        <v>17</v>
      </c>
      <c r="G400" s="113">
        <v>46126</v>
      </c>
      <c r="M400" s="119" t="s">
        <v>1595</v>
      </c>
      <c r="N400" s="93" t="s">
        <v>35</v>
      </c>
      <c r="O400" s="93" t="s">
        <v>52</v>
      </c>
      <c r="P400" s="93" t="s">
        <v>35</v>
      </c>
      <c r="Q400" s="120" t="s">
        <v>1709</v>
      </c>
    </row>
    <row r="401" spans="1:27">
      <c r="A401" s="218"/>
      <c r="B401" s="219"/>
      <c r="F401" s="90" t="s">
        <v>18</v>
      </c>
      <c r="G401" s="114" t="s">
        <v>19</v>
      </c>
      <c r="M401" s="88" t="s">
        <v>42</v>
      </c>
      <c r="N401" s="72" t="s">
        <v>35</v>
      </c>
      <c r="O401" s="72" t="s">
        <v>52</v>
      </c>
      <c r="P401" s="72" t="s">
        <v>35</v>
      </c>
      <c r="Q401" s="89" t="s">
        <v>1086</v>
      </c>
    </row>
    <row r="402" spans="1:27">
      <c r="M402" s="90" t="s">
        <v>1710</v>
      </c>
      <c r="N402" s="91" t="s">
        <v>35</v>
      </c>
      <c r="O402" s="91" t="s">
        <v>52</v>
      </c>
      <c r="P402" s="91" t="s">
        <v>35</v>
      </c>
      <c r="Q402" s="92" t="s">
        <v>1711</v>
      </c>
    </row>
    <row r="406" spans="1:27">
      <c r="A406" s="214" t="s">
        <v>249</v>
      </c>
      <c r="B406" s="215"/>
      <c r="E406" s="211"/>
      <c r="F406" s="212" t="s">
        <v>0</v>
      </c>
      <c r="G406" s="118" t="s">
        <v>1</v>
      </c>
      <c r="I406" s="85" t="s">
        <v>20</v>
      </c>
      <c r="J406" s="86" t="s">
        <v>21</v>
      </c>
      <c r="K406" s="87" t="s">
        <v>23</v>
      </c>
      <c r="M406" s="85" t="s">
        <v>27</v>
      </c>
      <c r="N406" s="86" t="s">
        <v>28</v>
      </c>
      <c r="O406" s="86" t="s">
        <v>29</v>
      </c>
      <c r="P406" s="86" t="s">
        <v>30</v>
      </c>
      <c r="Q406" s="87" t="s">
        <v>31</v>
      </c>
      <c r="S406" s="85" t="s">
        <v>56</v>
      </c>
      <c r="T406" s="87" t="s">
        <v>57</v>
      </c>
      <c r="U406" s="79"/>
      <c r="V406" s="85" t="s">
        <v>68</v>
      </c>
      <c r="W406" s="87" t="s">
        <v>69</v>
      </c>
      <c r="Y406" s="85" t="s">
        <v>85</v>
      </c>
      <c r="Z406" s="86" t="s">
        <v>88</v>
      </c>
      <c r="AA406" s="87" t="s">
        <v>89</v>
      </c>
    </row>
    <row r="407" spans="1:27" ht="25.5" customHeight="1">
      <c r="A407" s="216"/>
      <c r="B407" s="217"/>
      <c r="F407" s="88" t="s">
        <v>2</v>
      </c>
      <c r="G407" s="134" t="s">
        <v>1712</v>
      </c>
      <c r="I407" s="88" t="s">
        <v>24</v>
      </c>
      <c r="J407" s="72">
        <v>9</v>
      </c>
      <c r="K407" s="89">
        <v>720</v>
      </c>
      <c r="M407" s="88" t="s">
        <v>1713</v>
      </c>
      <c r="N407" s="72" t="s">
        <v>33</v>
      </c>
      <c r="O407" s="72" t="s">
        <v>34</v>
      </c>
      <c r="P407" s="72" t="s">
        <v>35</v>
      </c>
      <c r="Q407" s="89" t="s">
        <v>1714</v>
      </c>
      <c r="S407" s="88" t="s">
        <v>58</v>
      </c>
      <c r="T407" s="89" t="s">
        <v>1659</v>
      </c>
      <c r="V407" s="88" t="s">
        <v>70</v>
      </c>
      <c r="W407" s="89" t="s">
        <v>1715</v>
      </c>
      <c r="Y407" s="88" t="s">
        <v>90</v>
      </c>
      <c r="Z407" s="72">
        <v>720</v>
      </c>
      <c r="AA407" s="89">
        <v>460</v>
      </c>
    </row>
    <row r="408" spans="1:27">
      <c r="A408" s="216"/>
      <c r="B408" s="217"/>
      <c r="F408" s="88" t="s">
        <v>4</v>
      </c>
      <c r="G408" s="112" t="s">
        <v>894</v>
      </c>
      <c r="I408" s="88" t="s">
        <v>25</v>
      </c>
      <c r="J408" s="80">
        <v>3</v>
      </c>
      <c r="K408" s="89">
        <v>210</v>
      </c>
      <c r="M408" s="88" t="s">
        <v>1716</v>
      </c>
      <c r="N408" s="72" t="s">
        <v>33</v>
      </c>
      <c r="O408" s="72" t="s">
        <v>43</v>
      </c>
      <c r="P408" s="72" t="s">
        <v>33</v>
      </c>
      <c r="Q408" s="89" t="s">
        <v>1717</v>
      </c>
      <c r="S408" s="88" t="s">
        <v>60</v>
      </c>
      <c r="T408" s="89" t="s">
        <v>1718</v>
      </c>
      <c r="V408" s="88" t="s">
        <v>73</v>
      </c>
      <c r="W408" s="89" t="s">
        <v>1719</v>
      </c>
      <c r="Y408" s="88" t="s">
        <v>91</v>
      </c>
      <c r="Z408" s="72">
        <v>210</v>
      </c>
      <c r="AA408" s="89">
        <v>360</v>
      </c>
    </row>
    <row r="409" spans="1:27">
      <c r="A409" s="216"/>
      <c r="B409" s="217"/>
      <c r="F409" s="88" t="s">
        <v>6</v>
      </c>
      <c r="G409" s="112" t="s">
        <v>895</v>
      </c>
      <c r="I409" s="90" t="s">
        <v>26</v>
      </c>
      <c r="J409" s="91"/>
      <c r="K409" s="92">
        <v>930</v>
      </c>
      <c r="M409" s="88" t="s">
        <v>1638</v>
      </c>
      <c r="N409" s="72" t="s">
        <v>33</v>
      </c>
      <c r="O409" s="72" t="s">
        <v>34</v>
      </c>
      <c r="P409" s="72" t="s">
        <v>35</v>
      </c>
      <c r="Q409" s="89" t="s">
        <v>1720</v>
      </c>
      <c r="S409" s="88" t="s">
        <v>62</v>
      </c>
      <c r="T409" s="89" t="s">
        <v>1721</v>
      </c>
      <c r="V409" s="88" t="s">
        <v>76</v>
      </c>
      <c r="W409" s="89" t="s">
        <v>1722</v>
      </c>
      <c r="Y409" s="88" t="s">
        <v>26</v>
      </c>
      <c r="Z409" s="72">
        <v>930</v>
      </c>
      <c r="AA409" s="89">
        <v>820</v>
      </c>
    </row>
    <row r="410" spans="1:27">
      <c r="A410" s="216"/>
      <c r="B410" s="217"/>
      <c r="F410" s="88" t="s">
        <v>8</v>
      </c>
      <c r="G410" s="112" t="s">
        <v>942</v>
      </c>
      <c r="M410" s="88" t="s">
        <v>1723</v>
      </c>
      <c r="N410" s="72" t="s">
        <v>33</v>
      </c>
      <c r="O410" s="72" t="s">
        <v>43</v>
      </c>
      <c r="P410" s="72" t="s">
        <v>33</v>
      </c>
      <c r="Q410" s="89" t="s">
        <v>1724</v>
      </c>
      <c r="S410" s="119" t="s">
        <v>64</v>
      </c>
      <c r="T410" s="120" t="s">
        <v>1725</v>
      </c>
      <c r="V410" s="88" t="s">
        <v>79</v>
      </c>
      <c r="W410" s="89" t="s">
        <v>1726</v>
      </c>
      <c r="Y410" s="90" t="s">
        <v>92</v>
      </c>
      <c r="Z410" s="91"/>
      <c r="AA410" s="122">
        <v>0.11799999999999999</v>
      </c>
    </row>
    <row r="411" spans="1:27">
      <c r="A411" s="216"/>
      <c r="B411" s="217"/>
      <c r="F411" s="88" t="s">
        <v>10</v>
      </c>
      <c r="G411" s="112" t="s">
        <v>1727</v>
      </c>
      <c r="M411" s="88" t="s">
        <v>1728</v>
      </c>
      <c r="N411" s="72" t="s">
        <v>33</v>
      </c>
      <c r="O411" s="72" t="s">
        <v>43</v>
      </c>
      <c r="P411" s="72" t="s">
        <v>33</v>
      </c>
      <c r="Q411" s="89" t="s">
        <v>1729</v>
      </c>
      <c r="S411" s="90" t="s">
        <v>66</v>
      </c>
      <c r="T411" s="133" t="s">
        <v>1730</v>
      </c>
      <c r="V411" s="90" t="s">
        <v>82</v>
      </c>
      <c r="W411" s="92" t="s">
        <v>1731</v>
      </c>
    </row>
    <row r="412" spans="1:27">
      <c r="A412" s="216"/>
      <c r="B412" s="217"/>
      <c r="F412" s="88" t="s">
        <v>13</v>
      </c>
      <c r="G412" s="201" t="s">
        <v>1732</v>
      </c>
      <c r="M412" s="88" t="s">
        <v>1733</v>
      </c>
      <c r="N412" s="72" t="s">
        <v>33</v>
      </c>
      <c r="O412" s="72" t="s">
        <v>43</v>
      </c>
      <c r="P412" s="72" t="s">
        <v>33</v>
      </c>
      <c r="Q412" s="89" t="s">
        <v>1734</v>
      </c>
    </row>
    <row r="413" spans="1:27">
      <c r="A413" s="216"/>
      <c r="B413" s="217"/>
      <c r="F413" s="88" t="s">
        <v>15</v>
      </c>
      <c r="G413" s="112" t="s">
        <v>1735</v>
      </c>
      <c r="M413" s="88" t="s">
        <v>1375</v>
      </c>
      <c r="N413" s="72" t="s">
        <v>33</v>
      </c>
      <c r="O413" s="72" t="s">
        <v>34</v>
      </c>
      <c r="P413" s="72" t="s">
        <v>35</v>
      </c>
      <c r="Q413" s="89" t="s">
        <v>1736</v>
      </c>
    </row>
    <row r="414" spans="1:27">
      <c r="A414" s="216"/>
      <c r="B414" s="217"/>
      <c r="F414" s="88" t="s">
        <v>17</v>
      </c>
      <c r="G414" s="113">
        <v>46126</v>
      </c>
      <c r="M414" s="88" t="s">
        <v>1553</v>
      </c>
      <c r="N414" s="72" t="s">
        <v>33</v>
      </c>
      <c r="O414" s="72" t="s">
        <v>43</v>
      </c>
      <c r="P414" s="72" t="s">
        <v>33</v>
      </c>
      <c r="Q414" s="89" t="s">
        <v>1641</v>
      </c>
    </row>
    <row r="415" spans="1:27">
      <c r="A415" s="218"/>
      <c r="B415" s="219"/>
      <c r="F415" s="90" t="s">
        <v>18</v>
      </c>
      <c r="G415" s="114" t="s">
        <v>19</v>
      </c>
      <c r="M415" s="88" t="s">
        <v>1737</v>
      </c>
      <c r="N415" s="72" t="s">
        <v>33</v>
      </c>
      <c r="O415" s="72" t="s">
        <v>34</v>
      </c>
      <c r="P415" s="72" t="s">
        <v>35</v>
      </c>
      <c r="Q415" s="89" t="s">
        <v>1738</v>
      </c>
    </row>
    <row r="416" spans="1:27">
      <c r="M416" s="88" t="s">
        <v>1739</v>
      </c>
      <c r="N416" s="72" t="s">
        <v>35</v>
      </c>
      <c r="O416" s="72" t="s">
        <v>52</v>
      </c>
      <c r="P416" s="72" t="s">
        <v>35</v>
      </c>
      <c r="Q416" s="89" t="s">
        <v>1740</v>
      </c>
    </row>
    <row r="417" spans="1:27">
      <c r="M417" s="88" t="s">
        <v>924</v>
      </c>
      <c r="N417" s="72" t="s">
        <v>35</v>
      </c>
      <c r="O417" s="72" t="s">
        <v>52</v>
      </c>
      <c r="P417" s="72" t="s">
        <v>35</v>
      </c>
      <c r="Q417" s="89" t="s">
        <v>1741</v>
      </c>
    </row>
    <row r="418" spans="1:27">
      <c r="M418" s="90" t="s">
        <v>1681</v>
      </c>
      <c r="N418" s="91" t="s">
        <v>35</v>
      </c>
      <c r="O418" s="91" t="s">
        <v>52</v>
      </c>
      <c r="P418" s="91" t="s">
        <v>35</v>
      </c>
      <c r="Q418" s="92" t="s">
        <v>1742</v>
      </c>
    </row>
    <row r="422" spans="1:27">
      <c r="A422" s="214" t="s">
        <v>253</v>
      </c>
      <c r="B422" s="215"/>
      <c r="F422" s="85" t="s">
        <v>0</v>
      </c>
      <c r="G422" s="118" t="s">
        <v>1</v>
      </c>
      <c r="I422" s="85" t="s">
        <v>20</v>
      </c>
      <c r="J422" s="86" t="s">
        <v>21</v>
      </c>
      <c r="K422" s="87" t="s">
        <v>23</v>
      </c>
      <c r="M422" s="85" t="s">
        <v>27</v>
      </c>
      <c r="N422" s="86" t="s">
        <v>28</v>
      </c>
      <c r="O422" s="86" t="s">
        <v>29</v>
      </c>
      <c r="P422" s="86" t="s">
        <v>30</v>
      </c>
      <c r="Q422" s="87" t="s">
        <v>31</v>
      </c>
      <c r="S422" s="85" t="s">
        <v>56</v>
      </c>
      <c r="T422" s="87" t="s">
        <v>57</v>
      </c>
      <c r="U422" s="79"/>
      <c r="V422" s="85" t="s">
        <v>68</v>
      </c>
      <c r="W422" s="87" t="s">
        <v>69</v>
      </c>
      <c r="Y422" s="85" t="s">
        <v>85</v>
      </c>
      <c r="Z422" s="86" t="s">
        <v>88</v>
      </c>
      <c r="AA422" s="87" t="s">
        <v>89</v>
      </c>
    </row>
    <row r="423" spans="1:27">
      <c r="A423" s="216"/>
      <c r="B423" s="217"/>
      <c r="F423" s="88" t="s">
        <v>2</v>
      </c>
      <c r="G423" s="134" t="s">
        <v>1743</v>
      </c>
      <c r="I423" s="88" t="s">
        <v>24</v>
      </c>
      <c r="J423" s="72">
        <v>6</v>
      </c>
      <c r="K423" s="89">
        <v>480</v>
      </c>
      <c r="M423" s="88" t="s">
        <v>899</v>
      </c>
      <c r="N423" s="72" t="s">
        <v>33</v>
      </c>
      <c r="O423" s="72" t="s">
        <v>43</v>
      </c>
      <c r="P423" s="72" t="s">
        <v>33</v>
      </c>
      <c r="Q423" s="89" t="s">
        <v>1744</v>
      </c>
      <c r="S423" s="88" t="s">
        <v>58</v>
      </c>
      <c r="T423" s="89" t="s">
        <v>1745</v>
      </c>
      <c r="V423" s="88" t="s">
        <v>70</v>
      </c>
      <c r="W423" s="89" t="s">
        <v>1746</v>
      </c>
      <c r="Y423" s="88" t="s">
        <v>90</v>
      </c>
      <c r="Z423" s="72">
        <v>480</v>
      </c>
      <c r="AA423" s="89">
        <v>300</v>
      </c>
    </row>
    <row r="424" spans="1:27">
      <c r="A424" s="216"/>
      <c r="B424" s="217"/>
      <c r="F424" s="88" t="s">
        <v>4</v>
      </c>
      <c r="G424" s="112" t="s">
        <v>894</v>
      </c>
      <c r="I424" s="88" t="s">
        <v>25</v>
      </c>
      <c r="J424" s="80">
        <v>4</v>
      </c>
      <c r="K424" s="89">
        <v>260</v>
      </c>
      <c r="M424" s="88" t="s">
        <v>1747</v>
      </c>
      <c r="N424" s="72" t="s">
        <v>33</v>
      </c>
      <c r="O424" s="72" t="s">
        <v>34</v>
      </c>
      <c r="P424" s="72" t="s">
        <v>35</v>
      </c>
      <c r="Q424" s="89" t="s">
        <v>1748</v>
      </c>
      <c r="S424" s="88" t="s">
        <v>60</v>
      </c>
      <c r="T424" s="89" t="s">
        <v>1749</v>
      </c>
      <c r="V424" s="88" t="s">
        <v>73</v>
      </c>
      <c r="W424" s="89" t="s">
        <v>1750</v>
      </c>
      <c r="Y424" s="88" t="s">
        <v>91</v>
      </c>
      <c r="Z424" s="72">
        <v>260</v>
      </c>
      <c r="AA424" s="89">
        <v>360</v>
      </c>
    </row>
    <row r="425" spans="1:27">
      <c r="A425" s="216"/>
      <c r="B425" s="217"/>
      <c r="F425" s="88" t="s">
        <v>6</v>
      </c>
      <c r="G425" s="112" t="s">
        <v>1484</v>
      </c>
      <c r="I425" s="90" t="s">
        <v>26</v>
      </c>
      <c r="J425" s="91"/>
      <c r="K425" s="92">
        <v>740</v>
      </c>
      <c r="M425" s="88" t="s">
        <v>1751</v>
      </c>
      <c r="N425" s="72" t="s">
        <v>33</v>
      </c>
      <c r="O425" s="72" t="s">
        <v>43</v>
      </c>
      <c r="P425" s="72" t="s">
        <v>33</v>
      </c>
      <c r="Q425" s="89" t="s">
        <v>1752</v>
      </c>
      <c r="S425" s="88" t="s">
        <v>62</v>
      </c>
      <c r="T425" s="89" t="s">
        <v>1753</v>
      </c>
      <c r="V425" s="88" t="s">
        <v>76</v>
      </c>
      <c r="W425" s="89" t="s">
        <v>1754</v>
      </c>
      <c r="Y425" s="88" t="s">
        <v>26</v>
      </c>
      <c r="Z425" s="72">
        <v>740</v>
      </c>
      <c r="AA425" s="89">
        <v>660</v>
      </c>
    </row>
    <row r="426" spans="1:27">
      <c r="A426" s="216"/>
      <c r="B426" s="217"/>
      <c r="F426" s="88" t="s">
        <v>8</v>
      </c>
      <c r="G426" s="112" t="s">
        <v>1755</v>
      </c>
      <c r="M426" s="88" t="s">
        <v>1756</v>
      </c>
      <c r="N426" s="72" t="s">
        <v>33</v>
      </c>
      <c r="O426" s="72" t="s">
        <v>34</v>
      </c>
      <c r="P426" s="72" t="s">
        <v>35</v>
      </c>
      <c r="Q426" s="89" t="s">
        <v>1757</v>
      </c>
      <c r="S426" s="119" t="s">
        <v>64</v>
      </c>
      <c r="T426" s="120" t="s">
        <v>1758</v>
      </c>
      <c r="V426" s="88" t="s">
        <v>79</v>
      </c>
      <c r="W426" s="89" t="s">
        <v>1759</v>
      </c>
      <c r="Y426" s="90" t="s">
        <v>92</v>
      </c>
      <c r="Z426" s="91"/>
      <c r="AA426" s="122">
        <v>0.108</v>
      </c>
    </row>
    <row r="427" spans="1:27">
      <c r="A427" s="216"/>
      <c r="B427" s="217"/>
      <c r="F427" s="88" t="s">
        <v>10</v>
      </c>
      <c r="G427" s="112" t="s">
        <v>1760</v>
      </c>
      <c r="M427" s="88" t="s">
        <v>1761</v>
      </c>
      <c r="N427" s="72" t="s">
        <v>33</v>
      </c>
      <c r="O427" s="72" t="s">
        <v>43</v>
      </c>
      <c r="P427" s="72" t="s">
        <v>33</v>
      </c>
      <c r="Q427" s="89" t="s">
        <v>1762</v>
      </c>
      <c r="S427" s="90" t="s">
        <v>66</v>
      </c>
      <c r="T427" s="133" t="s">
        <v>1763</v>
      </c>
      <c r="V427" s="90" t="s">
        <v>82</v>
      </c>
      <c r="W427" s="92" t="s">
        <v>1764</v>
      </c>
    </row>
    <row r="428" spans="1:27" ht="30.75">
      <c r="A428" s="216"/>
      <c r="B428" s="217"/>
      <c r="F428" s="88" t="s">
        <v>13</v>
      </c>
      <c r="G428" s="210" t="s">
        <v>1465</v>
      </c>
      <c r="M428" s="88" t="s">
        <v>916</v>
      </c>
      <c r="N428" s="72" t="s">
        <v>33</v>
      </c>
      <c r="O428" s="72" t="s">
        <v>43</v>
      </c>
      <c r="P428" s="72" t="s">
        <v>33</v>
      </c>
      <c r="Q428" s="89" t="s">
        <v>1765</v>
      </c>
    </row>
    <row r="429" spans="1:27">
      <c r="A429" s="216"/>
      <c r="B429" s="217"/>
      <c r="F429" s="88" t="s">
        <v>15</v>
      </c>
      <c r="G429" s="112" t="s">
        <v>1766</v>
      </c>
      <c r="M429" s="88" t="s">
        <v>1767</v>
      </c>
      <c r="N429" s="72" t="s">
        <v>35</v>
      </c>
      <c r="O429" s="72" t="s">
        <v>52</v>
      </c>
      <c r="P429" s="72" t="s">
        <v>35</v>
      </c>
      <c r="Q429" s="89" t="s">
        <v>55</v>
      </c>
    </row>
    <row r="430" spans="1:27">
      <c r="A430" s="216"/>
      <c r="B430" s="217"/>
      <c r="F430" s="88" t="s">
        <v>17</v>
      </c>
      <c r="G430" s="113">
        <v>46126</v>
      </c>
      <c r="M430" s="88" t="s">
        <v>1768</v>
      </c>
      <c r="N430" s="72" t="s">
        <v>35</v>
      </c>
      <c r="O430" s="72" t="s">
        <v>52</v>
      </c>
      <c r="P430" s="72" t="s">
        <v>35</v>
      </c>
      <c r="Q430" s="89" t="s">
        <v>1769</v>
      </c>
    </row>
    <row r="431" spans="1:27">
      <c r="A431" s="218"/>
      <c r="B431" s="219"/>
      <c r="F431" s="90" t="s">
        <v>18</v>
      </c>
      <c r="G431" s="114" t="s">
        <v>19</v>
      </c>
      <c r="M431" s="88" t="s">
        <v>979</v>
      </c>
      <c r="N431" s="72" t="s">
        <v>35</v>
      </c>
      <c r="O431" s="72" t="s">
        <v>52</v>
      </c>
      <c r="P431" s="72" t="s">
        <v>35</v>
      </c>
      <c r="Q431" s="89" t="s">
        <v>1770</v>
      </c>
    </row>
    <row r="432" spans="1:27">
      <c r="M432" s="90" t="s">
        <v>1771</v>
      </c>
      <c r="N432" s="91" t="s">
        <v>35</v>
      </c>
      <c r="O432" s="91" t="s">
        <v>52</v>
      </c>
      <c r="P432" s="91" t="s">
        <v>35</v>
      </c>
      <c r="Q432" s="92" t="s">
        <v>1772</v>
      </c>
    </row>
    <row r="435" spans="1:27">
      <c r="A435" s="214" t="s">
        <v>255</v>
      </c>
      <c r="B435" s="215"/>
      <c r="F435" s="85" t="s">
        <v>0</v>
      </c>
      <c r="G435" s="118" t="s">
        <v>1</v>
      </c>
      <c r="I435" s="85" t="s">
        <v>20</v>
      </c>
      <c r="J435" s="86" t="s">
        <v>21</v>
      </c>
      <c r="K435" s="87" t="s">
        <v>23</v>
      </c>
      <c r="M435" s="85" t="s">
        <v>27</v>
      </c>
      <c r="N435" s="86" t="s">
        <v>28</v>
      </c>
      <c r="O435" s="86" t="s">
        <v>29</v>
      </c>
      <c r="P435" s="86" t="s">
        <v>30</v>
      </c>
      <c r="Q435" s="87" t="s">
        <v>31</v>
      </c>
      <c r="S435" s="85" t="s">
        <v>56</v>
      </c>
      <c r="T435" s="87" t="s">
        <v>57</v>
      </c>
      <c r="U435" s="79"/>
      <c r="V435" s="85" t="s">
        <v>68</v>
      </c>
      <c r="W435" s="87" t="s">
        <v>69</v>
      </c>
      <c r="Y435" s="85" t="s">
        <v>85</v>
      </c>
      <c r="Z435" s="86" t="s">
        <v>88</v>
      </c>
      <c r="AA435" s="87" t="s">
        <v>89</v>
      </c>
    </row>
    <row r="436" spans="1:27">
      <c r="A436" s="216"/>
      <c r="B436" s="217"/>
      <c r="F436" s="88" t="s">
        <v>2</v>
      </c>
      <c r="G436" s="134" t="s">
        <v>1773</v>
      </c>
      <c r="I436" s="88" t="s">
        <v>24</v>
      </c>
      <c r="J436" s="72">
        <v>4</v>
      </c>
      <c r="K436" s="89">
        <v>260</v>
      </c>
      <c r="M436" s="88" t="s">
        <v>1037</v>
      </c>
      <c r="N436" s="72" t="s">
        <v>33</v>
      </c>
      <c r="O436" s="72" t="s">
        <v>34</v>
      </c>
      <c r="P436" s="72" t="s">
        <v>35</v>
      </c>
      <c r="Q436" s="89" t="s">
        <v>1774</v>
      </c>
      <c r="S436" s="88" t="s">
        <v>58</v>
      </c>
      <c r="T436" s="89" t="s">
        <v>1775</v>
      </c>
      <c r="V436" s="88" t="s">
        <v>70</v>
      </c>
      <c r="W436" s="89" t="s">
        <v>1776</v>
      </c>
      <c r="Y436" s="88" t="s">
        <v>90</v>
      </c>
      <c r="Z436" s="72">
        <v>260</v>
      </c>
      <c r="AA436" s="89">
        <v>150</v>
      </c>
    </row>
    <row r="437" spans="1:27">
      <c r="A437" s="216"/>
      <c r="B437" s="217"/>
      <c r="F437" s="88" t="s">
        <v>4</v>
      </c>
      <c r="G437" s="112" t="s">
        <v>894</v>
      </c>
      <c r="I437" s="88" t="s">
        <v>25</v>
      </c>
      <c r="J437" s="80">
        <v>5</v>
      </c>
      <c r="K437" s="89">
        <v>310</v>
      </c>
      <c r="M437" s="88" t="s">
        <v>1777</v>
      </c>
      <c r="N437" s="72" t="s">
        <v>33</v>
      </c>
      <c r="O437" s="72" t="s">
        <v>34</v>
      </c>
      <c r="P437" s="72" t="s">
        <v>35</v>
      </c>
      <c r="Q437" s="89" t="s">
        <v>1778</v>
      </c>
      <c r="S437" s="88" t="s">
        <v>60</v>
      </c>
      <c r="T437" s="89" t="s">
        <v>1779</v>
      </c>
      <c r="V437" s="88" t="s">
        <v>73</v>
      </c>
      <c r="W437" s="89" t="s">
        <v>1780</v>
      </c>
      <c r="Y437" s="88" t="s">
        <v>91</v>
      </c>
      <c r="Z437" s="72">
        <v>310</v>
      </c>
      <c r="AA437" s="89">
        <v>360</v>
      </c>
    </row>
    <row r="438" spans="1:27">
      <c r="A438" s="216"/>
      <c r="B438" s="217"/>
      <c r="F438" s="88" t="s">
        <v>6</v>
      </c>
      <c r="G438" s="112" t="s">
        <v>895</v>
      </c>
      <c r="I438" s="90" t="s">
        <v>26</v>
      </c>
      <c r="J438" s="91"/>
      <c r="K438" s="92">
        <v>570</v>
      </c>
      <c r="M438" s="88" t="s">
        <v>1553</v>
      </c>
      <c r="N438" s="72" t="s">
        <v>33</v>
      </c>
      <c r="O438" s="72" t="s">
        <v>43</v>
      </c>
      <c r="P438" s="72" t="s">
        <v>33</v>
      </c>
      <c r="Q438" s="89" t="s">
        <v>1781</v>
      </c>
      <c r="S438" s="88" t="s">
        <v>62</v>
      </c>
      <c r="T438" s="89" t="s">
        <v>1782</v>
      </c>
      <c r="V438" s="88" t="s">
        <v>76</v>
      </c>
      <c r="W438" s="89" t="s">
        <v>1783</v>
      </c>
      <c r="Y438" s="88" t="s">
        <v>26</v>
      </c>
      <c r="Z438" s="72">
        <v>570</v>
      </c>
      <c r="AA438" s="89">
        <v>510</v>
      </c>
    </row>
    <row r="439" spans="1:27">
      <c r="A439" s="216"/>
      <c r="B439" s="217"/>
      <c r="F439" s="88" t="s">
        <v>8</v>
      </c>
      <c r="G439" s="112" t="s">
        <v>1298</v>
      </c>
      <c r="M439" s="88" t="s">
        <v>42</v>
      </c>
      <c r="N439" s="72" t="s">
        <v>33</v>
      </c>
      <c r="O439" s="72" t="s">
        <v>43</v>
      </c>
      <c r="P439" s="72" t="s">
        <v>33</v>
      </c>
      <c r="Q439" s="89" t="s">
        <v>1784</v>
      </c>
      <c r="S439" s="119" t="s">
        <v>64</v>
      </c>
      <c r="T439" s="120" t="s">
        <v>1785</v>
      </c>
      <c r="V439" s="88" t="s">
        <v>79</v>
      </c>
      <c r="W439" s="89" t="s">
        <v>1584</v>
      </c>
      <c r="Y439" s="90" t="s">
        <v>92</v>
      </c>
      <c r="Z439" s="91"/>
      <c r="AA439" s="122">
        <v>0.105</v>
      </c>
    </row>
    <row r="440" spans="1:27">
      <c r="A440" s="216"/>
      <c r="B440" s="217"/>
      <c r="F440" s="88" t="s">
        <v>10</v>
      </c>
      <c r="G440" s="112" t="s">
        <v>12</v>
      </c>
      <c r="M440" s="88" t="s">
        <v>1786</v>
      </c>
      <c r="N440" s="72" t="s">
        <v>33</v>
      </c>
      <c r="O440" s="72" t="s">
        <v>43</v>
      </c>
      <c r="P440" s="72" t="s">
        <v>33</v>
      </c>
      <c r="Q440" s="89" t="s">
        <v>1787</v>
      </c>
      <c r="S440" s="90" t="s">
        <v>66</v>
      </c>
      <c r="T440" s="133" t="s">
        <v>1788</v>
      </c>
      <c r="V440" s="90" t="s">
        <v>82</v>
      </c>
      <c r="W440" s="92" t="s">
        <v>1789</v>
      </c>
    </row>
    <row r="441" spans="1:27">
      <c r="A441" s="216"/>
      <c r="B441" s="217"/>
      <c r="F441" s="88" t="s">
        <v>13</v>
      </c>
      <c r="G441" s="201" t="s">
        <v>1790</v>
      </c>
      <c r="M441" s="88" t="s">
        <v>1791</v>
      </c>
      <c r="N441" s="72" t="s">
        <v>35</v>
      </c>
      <c r="O441" s="72" t="s">
        <v>52</v>
      </c>
      <c r="P441" s="72" t="s">
        <v>35</v>
      </c>
      <c r="Q441" s="89" t="s">
        <v>1792</v>
      </c>
    </row>
    <row r="442" spans="1:27">
      <c r="A442" s="216"/>
      <c r="B442" s="217"/>
      <c r="F442" s="88" t="s">
        <v>15</v>
      </c>
      <c r="G442" s="112" t="s">
        <v>1793</v>
      </c>
      <c r="M442" s="88" t="s">
        <v>1794</v>
      </c>
      <c r="N442" s="72" t="s">
        <v>35</v>
      </c>
      <c r="O442" s="72" t="s">
        <v>52</v>
      </c>
      <c r="P442" s="72" t="s">
        <v>35</v>
      </c>
      <c r="Q442" s="89" t="s">
        <v>1795</v>
      </c>
    </row>
    <row r="443" spans="1:27">
      <c r="A443" s="216"/>
      <c r="B443" s="217"/>
      <c r="F443" s="88" t="s">
        <v>17</v>
      </c>
      <c r="G443" s="113">
        <v>46126</v>
      </c>
      <c r="M443" s="88" t="s">
        <v>1796</v>
      </c>
      <c r="N443" s="72" t="s">
        <v>35</v>
      </c>
      <c r="O443" s="72" t="s">
        <v>52</v>
      </c>
      <c r="P443" s="72" t="s">
        <v>35</v>
      </c>
      <c r="Q443" s="89" t="s">
        <v>1797</v>
      </c>
    </row>
    <row r="444" spans="1:27">
      <c r="A444" s="218"/>
      <c r="B444" s="219"/>
      <c r="F444" s="90" t="s">
        <v>18</v>
      </c>
      <c r="G444" s="114" t="s">
        <v>19</v>
      </c>
      <c r="M444" s="88" t="s">
        <v>1182</v>
      </c>
      <c r="N444" s="72" t="s">
        <v>35</v>
      </c>
      <c r="O444" s="72" t="s">
        <v>52</v>
      </c>
      <c r="P444" s="72" t="s">
        <v>35</v>
      </c>
      <c r="Q444" s="89" t="s">
        <v>1798</v>
      </c>
    </row>
    <row r="445" spans="1:27">
      <c r="M445" s="90" t="s">
        <v>1799</v>
      </c>
      <c r="N445" s="91" t="s">
        <v>35</v>
      </c>
      <c r="O445" s="91" t="s">
        <v>52</v>
      </c>
      <c r="P445" s="91" t="s">
        <v>35</v>
      </c>
      <c r="Q445" s="92" t="s">
        <v>1800</v>
      </c>
    </row>
    <row r="449" spans="1:27">
      <c r="A449" s="214" t="s">
        <v>257</v>
      </c>
      <c r="B449" s="215"/>
      <c r="F449" s="85" t="s">
        <v>0</v>
      </c>
      <c r="G449" s="118" t="s">
        <v>1</v>
      </c>
      <c r="I449" s="85" t="s">
        <v>20</v>
      </c>
      <c r="J449" s="86" t="s">
        <v>21</v>
      </c>
      <c r="K449" s="87" t="s">
        <v>23</v>
      </c>
      <c r="M449" s="85" t="s">
        <v>27</v>
      </c>
      <c r="N449" s="86" t="s">
        <v>28</v>
      </c>
      <c r="O449" s="86" t="s">
        <v>29</v>
      </c>
      <c r="P449" s="86" t="s">
        <v>30</v>
      </c>
      <c r="Q449" s="87" t="s">
        <v>31</v>
      </c>
      <c r="S449" s="85" t="s">
        <v>56</v>
      </c>
      <c r="T449" s="87" t="s">
        <v>57</v>
      </c>
      <c r="U449" s="79"/>
      <c r="V449" s="85" t="s">
        <v>68</v>
      </c>
      <c r="W449" s="87" t="s">
        <v>69</v>
      </c>
      <c r="Y449" s="85" t="s">
        <v>85</v>
      </c>
      <c r="Z449" s="86" t="s">
        <v>88</v>
      </c>
      <c r="AA449" s="87" t="s">
        <v>89</v>
      </c>
    </row>
    <row r="450" spans="1:27">
      <c r="A450" s="216"/>
      <c r="B450" s="217"/>
      <c r="F450" s="88" t="s">
        <v>2</v>
      </c>
      <c r="G450" s="134" t="s">
        <v>1801</v>
      </c>
      <c r="I450" s="88" t="s">
        <v>24</v>
      </c>
      <c r="J450" s="72">
        <v>6</v>
      </c>
      <c r="K450" s="89">
        <v>390</v>
      </c>
      <c r="M450" s="88" t="s">
        <v>1802</v>
      </c>
      <c r="N450" s="72" t="s">
        <v>33</v>
      </c>
      <c r="O450" s="72" t="s">
        <v>34</v>
      </c>
      <c r="P450" s="72" t="s">
        <v>35</v>
      </c>
      <c r="Q450" s="89" t="s">
        <v>908</v>
      </c>
      <c r="S450" s="88" t="s">
        <v>58</v>
      </c>
      <c r="T450" s="89" t="s">
        <v>1803</v>
      </c>
      <c r="V450" s="88" t="s">
        <v>70</v>
      </c>
      <c r="W450" s="89" t="s">
        <v>1804</v>
      </c>
      <c r="Y450" s="88" t="s">
        <v>90</v>
      </c>
      <c r="Z450" s="72">
        <v>390</v>
      </c>
      <c r="AA450" s="89">
        <v>230</v>
      </c>
    </row>
    <row r="451" spans="1:27">
      <c r="A451" s="216"/>
      <c r="B451" s="217"/>
      <c r="F451" s="88" t="s">
        <v>4</v>
      </c>
      <c r="G451" s="112" t="s">
        <v>894</v>
      </c>
      <c r="I451" s="88" t="s">
        <v>25</v>
      </c>
      <c r="J451" s="80">
        <v>4</v>
      </c>
      <c r="K451" s="89">
        <v>240</v>
      </c>
      <c r="M451" s="88" t="s">
        <v>47</v>
      </c>
      <c r="N451" s="72" t="s">
        <v>33</v>
      </c>
      <c r="O451" s="72" t="s">
        <v>43</v>
      </c>
      <c r="P451" s="72" t="s">
        <v>33</v>
      </c>
      <c r="Q451" s="89" t="s">
        <v>1805</v>
      </c>
      <c r="S451" s="88" t="s">
        <v>60</v>
      </c>
      <c r="T451" s="89" t="s">
        <v>1806</v>
      </c>
      <c r="V451" s="88" t="s">
        <v>73</v>
      </c>
      <c r="W451" s="89" t="s">
        <v>1807</v>
      </c>
      <c r="Y451" s="88" t="s">
        <v>91</v>
      </c>
      <c r="Z451" s="72">
        <v>240</v>
      </c>
      <c r="AA451" s="89">
        <v>320</v>
      </c>
    </row>
    <row r="452" spans="1:27">
      <c r="A452" s="216"/>
      <c r="B452" s="217"/>
      <c r="F452" s="88" t="s">
        <v>6</v>
      </c>
      <c r="G452" s="112" t="s">
        <v>1484</v>
      </c>
      <c r="I452" s="90" t="s">
        <v>26</v>
      </c>
      <c r="J452" s="91"/>
      <c r="K452" s="92">
        <v>630</v>
      </c>
      <c r="M452" s="88" t="s">
        <v>1638</v>
      </c>
      <c r="N452" s="72" t="s">
        <v>33</v>
      </c>
      <c r="O452" s="72" t="s">
        <v>34</v>
      </c>
      <c r="P452" s="72" t="s">
        <v>35</v>
      </c>
      <c r="Q452" s="89" t="s">
        <v>1808</v>
      </c>
      <c r="S452" s="88" t="s">
        <v>62</v>
      </c>
      <c r="T452" s="89" t="s">
        <v>1809</v>
      </c>
      <c r="V452" s="88" t="s">
        <v>76</v>
      </c>
      <c r="W452" s="89" t="s">
        <v>1640</v>
      </c>
      <c r="Y452" s="88" t="s">
        <v>26</v>
      </c>
      <c r="Z452" s="72">
        <v>630</v>
      </c>
      <c r="AA452" s="89">
        <v>550</v>
      </c>
    </row>
    <row r="453" spans="1:27">
      <c r="A453" s="216"/>
      <c r="B453" s="217"/>
      <c r="F453" s="88" t="s">
        <v>8</v>
      </c>
      <c r="G453" s="112" t="s">
        <v>1810</v>
      </c>
      <c r="M453" s="88" t="s">
        <v>1135</v>
      </c>
      <c r="N453" s="72" t="s">
        <v>33</v>
      </c>
      <c r="O453" s="72" t="s">
        <v>43</v>
      </c>
      <c r="P453" s="72" t="s">
        <v>33</v>
      </c>
      <c r="Q453" s="89" t="s">
        <v>1811</v>
      </c>
      <c r="S453" s="119" t="s">
        <v>64</v>
      </c>
      <c r="T453" s="120" t="s">
        <v>1812</v>
      </c>
      <c r="V453" s="88" t="s">
        <v>79</v>
      </c>
      <c r="W453" s="89" t="s">
        <v>1759</v>
      </c>
      <c r="Y453" s="90" t="s">
        <v>92</v>
      </c>
      <c r="Z453" s="91"/>
      <c r="AA453" s="122">
        <v>0.127</v>
      </c>
    </row>
    <row r="454" spans="1:27">
      <c r="A454" s="216"/>
      <c r="B454" s="217"/>
      <c r="F454" s="88" t="s">
        <v>10</v>
      </c>
      <c r="G454" s="112" t="s">
        <v>12</v>
      </c>
      <c r="M454" s="88" t="s">
        <v>1813</v>
      </c>
      <c r="N454" s="72" t="s">
        <v>33</v>
      </c>
      <c r="O454" s="72" t="s">
        <v>34</v>
      </c>
      <c r="P454" s="72" t="s">
        <v>35</v>
      </c>
      <c r="Q454" s="89" t="s">
        <v>1814</v>
      </c>
      <c r="S454" s="90" t="s">
        <v>66</v>
      </c>
      <c r="T454" s="133" t="s">
        <v>1815</v>
      </c>
      <c r="V454" s="90" t="s">
        <v>82</v>
      </c>
      <c r="W454" s="92" t="s">
        <v>1816</v>
      </c>
    </row>
    <row r="455" spans="1:27">
      <c r="A455" s="216"/>
      <c r="B455" s="217"/>
      <c r="F455" s="88" t="s">
        <v>13</v>
      </c>
      <c r="G455" s="201" t="s">
        <v>1817</v>
      </c>
      <c r="M455" s="88" t="s">
        <v>49</v>
      </c>
      <c r="N455" s="72" t="s">
        <v>33</v>
      </c>
      <c r="O455" s="72" t="s">
        <v>43</v>
      </c>
      <c r="P455" s="72" t="s">
        <v>33</v>
      </c>
      <c r="Q455" s="89" t="s">
        <v>1818</v>
      </c>
    </row>
    <row r="456" spans="1:27">
      <c r="A456" s="216"/>
      <c r="B456" s="217"/>
      <c r="F456" s="88" t="s">
        <v>15</v>
      </c>
      <c r="G456" s="112" t="s">
        <v>1819</v>
      </c>
      <c r="M456" s="88" t="s">
        <v>1820</v>
      </c>
      <c r="N456" s="72" t="s">
        <v>35</v>
      </c>
      <c r="O456" s="72" t="s">
        <v>52</v>
      </c>
      <c r="P456" s="72" t="s">
        <v>35</v>
      </c>
      <c r="Q456" s="89" t="s">
        <v>1821</v>
      </c>
    </row>
    <row r="457" spans="1:27">
      <c r="A457" s="216"/>
      <c r="B457" s="217"/>
      <c r="F457" s="88" t="s">
        <v>17</v>
      </c>
      <c r="G457" s="113">
        <v>46126</v>
      </c>
      <c r="M457" s="88" t="s">
        <v>1245</v>
      </c>
      <c r="N457" s="72" t="s">
        <v>35</v>
      </c>
      <c r="O457" s="72" t="s">
        <v>52</v>
      </c>
      <c r="P457" s="72" t="s">
        <v>35</v>
      </c>
      <c r="Q457" s="89" t="s">
        <v>1822</v>
      </c>
    </row>
    <row r="458" spans="1:27">
      <c r="A458" s="218"/>
      <c r="B458" s="219"/>
      <c r="F458" s="90" t="s">
        <v>18</v>
      </c>
      <c r="G458" s="114" t="s">
        <v>19</v>
      </c>
      <c r="M458" s="88" t="s">
        <v>1823</v>
      </c>
      <c r="N458" s="72" t="s">
        <v>35</v>
      </c>
      <c r="O458" s="72" t="s">
        <v>52</v>
      </c>
      <c r="P458" s="72" t="s">
        <v>35</v>
      </c>
      <c r="Q458" s="89" t="s">
        <v>1824</v>
      </c>
    </row>
    <row r="459" spans="1:27">
      <c r="M459" s="90" t="s">
        <v>1825</v>
      </c>
      <c r="N459" s="91" t="s">
        <v>35</v>
      </c>
      <c r="O459" s="91" t="s">
        <v>52</v>
      </c>
      <c r="P459" s="91" t="s">
        <v>35</v>
      </c>
      <c r="Q459" s="92" t="s">
        <v>1826</v>
      </c>
    </row>
    <row r="463" spans="1:27">
      <c r="A463" s="214" t="s">
        <v>261</v>
      </c>
      <c r="B463" s="215"/>
      <c r="F463" s="85" t="s">
        <v>0</v>
      </c>
      <c r="G463" s="118" t="s">
        <v>1</v>
      </c>
      <c r="I463" s="85" t="s">
        <v>20</v>
      </c>
      <c r="J463" s="86" t="s">
        <v>21</v>
      </c>
      <c r="K463" s="87" t="s">
        <v>23</v>
      </c>
      <c r="M463" s="85" t="s">
        <v>27</v>
      </c>
      <c r="N463" s="86" t="s">
        <v>28</v>
      </c>
      <c r="O463" s="86" t="s">
        <v>29</v>
      </c>
      <c r="P463" s="86" t="s">
        <v>30</v>
      </c>
      <c r="Q463" s="87" t="s">
        <v>31</v>
      </c>
      <c r="S463" s="85" t="s">
        <v>56</v>
      </c>
      <c r="T463" s="87" t="s">
        <v>57</v>
      </c>
      <c r="U463" s="79"/>
      <c r="V463" s="85" t="s">
        <v>68</v>
      </c>
      <c r="W463" s="87" t="s">
        <v>69</v>
      </c>
      <c r="Y463" s="85" t="s">
        <v>85</v>
      </c>
      <c r="Z463" s="86" t="s">
        <v>88</v>
      </c>
      <c r="AA463" s="87" t="s">
        <v>89</v>
      </c>
    </row>
    <row r="464" spans="1:27">
      <c r="A464" s="216"/>
      <c r="B464" s="217"/>
      <c r="F464" s="88" t="s">
        <v>2</v>
      </c>
      <c r="G464" s="134" t="s">
        <v>1827</v>
      </c>
      <c r="I464" s="88" t="s">
        <v>24</v>
      </c>
      <c r="J464" s="72">
        <v>6</v>
      </c>
      <c r="K464" s="89">
        <v>440</v>
      </c>
      <c r="M464" s="88" t="s">
        <v>1828</v>
      </c>
      <c r="N464" s="72" t="s">
        <v>33</v>
      </c>
      <c r="O464" s="72" t="s">
        <v>34</v>
      </c>
      <c r="P464" s="72" t="s">
        <v>35</v>
      </c>
      <c r="Q464" s="89" t="s">
        <v>1829</v>
      </c>
      <c r="S464" s="88" t="s">
        <v>58</v>
      </c>
      <c r="T464" s="89" t="s">
        <v>1830</v>
      </c>
      <c r="V464" s="138" t="s">
        <v>70</v>
      </c>
      <c r="W464" s="139" t="s">
        <v>1831</v>
      </c>
      <c r="Y464" s="138" t="s">
        <v>90</v>
      </c>
      <c r="Z464" s="137">
        <v>440</v>
      </c>
      <c r="AA464" s="139">
        <v>260</v>
      </c>
    </row>
    <row r="465" spans="1:27">
      <c r="A465" s="216"/>
      <c r="B465" s="217"/>
      <c r="F465" s="88" t="s">
        <v>4</v>
      </c>
      <c r="G465" s="112" t="s">
        <v>894</v>
      </c>
      <c r="I465" s="88" t="s">
        <v>25</v>
      </c>
      <c r="J465" s="80">
        <v>5</v>
      </c>
      <c r="K465" s="89">
        <v>300</v>
      </c>
      <c r="M465" s="88" t="s">
        <v>1832</v>
      </c>
      <c r="N465" s="72" t="s">
        <v>33</v>
      </c>
      <c r="O465" s="72" t="s">
        <v>34</v>
      </c>
      <c r="P465" s="72" t="s">
        <v>35</v>
      </c>
      <c r="Q465" s="89" t="s">
        <v>1833</v>
      </c>
      <c r="S465" s="88" t="s">
        <v>60</v>
      </c>
      <c r="T465" s="89" t="s">
        <v>1834</v>
      </c>
      <c r="V465" s="135" t="s">
        <v>73</v>
      </c>
      <c r="W465" s="136" t="s">
        <v>1835</v>
      </c>
      <c r="Y465" s="88" t="s">
        <v>91</v>
      </c>
      <c r="Z465" s="72">
        <v>300</v>
      </c>
      <c r="AA465" s="89">
        <v>390</v>
      </c>
    </row>
    <row r="466" spans="1:27">
      <c r="A466" s="216"/>
      <c r="B466" s="217"/>
      <c r="F466" s="88" t="s">
        <v>6</v>
      </c>
      <c r="G466" s="112" t="s">
        <v>895</v>
      </c>
      <c r="I466" s="90" t="s">
        <v>26</v>
      </c>
      <c r="J466" s="91"/>
      <c r="K466" s="92">
        <v>740</v>
      </c>
      <c r="M466" s="88" t="s">
        <v>1836</v>
      </c>
      <c r="N466" s="72" t="s">
        <v>33</v>
      </c>
      <c r="O466" s="72" t="s">
        <v>43</v>
      </c>
      <c r="P466" s="72" t="s">
        <v>33</v>
      </c>
      <c r="Q466" s="89" t="s">
        <v>1837</v>
      </c>
      <c r="S466" s="88" t="s">
        <v>62</v>
      </c>
      <c r="T466" s="89" t="s">
        <v>1838</v>
      </c>
      <c r="V466" s="88" t="s">
        <v>76</v>
      </c>
      <c r="W466" s="89" t="s">
        <v>1839</v>
      </c>
      <c r="Y466" s="88" t="s">
        <v>26</v>
      </c>
      <c r="Z466" s="72">
        <v>740</v>
      </c>
      <c r="AA466" s="89">
        <v>650</v>
      </c>
    </row>
    <row r="467" spans="1:27">
      <c r="A467" s="216"/>
      <c r="B467" s="217"/>
      <c r="F467" s="88" t="s">
        <v>8</v>
      </c>
      <c r="G467" s="112" t="s">
        <v>1840</v>
      </c>
      <c r="M467" s="88" t="s">
        <v>1841</v>
      </c>
      <c r="N467" s="72" t="s">
        <v>33</v>
      </c>
      <c r="O467" s="72" t="s">
        <v>34</v>
      </c>
      <c r="P467" s="72" t="s">
        <v>33</v>
      </c>
      <c r="Q467" s="89" t="s">
        <v>1842</v>
      </c>
      <c r="S467" s="119" t="s">
        <v>64</v>
      </c>
      <c r="T467" s="120" t="s">
        <v>1843</v>
      </c>
      <c r="V467" s="88" t="s">
        <v>79</v>
      </c>
      <c r="W467" s="89" t="s">
        <v>1759</v>
      </c>
      <c r="Y467" s="90" t="s">
        <v>92</v>
      </c>
      <c r="Z467" s="91"/>
      <c r="AA467" s="122">
        <v>0.122</v>
      </c>
    </row>
    <row r="468" spans="1:27">
      <c r="A468" s="216"/>
      <c r="B468" s="217"/>
      <c r="F468" s="88" t="s">
        <v>10</v>
      </c>
      <c r="G468" s="112" t="s">
        <v>1494</v>
      </c>
      <c r="M468" s="88" t="s">
        <v>49</v>
      </c>
      <c r="N468" s="72" t="s">
        <v>33</v>
      </c>
      <c r="O468" s="72" t="s">
        <v>43</v>
      </c>
      <c r="P468" s="72" t="s">
        <v>33</v>
      </c>
      <c r="Q468" s="89" t="s">
        <v>1844</v>
      </c>
      <c r="S468" s="90" t="s">
        <v>66</v>
      </c>
      <c r="T468" s="133" t="s">
        <v>1845</v>
      </c>
      <c r="V468" s="90" t="s">
        <v>82</v>
      </c>
      <c r="W468" s="92" t="s">
        <v>1846</v>
      </c>
    </row>
    <row r="469" spans="1:27">
      <c r="A469" s="216"/>
      <c r="B469" s="217"/>
      <c r="F469" s="88" t="s">
        <v>13</v>
      </c>
      <c r="G469" s="201" t="s">
        <v>1847</v>
      </c>
      <c r="M469" s="88" t="s">
        <v>1848</v>
      </c>
      <c r="N469" s="72" t="s">
        <v>33</v>
      </c>
      <c r="O469" s="72" t="s">
        <v>34</v>
      </c>
      <c r="P469" s="72" t="s">
        <v>35</v>
      </c>
      <c r="Q469" s="89" t="s">
        <v>1849</v>
      </c>
    </row>
    <row r="470" spans="1:27">
      <c r="A470" s="216"/>
      <c r="B470" s="217"/>
      <c r="F470" s="88" t="s">
        <v>15</v>
      </c>
      <c r="G470" s="112" t="s">
        <v>1850</v>
      </c>
      <c r="M470" s="88" t="s">
        <v>1851</v>
      </c>
      <c r="N470" s="72" t="s">
        <v>35</v>
      </c>
      <c r="O470" s="72" t="s">
        <v>52</v>
      </c>
      <c r="P470" s="72" t="s">
        <v>35</v>
      </c>
      <c r="Q470" s="89" t="s">
        <v>1852</v>
      </c>
    </row>
    <row r="471" spans="1:27">
      <c r="A471" s="216"/>
      <c r="B471" s="217"/>
      <c r="F471" s="88" t="s">
        <v>17</v>
      </c>
      <c r="G471" s="113">
        <v>46126</v>
      </c>
      <c r="M471" s="88" t="s">
        <v>924</v>
      </c>
      <c r="N471" s="72" t="s">
        <v>35</v>
      </c>
      <c r="O471" s="72" t="s">
        <v>52</v>
      </c>
      <c r="P471" s="72" t="s">
        <v>35</v>
      </c>
      <c r="Q471" s="89" t="s">
        <v>1822</v>
      </c>
    </row>
    <row r="472" spans="1:27">
      <c r="A472" s="218"/>
      <c r="B472" s="219"/>
      <c r="F472" s="90" t="s">
        <v>18</v>
      </c>
      <c r="G472" s="114" t="s">
        <v>19</v>
      </c>
      <c r="M472" s="119" t="s">
        <v>1853</v>
      </c>
      <c r="N472" s="93" t="s">
        <v>35</v>
      </c>
      <c r="O472" s="93" t="s">
        <v>52</v>
      </c>
      <c r="P472" s="93" t="s">
        <v>35</v>
      </c>
      <c r="Q472" s="120" t="s">
        <v>1854</v>
      </c>
    </row>
    <row r="473" spans="1:27">
      <c r="M473" s="88" t="s">
        <v>1855</v>
      </c>
      <c r="N473" s="72" t="s">
        <v>35</v>
      </c>
      <c r="O473" s="72" t="s">
        <v>52</v>
      </c>
      <c r="P473" s="72" t="s">
        <v>35</v>
      </c>
      <c r="Q473" s="89" t="s">
        <v>1856</v>
      </c>
    </row>
    <row r="474" spans="1:27">
      <c r="M474" s="90" t="s">
        <v>1857</v>
      </c>
      <c r="N474" s="91" t="s">
        <v>35</v>
      </c>
      <c r="O474" s="91" t="s">
        <v>52</v>
      </c>
      <c r="P474" s="91" t="s">
        <v>35</v>
      </c>
      <c r="Q474" s="92" t="s">
        <v>1858</v>
      </c>
    </row>
    <row r="478" spans="1:27">
      <c r="A478" s="214" t="s">
        <v>263</v>
      </c>
      <c r="B478" s="215"/>
      <c r="F478" s="85" t="s">
        <v>0</v>
      </c>
      <c r="G478" s="118" t="s">
        <v>1</v>
      </c>
      <c r="I478" s="85" t="s">
        <v>20</v>
      </c>
      <c r="J478" s="86" t="s">
        <v>21</v>
      </c>
      <c r="K478" s="87" t="s">
        <v>23</v>
      </c>
      <c r="M478" s="85" t="s">
        <v>27</v>
      </c>
      <c r="N478" s="86" t="s">
        <v>28</v>
      </c>
      <c r="O478" s="86" t="s">
        <v>29</v>
      </c>
      <c r="P478" s="86" t="s">
        <v>30</v>
      </c>
      <c r="Q478" s="87" t="s">
        <v>31</v>
      </c>
      <c r="S478" s="85" t="s">
        <v>56</v>
      </c>
      <c r="T478" s="87" t="s">
        <v>57</v>
      </c>
      <c r="U478" s="79"/>
      <c r="V478" s="85" t="s">
        <v>68</v>
      </c>
      <c r="W478" s="87" t="s">
        <v>69</v>
      </c>
      <c r="Y478" s="85" t="s">
        <v>85</v>
      </c>
      <c r="Z478" s="86" t="s">
        <v>88</v>
      </c>
      <c r="AA478" s="87" t="s">
        <v>89</v>
      </c>
    </row>
    <row r="479" spans="1:27" ht="30.75">
      <c r="A479" s="216"/>
      <c r="B479" s="217"/>
      <c r="F479" s="88" t="s">
        <v>2</v>
      </c>
      <c r="G479" s="134" t="s">
        <v>1859</v>
      </c>
      <c r="I479" s="88" t="s">
        <v>24</v>
      </c>
      <c r="J479" s="72">
        <v>7</v>
      </c>
      <c r="K479" s="89">
        <v>520</v>
      </c>
      <c r="M479" s="88" t="s">
        <v>1860</v>
      </c>
      <c r="N479" s="72" t="s">
        <v>33</v>
      </c>
      <c r="O479" s="72" t="s">
        <v>34</v>
      </c>
      <c r="P479" s="72" t="s">
        <v>35</v>
      </c>
      <c r="Q479" s="89" t="s">
        <v>1861</v>
      </c>
      <c r="S479" s="88" t="s">
        <v>58</v>
      </c>
      <c r="T479" s="89" t="s">
        <v>1862</v>
      </c>
      <c r="V479" s="138" t="s">
        <v>70</v>
      </c>
      <c r="W479" s="139" t="s">
        <v>1863</v>
      </c>
      <c r="Y479" s="138" t="s">
        <v>90</v>
      </c>
      <c r="Z479" s="137">
        <v>520</v>
      </c>
      <c r="AA479" s="139">
        <v>320</v>
      </c>
    </row>
    <row r="480" spans="1:27">
      <c r="A480" s="216"/>
      <c r="B480" s="217"/>
      <c r="F480" s="88" t="s">
        <v>4</v>
      </c>
      <c r="G480" s="112" t="s">
        <v>894</v>
      </c>
      <c r="I480" s="88" t="s">
        <v>25</v>
      </c>
      <c r="J480" s="80">
        <v>3</v>
      </c>
      <c r="K480" s="89">
        <v>180</v>
      </c>
      <c r="M480" s="88" t="s">
        <v>1864</v>
      </c>
      <c r="N480" s="72" t="s">
        <v>33</v>
      </c>
      <c r="O480" s="72" t="s">
        <v>43</v>
      </c>
      <c r="P480" s="72" t="s">
        <v>33</v>
      </c>
      <c r="Q480" s="89" t="s">
        <v>1609</v>
      </c>
      <c r="S480" s="88" t="s">
        <v>60</v>
      </c>
      <c r="T480" s="89" t="s">
        <v>1865</v>
      </c>
      <c r="V480" s="135" t="s">
        <v>73</v>
      </c>
      <c r="W480" s="136" t="s">
        <v>1866</v>
      </c>
      <c r="Y480" s="88" t="s">
        <v>91</v>
      </c>
      <c r="Z480" s="72">
        <v>180</v>
      </c>
      <c r="AA480" s="89">
        <v>290</v>
      </c>
    </row>
    <row r="481" spans="1:27">
      <c r="A481" s="216"/>
      <c r="B481" s="217"/>
      <c r="F481" s="88" t="s">
        <v>6</v>
      </c>
      <c r="G481" s="112" t="s">
        <v>895</v>
      </c>
      <c r="I481" s="90" t="s">
        <v>26</v>
      </c>
      <c r="J481" s="91"/>
      <c r="K481" s="92">
        <v>700</v>
      </c>
      <c r="M481" s="88" t="s">
        <v>1638</v>
      </c>
      <c r="N481" s="72" t="s">
        <v>33</v>
      </c>
      <c r="O481" s="72" t="s">
        <v>34</v>
      </c>
      <c r="P481" s="72" t="s">
        <v>35</v>
      </c>
      <c r="Q481" s="89" t="s">
        <v>1867</v>
      </c>
      <c r="S481" s="88" t="s">
        <v>62</v>
      </c>
      <c r="T481" s="89" t="s">
        <v>1868</v>
      </c>
      <c r="V481" s="88" t="s">
        <v>76</v>
      </c>
      <c r="W481" s="89" t="s">
        <v>1869</v>
      </c>
      <c r="Y481" s="88" t="s">
        <v>26</v>
      </c>
      <c r="Z481" s="72">
        <v>700</v>
      </c>
      <c r="AA481" s="89">
        <v>610</v>
      </c>
    </row>
    <row r="482" spans="1:27">
      <c r="A482" s="216"/>
      <c r="B482" s="217"/>
      <c r="F482" s="88" t="s">
        <v>8</v>
      </c>
      <c r="G482" s="112" t="s">
        <v>1870</v>
      </c>
      <c r="M482" s="88" t="s">
        <v>1723</v>
      </c>
      <c r="N482" s="72" t="s">
        <v>33</v>
      </c>
      <c r="O482" s="72" t="s">
        <v>43</v>
      </c>
      <c r="P482" s="72" t="s">
        <v>33</v>
      </c>
      <c r="Q482" s="89" t="s">
        <v>1871</v>
      </c>
      <c r="S482" s="119" t="s">
        <v>64</v>
      </c>
      <c r="T482" s="120" t="s">
        <v>1872</v>
      </c>
      <c r="V482" s="88" t="s">
        <v>79</v>
      </c>
      <c r="W482" s="89" t="s">
        <v>1726</v>
      </c>
      <c r="Y482" s="90" t="s">
        <v>92</v>
      </c>
      <c r="Z482" s="91"/>
      <c r="AA482" s="122">
        <v>0.129</v>
      </c>
    </row>
    <row r="483" spans="1:27">
      <c r="A483" s="216"/>
      <c r="B483" s="217"/>
      <c r="F483" s="88" t="s">
        <v>10</v>
      </c>
      <c r="G483" s="112" t="s">
        <v>1727</v>
      </c>
      <c r="M483" s="88" t="s">
        <v>49</v>
      </c>
      <c r="N483" s="72" t="s">
        <v>33</v>
      </c>
      <c r="O483" s="72" t="s">
        <v>43</v>
      </c>
      <c r="P483" s="72" t="s">
        <v>33</v>
      </c>
      <c r="Q483" s="89" t="s">
        <v>1873</v>
      </c>
      <c r="S483" s="90" t="s">
        <v>66</v>
      </c>
      <c r="T483" s="133" t="s">
        <v>1874</v>
      </c>
      <c r="V483" s="90" t="s">
        <v>82</v>
      </c>
      <c r="W483" s="92" t="s">
        <v>1875</v>
      </c>
    </row>
    <row r="484" spans="1:27">
      <c r="A484" s="216"/>
      <c r="B484" s="217"/>
      <c r="F484" s="88" t="s">
        <v>13</v>
      </c>
      <c r="G484" s="201" t="s">
        <v>1876</v>
      </c>
      <c r="M484" s="88" t="s">
        <v>1877</v>
      </c>
      <c r="N484" s="72" t="s">
        <v>33</v>
      </c>
      <c r="O484" s="72" t="s">
        <v>43</v>
      </c>
      <c r="P484" s="72" t="s">
        <v>33</v>
      </c>
      <c r="Q484" s="89" t="s">
        <v>1641</v>
      </c>
    </row>
    <row r="485" spans="1:27">
      <c r="A485" s="216"/>
      <c r="B485" s="217"/>
      <c r="F485" s="88" t="s">
        <v>15</v>
      </c>
      <c r="G485" s="112" t="s">
        <v>1878</v>
      </c>
      <c r="M485" s="88" t="s">
        <v>1879</v>
      </c>
      <c r="N485" s="72" t="s">
        <v>33</v>
      </c>
      <c r="O485" s="72" t="s">
        <v>34</v>
      </c>
      <c r="P485" s="72" t="s">
        <v>35</v>
      </c>
      <c r="Q485" s="89" t="s">
        <v>1814</v>
      </c>
    </row>
    <row r="486" spans="1:27">
      <c r="A486" s="216"/>
      <c r="B486" s="217"/>
      <c r="F486" s="88" t="s">
        <v>17</v>
      </c>
      <c r="G486" s="113">
        <v>46126</v>
      </c>
      <c r="M486" s="88" t="s">
        <v>1648</v>
      </c>
      <c r="N486" s="72" t="s">
        <v>35</v>
      </c>
      <c r="O486" s="72" t="s">
        <v>52</v>
      </c>
      <c r="P486" s="72" t="s">
        <v>35</v>
      </c>
      <c r="Q486" s="89" t="s">
        <v>55</v>
      </c>
    </row>
    <row r="487" spans="1:27">
      <c r="A487" s="218"/>
      <c r="B487" s="219"/>
      <c r="F487" s="90" t="s">
        <v>18</v>
      </c>
      <c r="G487" s="114" t="s">
        <v>19</v>
      </c>
      <c r="M487" s="119" t="s">
        <v>1414</v>
      </c>
      <c r="N487" s="93" t="s">
        <v>35</v>
      </c>
      <c r="O487" s="93" t="s">
        <v>52</v>
      </c>
      <c r="P487" s="93" t="s">
        <v>35</v>
      </c>
      <c r="Q487" s="120" t="s">
        <v>1880</v>
      </c>
    </row>
    <row r="488" spans="1:27">
      <c r="M488" s="90" t="s">
        <v>1211</v>
      </c>
      <c r="N488" s="91" t="s">
        <v>35</v>
      </c>
      <c r="O488" s="91" t="s">
        <v>52</v>
      </c>
      <c r="P488" s="91" t="s">
        <v>35</v>
      </c>
      <c r="Q488" s="92" t="s">
        <v>1742</v>
      </c>
    </row>
    <row r="491" spans="1:27">
      <c r="A491" s="214" t="s">
        <v>265</v>
      </c>
      <c r="B491" s="215"/>
      <c r="F491" s="85" t="s">
        <v>0</v>
      </c>
      <c r="G491" s="118" t="s">
        <v>1</v>
      </c>
      <c r="I491" s="85" t="s">
        <v>20</v>
      </c>
      <c r="J491" s="86" t="s">
        <v>21</v>
      </c>
      <c r="K491" s="87" t="s">
        <v>23</v>
      </c>
      <c r="M491" s="85" t="s">
        <v>27</v>
      </c>
      <c r="N491" s="86" t="s">
        <v>28</v>
      </c>
      <c r="O491" s="86" t="s">
        <v>29</v>
      </c>
      <c r="P491" s="86" t="s">
        <v>30</v>
      </c>
      <c r="Q491" s="87" t="s">
        <v>31</v>
      </c>
      <c r="S491" s="85" t="s">
        <v>56</v>
      </c>
      <c r="T491" s="87" t="s">
        <v>57</v>
      </c>
      <c r="U491" s="79"/>
      <c r="V491" s="85" t="s">
        <v>68</v>
      </c>
      <c r="W491" s="87" t="s">
        <v>69</v>
      </c>
      <c r="Y491" s="85" t="s">
        <v>85</v>
      </c>
      <c r="Z491" s="86" t="s">
        <v>88</v>
      </c>
      <c r="AA491" s="87" t="s">
        <v>89</v>
      </c>
    </row>
    <row r="492" spans="1:27" ht="30.75">
      <c r="A492" s="216"/>
      <c r="B492" s="217"/>
      <c r="F492" s="88" t="s">
        <v>2</v>
      </c>
      <c r="G492" s="134" t="s">
        <v>1881</v>
      </c>
      <c r="I492" s="88" t="s">
        <v>24</v>
      </c>
      <c r="J492" s="72">
        <v>6</v>
      </c>
      <c r="K492" s="89">
        <v>480</v>
      </c>
      <c r="M492" s="88" t="s">
        <v>1882</v>
      </c>
      <c r="N492" s="72" t="s">
        <v>33</v>
      </c>
      <c r="O492" s="72" t="s">
        <v>34</v>
      </c>
      <c r="P492" s="72" t="s">
        <v>35</v>
      </c>
      <c r="Q492" s="89" t="s">
        <v>1883</v>
      </c>
      <c r="S492" s="88" t="s">
        <v>58</v>
      </c>
      <c r="T492" s="89" t="s">
        <v>1884</v>
      </c>
      <c r="V492" s="138" t="s">
        <v>70</v>
      </c>
      <c r="W492" s="139" t="s">
        <v>1885</v>
      </c>
      <c r="Y492" s="138" t="s">
        <v>90</v>
      </c>
      <c r="Z492" s="137">
        <v>480</v>
      </c>
      <c r="AA492" s="139">
        <v>280</v>
      </c>
    </row>
    <row r="493" spans="1:27">
      <c r="A493" s="216"/>
      <c r="B493" s="217"/>
      <c r="F493" s="88" t="s">
        <v>4</v>
      </c>
      <c r="G493" s="112" t="s">
        <v>894</v>
      </c>
      <c r="I493" s="88" t="s">
        <v>25</v>
      </c>
      <c r="J493" s="80">
        <v>4</v>
      </c>
      <c r="K493" s="89">
        <v>260</v>
      </c>
      <c r="M493" s="88" t="s">
        <v>1886</v>
      </c>
      <c r="N493" s="72" t="s">
        <v>33</v>
      </c>
      <c r="O493" s="72" t="s">
        <v>34</v>
      </c>
      <c r="P493" s="72" t="s">
        <v>35</v>
      </c>
      <c r="Q493" s="89" t="s">
        <v>1887</v>
      </c>
      <c r="S493" s="88" t="s">
        <v>60</v>
      </c>
      <c r="T493" s="89" t="s">
        <v>1888</v>
      </c>
      <c r="V493" s="135" t="s">
        <v>73</v>
      </c>
      <c r="W493" s="136" t="s">
        <v>1889</v>
      </c>
      <c r="Y493" s="88" t="s">
        <v>91</v>
      </c>
      <c r="Z493" s="72">
        <v>260</v>
      </c>
      <c r="AA493" s="89">
        <v>360</v>
      </c>
    </row>
    <row r="494" spans="1:27">
      <c r="A494" s="216"/>
      <c r="B494" s="217"/>
      <c r="F494" s="88" t="s">
        <v>6</v>
      </c>
      <c r="G494" s="112" t="s">
        <v>1484</v>
      </c>
      <c r="I494" s="90" t="s">
        <v>26</v>
      </c>
      <c r="J494" s="91"/>
      <c r="K494" s="92">
        <v>740</v>
      </c>
      <c r="M494" s="88" t="s">
        <v>1661</v>
      </c>
      <c r="N494" s="72" t="s">
        <v>33</v>
      </c>
      <c r="O494" s="72" t="s">
        <v>43</v>
      </c>
      <c r="P494" s="72" t="s">
        <v>33</v>
      </c>
      <c r="Q494" s="89" t="s">
        <v>1805</v>
      </c>
      <c r="S494" s="88" t="s">
        <v>62</v>
      </c>
      <c r="T494" s="89" t="s">
        <v>1890</v>
      </c>
      <c r="V494" s="88" t="s">
        <v>76</v>
      </c>
      <c r="W494" s="89" t="s">
        <v>1891</v>
      </c>
      <c r="Y494" s="88" t="s">
        <v>26</v>
      </c>
      <c r="Z494" s="72">
        <v>740</v>
      </c>
      <c r="AA494" s="89">
        <v>640</v>
      </c>
    </row>
    <row r="495" spans="1:27">
      <c r="A495" s="216"/>
      <c r="B495" s="217"/>
      <c r="F495" s="88" t="s">
        <v>8</v>
      </c>
      <c r="G495" s="112" t="s">
        <v>1892</v>
      </c>
      <c r="M495" s="88" t="s">
        <v>1094</v>
      </c>
      <c r="N495" s="72" t="s">
        <v>33</v>
      </c>
      <c r="O495" s="72" t="s">
        <v>34</v>
      </c>
      <c r="P495" s="72" t="s">
        <v>35</v>
      </c>
      <c r="Q495" s="89" t="s">
        <v>1778</v>
      </c>
      <c r="S495" s="119" t="s">
        <v>64</v>
      </c>
      <c r="T495" s="120" t="s">
        <v>1893</v>
      </c>
      <c r="V495" s="88" t="s">
        <v>79</v>
      </c>
      <c r="W495" s="89" t="s">
        <v>1759</v>
      </c>
      <c r="Y495" s="90" t="s">
        <v>92</v>
      </c>
      <c r="Z495" s="91"/>
      <c r="AA495" s="122">
        <v>0.13500000000000001</v>
      </c>
    </row>
    <row r="496" spans="1:27">
      <c r="A496" s="216"/>
      <c r="B496" s="217"/>
      <c r="F496" s="88" t="s">
        <v>10</v>
      </c>
      <c r="G496" s="112" t="s">
        <v>1403</v>
      </c>
      <c r="M496" s="88" t="s">
        <v>49</v>
      </c>
      <c r="N496" s="72" t="s">
        <v>33</v>
      </c>
      <c r="O496" s="72" t="s">
        <v>43</v>
      </c>
      <c r="P496" s="72" t="s">
        <v>33</v>
      </c>
      <c r="Q496" s="89" t="s">
        <v>1894</v>
      </c>
      <c r="S496" s="90" t="s">
        <v>66</v>
      </c>
      <c r="T496" s="133" t="s">
        <v>1895</v>
      </c>
      <c r="V496" s="90" t="s">
        <v>82</v>
      </c>
      <c r="W496" s="92" t="s">
        <v>1896</v>
      </c>
    </row>
    <row r="497" spans="1:27">
      <c r="A497" s="216"/>
      <c r="B497" s="217"/>
      <c r="F497" s="88" t="s">
        <v>13</v>
      </c>
      <c r="G497" s="201" t="s">
        <v>1897</v>
      </c>
      <c r="M497" s="88" t="s">
        <v>1898</v>
      </c>
      <c r="N497" s="72" t="s">
        <v>33</v>
      </c>
      <c r="O497" s="72" t="s">
        <v>43</v>
      </c>
      <c r="P497" s="72" t="s">
        <v>33</v>
      </c>
      <c r="Q497" s="89" t="s">
        <v>1899</v>
      </c>
    </row>
    <row r="498" spans="1:27">
      <c r="A498" s="216"/>
      <c r="B498" s="217"/>
      <c r="F498" s="88" t="s">
        <v>15</v>
      </c>
      <c r="G498" s="112" t="s">
        <v>1900</v>
      </c>
      <c r="M498" s="88" t="s">
        <v>1901</v>
      </c>
      <c r="N498" s="72" t="s">
        <v>35</v>
      </c>
      <c r="O498" s="72" t="s">
        <v>52</v>
      </c>
      <c r="P498" s="72" t="s">
        <v>35</v>
      </c>
      <c r="Q498" s="89" t="s">
        <v>1902</v>
      </c>
    </row>
    <row r="499" spans="1:27">
      <c r="A499" s="216"/>
      <c r="B499" s="217"/>
      <c r="F499" s="88" t="s">
        <v>17</v>
      </c>
      <c r="G499" s="113">
        <v>46126</v>
      </c>
      <c r="M499" s="88" t="s">
        <v>1679</v>
      </c>
      <c r="N499" s="72" t="s">
        <v>35</v>
      </c>
      <c r="O499" s="72" t="s">
        <v>52</v>
      </c>
      <c r="P499" s="72" t="s">
        <v>35</v>
      </c>
      <c r="Q499" s="89" t="s">
        <v>1903</v>
      </c>
    </row>
    <row r="500" spans="1:27">
      <c r="A500" s="218"/>
      <c r="B500" s="219"/>
      <c r="F500" s="90" t="s">
        <v>18</v>
      </c>
      <c r="G500" s="114" t="s">
        <v>19</v>
      </c>
      <c r="M500" s="119" t="s">
        <v>1904</v>
      </c>
      <c r="N500" s="93" t="s">
        <v>35</v>
      </c>
      <c r="O500" s="93" t="s">
        <v>52</v>
      </c>
      <c r="P500" s="93" t="s">
        <v>35</v>
      </c>
      <c r="Q500" s="120" t="s">
        <v>1742</v>
      </c>
    </row>
    <row r="501" spans="1:27">
      <c r="M501" s="90" t="s">
        <v>1182</v>
      </c>
      <c r="N501" s="91" t="s">
        <v>35</v>
      </c>
      <c r="O501" s="91" t="s">
        <v>52</v>
      </c>
      <c r="P501" s="91" t="s">
        <v>35</v>
      </c>
      <c r="Q501" s="92" t="s">
        <v>1826</v>
      </c>
    </row>
    <row r="506" spans="1:27">
      <c r="A506" s="214" t="s">
        <v>267</v>
      </c>
      <c r="B506" s="215"/>
      <c r="F506" s="85" t="s">
        <v>0</v>
      </c>
      <c r="G506" s="118" t="s">
        <v>1</v>
      </c>
      <c r="I506" s="85" t="s">
        <v>20</v>
      </c>
      <c r="J506" s="86" t="s">
        <v>21</v>
      </c>
      <c r="K506" s="87" t="s">
        <v>23</v>
      </c>
      <c r="M506" s="85" t="s">
        <v>27</v>
      </c>
      <c r="N506" s="86" t="s">
        <v>28</v>
      </c>
      <c r="O506" s="86" t="s">
        <v>29</v>
      </c>
      <c r="P506" s="86" t="s">
        <v>30</v>
      </c>
      <c r="Q506" s="87" t="s">
        <v>31</v>
      </c>
      <c r="S506" s="85" t="s">
        <v>56</v>
      </c>
      <c r="T506" s="87" t="s">
        <v>57</v>
      </c>
      <c r="U506" s="79"/>
      <c r="V506" s="85" t="s">
        <v>68</v>
      </c>
      <c r="W506" s="87" t="s">
        <v>69</v>
      </c>
      <c r="Y506" s="85" t="s">
        <v>85</v>
      </c>
      <c r="Z506" s="86" t="s">
        <v>88</v>
      </c>
      <c r="AA506" s="87" t="s">
        <v>89</v>
      </c>
    </row>
    <row r="507" spans="1:27">
      <c r="A507" s="216"/>
      <c r="B507" s="217"/>
      <c r="F507" s="88" t="s">
        <v>2</v>
      </c>
      <c r="G507" s="134" t="s">
        <v>1905</v>
      </c>
      <c r="I507" s="88" t="s">
        <v>24</v>
      </c>
      <c r="J507" s="72">
        <v>5</v>
      </c>
      <c r="K507" s="89">
        <v>300</v>
      </c>
      <c r="M507" s="88" t="s">
        <v>32</v>
      </c>
      <c r="N507" s="72" t="s">
        <v>33</v>
      </c>
      <c r="O507" s="72" t="s">
        <v>34</v>
      </c>
      <c r="P507" s="72" t="s">
        <v>35</v>
      </c>
      <c r="Q507" s="89" t="s">
        <v>1906</v>
      </c>
      <c r="S507" s="88" t="s">
        <v>58</v>
      </c>
      <c r="T507" s="89" t="s">
        <v>1907</v>
      </c>
      <c r="V507" s="138" t="s">
        <v>70</v>
      </c>
      <c r="W507" s="139" t="s">
        <v>1908</v>
      </c>
      <c r="Y507" s="138" t="s">
        <v>90</v>
      </c>
      <c r="Z507" s="137">
        <v>300</v>
      </c>
      <c r="AA507" s="139">
        <v>170</v>
      </c>
    </row>
    <row r="508" spans="1:27">
      <c r="A508" s="216"/>
      <c r="B508" s="217"/>
      <c r="F508" s="88" t="s">
        <v>4</v>
      </c>
      <c r="G508" s="112" t="s">
        <v>894</v>
      </c>
      <c r="I508" s="88" t="s">
        <v>25</v>
      </c>
      <c r="J508" s="80">
        <v>5</v>
      </c>
      <c r="K508" s="89">
        <v>320</v>
      </c>
      <c r="M508" s="88" t="s">
        <v>1638</v>
      </c>
      <c r="N508" s="72" t="s">
        <v>33</v>
      </c>
      <c r="O508" s="72" t="s">
        <v>34</v>
      </c>
      <c r="P508" s="72" t="s">
        <v>35</v>
      </c>
      <c r="Q508" s="89" t="s">
        <v>1778</v>
      </c>
      <c r="S508" s="88" t="s">
        <v>60</v>
      </c>
      <c r="T508" s="89" t="s">
        <v>1909</v>
      </c>
      <c r="V508" s="135" t="s">
        <v>73</v>
      </c>
      <c r="W508" s="136" t="s">
        <v>1910</v>
      </c>
      <c r="Y508" s="88" t="s">
        <v>91</v>
      </c>
      <c r="Z508" s="72">
        <v>320</v>
      </c>
      <c r="AA508" s="89">
        <v>390</v>
      </c>
    </row>
    <row r="509" spans="1:27">
      <c r="A509" s="216"/>
      <c r="B509" s="217"/>
      <c r="F509" s="88" t="s">
        <v>6</v>
      </c>
      <c r="G509" s="112" t="s">
        <v>895</v>
      </c>
      <c r="I509" s="90" t="s">
        <v>26</v>
      </c>
      <c r="J509" s="91"/>
      <c r="K509" s="92">
        <v>620</v>
      </c>
      <c r="M509" s="88" t="s">
        <v>1553</v>
      </c>
      <c r="N509" s="72" t="s">
        <v>33</v>
      </c>
      <c r="O509" s="72" t="s">
        <v>43</v>
      </c>
      <c r="P509" s="72" t="s">
        <v>33</v>
      </c>
      <c r="Q509" s="89" t="s">
        <v>1641</v>
      </c>
      <c r="S509" s="88" t="s">
        <v>62</v>
      </c>
      <c r="T509" s="89" t="s">
        <v>1911</v>
      </c>
      <c r="V509" s="88" t="s">
        <v>76</v>
      </c>
      <c r="W509" s="89" t="s">
        <v>1912</v>
      </c>
      <c r="Y509" s="88" t="s">
        <v>26</v>
      </c>
      <c r="Z509" s="72">
        <v>620</v>
      </c>
      <c r="AA509" s="89">
        <v>560</v>
      </c>
    </row>
    <row r="510" spans="1:27">
      <c r="A510" s="216"/>
      <c r="B510" s="217"/>
      <c r="F510" s="88" t="s">
        <v>8</v>
      </c>
      <c r="G510" s="112" t="s">
        <v>1913</v>
      </c>
      <c r="M510" s="88" t="s">
        <v>42</v>
      </c>
      <c r="N510" s="72" t="s">
        <v>33</v>
      </c>
      <c r="O510" s="72" t="s">
        <v>43</v>
      </c>
      <c r="P510" s="72" t="s">
        <v>33</v>
      </c>
      <c r="Q510" s="89" t="s">
        <v>1914</v>
      </c>
      <c r="S510" s="119" t="s">
        <v>64</v>
      </c>
      <c r="T510" s="120" t="s">
        <v>1915</v>
      </c>
      <c r="V510" s="88" t="s">
        <v>79</v>
      </c>
      <c r="W510" s="89" t="s">
        <v>1584</v>
      </c>
      <c r="Y510" s="90" t="s">
        <v>92</v>
      </c>
      <c r="Z510" s="91"/>
      <c r="AA510" s="122">
        <v>9.7000000000000003E-2</v>
      </c>
    </row>
    <row r="511" spans="1:27">
      <c r="A511" s="216"/>
      <c r="B511" s="217"/>
      <c r="F511" s="88" t="s">
        <v>10</v>
      </c>
      <c r="G511" s="112" t="s">
        <v>12</v>
      </c>
      <c r="M511" s="88" t="s">
        <v>49</v>
      </c>
      <c r="N511" s="72" t="s">
        <v>33</v>
      </c>
      <c r="O511" s="72" t="s">
        <v>43</v>
      </c>
      <c r="P511" s="72" t="s">
        <v>33</v>
      </c>
      <c r="Q511" s="89" t="s">
        <v>1916</v>
      </c>
      <c r="S511" s="90" t="s">
        <v>66</v>
      </c>
      <c r="T511" s="133" t="s">
        <v>1917</v>
      </c>
      <c r="V511" s="90" t="s">
        <v>82</v>
      </c>
      <c r="W511" s="92" t="s">
        <v>1789</v>
      </c>
    </row>
    <row r="512" spans="1:27">
      <c r="A512" s="216"/>
      <c r="B512" s="217"/>
      <c r="F512" s="88" t="s">
        <v>13</v>
      </c>
      <c r="G512" s="201" t="s">
        <v>1918</v>
      </c>
      <c r="M512" s="88" t="s">
        <v>1919</v>
      </c>
      <c r="N512" s="72" t="s">
        <v>35</v>
      </c>
      <c r="O512" s="72" t="s">
        <v>52</v>
      </c>
      <c r="P512" s="72" t="s">
        <v>35</v>
      </c>
      <c r="Q512" s="89" t="s">
        <v>1920</v>
      </c>
    </row>
    <row r="513" spans="1:27">
      <c r="A513" s="216"/>
      <c r="B513" s="217"/>
      <c r="F513" s="88" t="s">
        <v>15</v>
      </c>
      <c r="G513" s="112" t="s">
        <v>1921</v>
      </c>
      <c r="M513" s="88" t="s">
        <v>924</v>
      </c>
      <c r="N513" s="72" t="s">
        <v>35</v>
      </c>
      <c r="O513" s="72" t="s">
        <v>52</v>
      </c>
      <c r="P513" s="72" t="s">
        <v>35</v>
      </c>
      <c r="Q513" s="89" t="s">
        <v>1922</v>
      </c>
    </row>
    <row r="514" spans="1:27">
      <c r="A514" s="216"/>
      <c r="B514" s="217"/>
      <c r="F514" s="88" t="s">
        <v>17</v>
      </c>
      <c r="G514" s="113">
        <v>46126</v>
      </c>
      <c r="M514" s="88" t="s">
        <v>1923</v>
      </c>
      <c r="N514" s="72" t="s">
        <v>35</v>
      </c>
      <c r="O514" s="72" t="s">
        <v>52</v>
      </c>
      <c r="P514" s="72" t="s">
        <v>35</v>
      </c>
      <c r="Q514" s="89" t="s">
        <v>1924</v>
      </c>
    </row>
    <row r="515" spans="1:27">
      <c r="A515" s="218"/>
      <c r="B515" s="219"/>
      <c r="F515" s="90" t="s">
        <v>18</v>
      </c>
      <c r="G515" s="114" t="s">
        <v>19</v>
      </c>
      <c r="M515" s="119" t="s">
        <v>1182</v>
      </c>
      <c r="N515" s="93" t="s">
        <v>35</v>
      </c>
      <c r="O515" s="93" t="s">
        <v>52</v>
      </c>
      <c r="P515" s="93" t="s">
        <v>35</v>
      </c>
      <c r="Q515" s="120" t="s">
        <v>1826</v>
      </c>
    </row>
    <row r="516" spans="1:27">
      <c r="M516" s="90" t="s">
        <v>1799</v>
      </c>
      <c r="N516" s="91" t="s">
        <v>35</v>
      </c>
      <c r="O516" s="91" t="s">
        <v>52</v>
      </c>
      <c r="P516" s="91" t="s">
        <v>35</v>
      </c>
      <c r="Q516" s="92" t="s">
        <v>1925</v>
      </c>
    </row>
    <row r="520" spans="1:27">
      <c r="A520" s="214" t="s">
        <v>269</v>
      </c>
      <c r="B520" s="215"/>
      <c r="F520" s="85" t="s">
        <v>0</v>
      </c>
      <c r="G520" s="118" t="s">
        <v>1</v>
      </c>
      <c r="I520" s="85" t="s">
        <v>20</v>
      </c>
      <c r="J520" s="86" t="s">
        <v>21</v>
      </c>
      <c r="K520" s="87" t="s">
        <v>23</v>
      </c>
      <c r="M520" s="85" t="s">
        <v>27</v>
      </c>
      <c r="N520" s="86" t="s">
        <v>28</v>
      </c>
      <c r="O520" s="86" t="s">
        <v>29</v>
      </c>
      <c r="P520" s="86" t="s">
        <v>30</v>
      </c>
      <c r="Q520" s="87" t="s">
        <v>31</v>
      </c>
      <c r="S520" s="85" t="s">
        <v>56</v>
      </c>
      <c r="T520" s="87" t="s">
        <v>57</v>
      </c>
      <c r="U520" s="79"/>
      <c r="V520" s="85" t="s">
        <v>68</v>
      </c>
      <c r="W520" s="87" t="s">
        <v>69</v>
      </c>
      <c r="Y520" s="85" t="s">
        <v>85</v>
      </c>
      <c r="Z520" s="86" t="s">
        <v>88</v>
      </c>
      <c r="AA520" s="87" t="s">
        <v>89</v>
      </c>
    </row>
    <row r="521" spans="1:27">
      <c r="A521" s="216"/>
      <c r="B521" s="217"/>
      <c r="F521" s="88" t="s">
        <v>2</v>
      </c>
      <c r="G521" s="134" t="s">
        <v>1926</v>
      </c>
      <c r="I521" s="88" t="s">
        <v>24</v>
      </c>
      <c r="J521" s="72">
        <v>7</v>
      </c>
      <c r="K521" s="89">
        <v>510</v>
      </c>
      <c r="M521" s="88" t="s">
        <v>1802</v>
      </c>
      <c r="N521" s="72" t="s">
        <v>33</v>
      </c>
      <c r="O521" s="72" t="s">
        <v>34</v>
      </c>
      <c r="P521" s="72" t="s">
        <v>35</v>
      </c>
      <c r="Q521" s="89" t="s">
        <v>908</v>
      </c>
      <c r="S521" s="88" t="s">
        <v>58</v>
      </c>
      <c r="T521" s="89" t="s">
        <v>1927</v>
      </c>
      <c r="V521" s="138" t="s">
        <v>70</v>
      </c>
      <c r="W521" s="139" t="s">
        <v>1928</v>
      </c>
      <c r="Y521" s="138" t="s">
        <v>90</v>
      </c>
      <c r="Z521" s="137">
        <v>510</v>
      </c>
      <c r="AA521" s="139">
        <v>300</v>
      </c>
    </row>
    <row r="522" spans="1:27">
      <c r="A522" s="216"/>
      <c r="B522" s="217"/>
      <c r="F522" s="88" t="s">
        <v>4</v>
      </c>
      <c r="G522" s="112" t="s">
        <v>894</v>
      </c>
      <c r="I522" s="88" t="s">
        <v>25</v>
      </c>
      <c r="J522" s="80">
        <v>3</v>
      </c>
      <c r="K522" s="89">
        <v>210</v>
      </c>
      <c r="M522" s="88" t="s">
        <v>1929</v>
      </c>
      <c r="N522" s="72" t="s">
        <v>33</v>
      </c>
      <c r="O522" s="72" t="s">
        <v>43</v>
      </c>
      <c r="P522" s="72" t="s">
        <v>33</v>
      </c>
      <c r="Q522" s="89" t="s">
        <v>1805</v>
      </c>
      <c r="S522" s="88" t="s">
        <v>60</v>
      </c>
      <c r="T522" s="89" t="s">
        <v>1930</v>
      </c>
      <c r="V522" s="135" t="s">
        <v>73</v>
      </c>
      <c r="W522" s="136" t="s">
        <v>1910</v>
      </c>
      <c r="Y522" s="88" t="s">
        <v>91</v>
      </c>
      <c r="Z522" s="72">
        <v>210</v>
      </c>
      <c r="AA522" s="89">
        <v>340</v>
      </c>
    </row>
    <row r="523" spans="1:27">
      <c r="A523" s="216"/>
      <c r="B523" s="217"/>
      <c r="F523" s="88" t="s">
        <v>6</v>
      </c>
      <c r="G523" s="112" t="s">
        <v>1484</v>
      </c>
      <c r="I523" s="90" t="s">
        <v>26</v>
      </c>
      <c r="J523" s="91"/>
      <c r="K523" s="92">
        <v>720</v>
      </c>
      <c r="M523" s="88" t="s">
        <v>1037</v>
      </c>
      <c r="N523" s="72" t="s">
        <v>33</v>
      </c>
      <c r="O523" s="72" t="s">
        <v>34</v>
      </c>
      <c r="P523" s="72" t="s">
        <v>35</v>
      </c>
      <c r="Q523" s="89" t="s">
        <v>1931</v>
      </c>
      <c r="S523" s="88" t="s">
        <v>62</v>
      </c>
      <c r="T523" s="89" t="s">
        <v>1932</v>
      </c>
      <c r="V523" s="88" t="s">
        <v>76</v>
      </c>
      <c r="W523" s="89" t="s">
        <v>1933</v>
      </c>
      <c r="Y523" s="88" t="s">
        <v>26</v>
      </c>
      <c r="Z523" s="72">
        <v>720</v>
      </c>
      <c r="AA523" s="89">
        <v>640</v>
      </c>
    </row>
    <row r="524" spans="1:27">
      <c r="A524" s="216"/>
      <c r="B524" s="217"/>
      <c r="F524" s="88" t="s">
        <v>8</v>
      </c>
      <c r="G524" s="112" t="s">
        <v>1934</v>
      </c>
      <c r="M524" s="88" t="s">
        <v>1638</v>
      </c>
      <c r="N524" s="72" t="s">
        <v>33</v>
      </c>
      <c r="O524" s="72" t="s">
        <v>34</v>
      </c>
      <c r="P524" s="72" t="s">
        <v>35</v>
      </c>
      <c r="Q524" s="89" t="s">
        <v>1778</v>
      </c>
      <c r="S524" s="119" t="s">
        <v>64</v>
      </c>
      <c r="T524" s="120" t="s">
        <v>1893</v>
      </c>
      <c r="V524" s="88" t="s">
        <v>79</v>
      </c>
      <c r="W524" s="89" t="s">
        <v>1759</v>
      </c>
      <c r="Y524" s="90" t="s">
        <v>92</v>
      </c>
      <c r="Z524" s="91"/>
      <c r="AA524" s="122">
        <v>0.111</v>
      </c>
    </row>
    <row r="525" spans="1:27">
      <c r="A525" s="216"/>
      <c r="B525" s="217"/>
      <c r="F525" s="88" t="s">
        <v>10</v>
      </c>
      <c r="G525" s="112" t="s">
        <v>12</v>
      </c>
      <c r="M525" s="88" t="s">
        <v>1135</v>
      </c>
      <c r="N525" s="72" t="s">
        <v>33</v>
      </c>
      <c r="O525" s="72" t="s">
        <v>43</v>
      </c>
      <c r="P525" s="72" t="s">
        <v>33</v>
      </c>
      <c r="Q525" s="89" t="s">
        <v>1811</v>
      </c>
      <c r="S525" s="90" t="s">
        <v>66</v>
      </c>
      <c r="T525" s="133" t="s">
        <v>1845</v>
      </c>
      <c r="V525" s="90" t="s">
        <v>82</v>
      </c>
      <c r="W525" s="92" t="s">
        <v>1789</v>
      </c>
    </row>
    <row r="526" spans="1:27">
      <c r="A526" s="216"/>
      <c r="B526" s="217"/>
      <c r="F526" s="88" t="s">
        <v>13</v>
      </c>
      <c r="G526" s="201" t="s">
        <v>1371</v>
      </c>
      <c r="M526" s="88" t="s">
        <v>49</v>
      </c>
      <c r="N526" s="72" t="s">
        <v>33</v>
      </c>
      <c r="O526" s="72" t="s">
        <v>43</v>
      </c>
      <c r="P526" s="72" t="s">
        <v>33</v>
      </c>
      <c r="Q526" s="89" t="s">
        <v>1818</v>
      </c>
    </row>
    <row r="527" spans="1:27">
      <c r="A527" s="216"/>
      <c r="B527" s="217"/>
      <c r="F527" s="88" t="s">
        <v>15</v>
      </c>
      <c r="G527" s="112" t="s">
        <v>1935</v>
      </c>
      <c r="M527" s="88" t="s">
        <v>42</v>
      </c>
      <c r="N527" s="72" t="s">
        <v>33</v>
      </c>
      <c r="O527" s="72" t="s">
        <v>43</v>
      </c>
      <c r="P527" s="72" t="s">
        <v>33</v>
      </c>
      <c r="Q527" s="89" t="s">
        <v>1784</v>
      </c>
    </row>
    <row r="528" spans="1:27">
      <c r="A528" s="216"/>
      <c r="B528" s="217"/>
      <c r="F528" s="88" t="s">
        <v>17</v>
      </c>
      <c r="G528" s="113">
        <v>46126</v>
      </c>
      <c r="M528" s="88" t="s">
        <v>1919</v>
      </c>
      <c r="N528" s="72" t="s">
        <v>35</v>
      </c>
      <c r="O528" s="72" t="s">
        <v>52</v>
      </c>
      <c r="P528" s="72" t="s">
        <v>35</v>
      </c>
      <c r="Q528" s="89" t="s">
        <v>1936</v>
      </c>
    </row>
    <row r="529" spans="1:27">
      <c r="A529" s="218"/>
      <c r="B529" s="219"/>
      <c r="F529" s="90" t="s">
        <v>18</v>
      </c>
      <c r="G529" s="114" t="s">
        <v>19</v>
      </c>
      <c r="M529" s="119" t="s">
        <v>1794</v>
      </c>
      <c r="N529" s="93" t="s">
        <v>35</v>
      </c>
      <c r="O529" s="93" t="s">
        <v>52</v>
      </c>
      <c r="P529" s="93" t="s">
        <v>35</v>
      </c>
      <c r="Q529" s="120" t="s">
        <v>1937</v>
      </c>
    </row>
    <row r="530" spans="1:27">
      <c r="M530" s="90" t="s">
        <v>1938</v>
      </c>
      <c r="N530" s="91" t="s">
        <v>35</v>
      </c>
      <c r="O530" s="91" t="s">
        <v>52</v>
      </c>
      <c r="P530" s="91" t="s">
        <v>35</v>
      </c>
      <c r="Q530" s="92" t="s">
        <v>1939</v>
      </c>
    </row>
    <row r="534" spans="1:27">
      <c r="A534" s="214" t="s">
        <v>273</v>
      </c>
      <c r="B534" s="215"/>
      <c r="F534" s="85" t="s">
        <v>0</v>
      </c>
      <c r="G534" s="118" t="s">
        <v>1</v>
      </c>
      <c r="I534" s="85" t="s">
        <v>20</v>
      </c>
      <c r="J534" s="86" t="s">
        <v>21</v>
      </c>
      <c r="K534" s="87" t="s">
        <v>23</v>
      </c>
      <c r="M534" s="85" t="s">
        <v>27</v>
      </c>
      <c r="N534" s="86" t="s">
        <v>28</v>
      </c>
      <c r="O534" s="86" t="s">
        <v>29</v>
      </c>
      <c r="P534" s="86" t="s">
        <v>30</v>
      </c>
      <c r="Q534" s="87" t="s">
        <v>31</v>
      </c>
      <c r="S534" s="85" t="s">
        <v>56</v>
      </c>
      <c r="T534" s="87" t="s">
        <v>57</v>
      </c>
      <c r="U534" s="79"/>
      <c r="V534" s="85" t="s">
        <v>68</v>
      </c>
      <c r="W534" s="87" t="s">
        <v>69</v>
      </c>
      <c r="Y534" s="85" t="s">
        <v>85</v>
      </c>
      <c r="Z534" s="86" t="s">
        <v>88</v>
      </c>
      <c r="AA534" s="87" t="s">
        <v>89</v>
      </c>
    </row>
    <row r="535" spans="1:27">
      <c r="A535" s="216"/>
      <c r="B535" s="217"/>
      <c r="F535" s="88" t="s">
        <v>2</v>
      </c>
      <c r="G535" s="134" t="s">
        <v>1940</v>
      </c>
      <c r="I535" s="88" t="s">
        <v>24</v>
      </c>
      <c r="J535" s="72">
        <v>6</v>
      </c>
      <c r="K535" s="89">
        <v>420</v>
      </c>
      <c r="M535" s="88" t="s">
        <v>1941</v>
      </c>
      <c r="N535" s="72" t="s">
        <v>33</v>
      </c>
      <c r="O535" s="72" t="s">
        <v>34</v>
      </c>
      <c r="P535" s="72" t="s">
        <v>35</v>
      </c>
      <c r="Q535" s="89" t="s">
        <v>1942</v>
      </c>
      <c r="S535" s="88" t="s">
        <v>58</v>
      </c>
      <c r="T535" s="89" t="s">
        <v>1943</v>
      </c>
      <c r="V535" s="138" t="s">
        <v>70</v>
      </c>
      <c r="W535" s="139" t="s">
        <v>1944</v>
      </c>
      <c r="Y535" s="138" t="s">
        <v>90</v>
      </c>
      <c r="Z535" s="137">
        <v>420</v>
      </c>
      <c r="AA535" s="139">
        <v>250</v>
      </c>
    </row>
    <row r="536" spans="1:27">
      <c r="A536" s="216"/>
      <c r="B536" s="217"/>
      <c r="F536" s="88" t="s">
        <v>4</v>
      </c>
      <c r="G536" s="112" t="s">
        <v>894</v>
      </c>
      <c r="I536" s="88" t="s">
        <v>25</v>
      </c>
      <c r="J536" s="80">
        <v>4</v>
      </c>
      <c r="K536" s="89">
        <v>260</v>
      </c>
      <c r="M536" s="88" t="s">
        <v>1125</v>
      </c>
      <c r="N536" s="72" t="s">
        <v>33</v>
      </c>
      <c r="O536" s="72" t="s">
        <v>34</v>
      </c>
      <c r="P536" s="72" t="s">
        <v>35</v>
      </c>
      <c r="Q536" s="89" t="s">
        <v>1945</v>
      </c>
      <c r="S536" s="88" t="s">
        <v>60</v>
      </c>
      <c r="T536" s="89" t="s">
        <v>1946</v>
      </c>
      <c r="V536" s="135" t="s">
        <v>73</v>
      </c>
      <c r="W536" s="136" t="s">
        <v>1947</v>
      </c>
      <c r="Y536" s="88" t="s">
        <v>91</v>
      </c>
      <c r="Z536" s="72">
        <v>260</v>
      </c>
      <c r="AA536" s="89">
        <v>350</v>
      </c>
    </row>
    <row r="537" spans="1:27">
      <c r="A537" s="216"/>
      <c r="B537" s="217"/>
      <c r="F537" s="88" t="s">
        <v>6</v>
      </c>
      <c r="G537" s="112" t="s">
        <v>1484</v>
      </c>
      <c r="I537" s="90" t="s">
        <v>26</v>
      </c>
      <c r="J537" s="91"/>
      <c r="K537" s="92">
        <v>680</v>
      </c>
      <c r="M537" s="88" t="s">
        <v>1107</v>
      </c>
      <c r="N537" s="72" t="s">
        <v>33</v>
      </c>
      <c r="O537" s="72" t="s">
        <v>43</v>
      </c>
      <c r="P537" s="72" t="s">
        <v>33</v>
      </c>
      <c r="Q537" s="89" t="s">
        <v>1948</v>
      </c>
      <c r="S537" s="88" t="s">
        <v>62</v>
      </c>
      <c r="T537" s="89" t="s">
        <v>1949</v>
      </c>
      <c r="V537" s="88" t="s">
        <v>76</v>
      </c>
      <c r="W537" s="89" t="s">
        <v>1950</v>
      </c>
      <c r="Y537" s="88" t="s">
        <v>26</v>
      </c>
      <c r="Z537" s="72">
        <v>680</v>
      </c>
      <c r="AA537" s="89">
        <v>600</v>
      </c>
    </row>
    <row r="538" spans="1:27">
      <c r="A538" s="216"/>
      <c r="B538" s="217"/>
      <c r="F538" s="88" t="s">
        <v>8</v>
      </c>
      <c r="G538" s="112" t="s">
        <v>1951</v>
      </c>
      <c r="M538" s="88" t="s">
        <v>45</v>
      </c>
      <c r="N538" s="72" t="s">
        <v>33</v>
      </c>
      <c r="O538" s="72" t="s">
        <v>43</v>
      </c>
      <c r="P538" s="72" t="s">
        <v>33</v>
      </c>
      <c r="Q538" s="89" t="s">
        <v>1641</v>
      </c>
      <c r="S538" s="119" t="s">
        <v>64</v>
      </c>
      <c r="T538" s="120" t="s">
        <v>1952</v>
      </c>
      <c r="V538" s="88" t="s">
        <v>79</v>
      </c>
      <c r="W538" s="89" t="s">
        <v>1584</v>
      </c>
      <c r="Y538" s="90" t="s">
        <v>92</v>
      </c>
      <c r="Z538" s="91"/>
      <c r="AA538" s="122">
        <v>0.11700000000000001</v>
      </c>
    </row>
    <row r="539" spans="1:27">
      <c r="A539" s="216"/>
      <c r="B539" s="217"/>
      <c r="F539" s="88" t="s">
        <v>10</v>
      </c>
      <c r="G539" s="112" t="s">
        <v>12</v>
      </c>
      <c r="M539" s="88" t="s">
        <v>49</v>
      </c>
      <c r="N539" s="72" t="s">
        <v>33</v>
      </c>
      <c r="O539" s="72" t="s">
        <v>43</v>
      </c>
      <c r="P539" s="72" t="s">
        <v>33</v>
      </c>
      <c r="Q539" s="89" t="s">
        <v>1953</v>
      </c>
      <c r="S539" s="90" t="s">
        <v>66</v>
      </c>
      <c r="T539" s="133" t="s">
        <v>1954</v>
      </c>
      <c r="V539" s="90" t="s">
        <v>82</v>
      </c>
      <c r="W539" s="92" t="s">
        <v>1955</v>
      </c>
    </row>
    <row r="540" spans="1:27">
      <c r="A540" s="216"/>
      <c r="B540" s="217"/>
      <c r="F540" s="88" t="s">
        <v>13</v>
      </c>
      <c r="G540" s="201" t="s">
        <v>1408</v>
      </c>
      <c r="M540" s="88" t="s">
        <v>1956</v>
      </c>
      <c r="N540" s="72" t="s">
        <v>33</v>
      </c>
      <c r="O540" s="72" t="s">
        <v>34</v>
      </c>
      <c r="P540" s="72" t="s">
        <v>35</v>
      </c>
      <c r="Q540" s="89" t="s">
        <v>1849</v>
      </c>
    </row>
    <row r="541" spans="1:27">
      <c r="A541" s="216"/>
      <c r="B541" s="217"/>
      <c r="F541" s="88" t="s">
        <v>15</v>
      </c>
      <c r="G541" s="112" t="s">
        <v>1957</v>
      </c>
      <c r="M541" s="88" t="s">
        <v>1919</v>
      </c>
      <c r="N541" s="72" t="s">
        <v>35</v>
      </c>
      <c r="O541" s="72" t="s">
        <v>52</v>
      </c>
      <c r="P541" s="72" t="s">
        <v>35</v>
      </c>
      <c r="Q541" s="89" t="s">
        <v>1627</v>
      </c>
    </row>
    <row r="542" spans="1:27">
      <c r="A542" s="216"/>
      <c r="B542" s="217"/>
      <c r="F542" s="88" t="s">
        <v>17</v>
      </c>
      <c r="G542" s="113">
        <v>46126</v>
      </c>
      <c r="M542" s="88" t="s">
        <v>924</v>
      </c>
      <c r="N542" s="72" t="s">
        <v>35</v>
      </c>
      <c r="O542" s="72" t="s">
        <v>52</v>
      </c>
      <c r="P542" s="72" t="s">
        <v>35</v>
      </c>
      <c r="Q542" s="89" t="s">
        <v>1922</v>
      </c>
    </row>
    <row r="543" spans="1:27">
      <c r="A543" s="218"/>
      <c r="B543" s="219"/>
      <c r="F543" s="90" t="s">
        <v>18</v>
      </c>
      <c r="G543" s="114" t="s">
        <v>19</v>
      </c>
      <c r="M543" s="119" t="s">
        <v>1958</v>
      </c>
      <c r="N543" s="93" t="s">
        <v>35</v>
      </c>
      <c r="O543" s="93" t="s">
        <v>52</v>
      </c>
      <c r="P543" s="93" t="s">
        <v>35</v>
      </c>
      <c r="Q543" s="120" t="s">
        <v>1742</v>
      </c>
    </row>
    <row r="544" spans="1:27">
      <c r="M544" s="90" t="s">
        <v>1182</v>
      </c>
      <c r="N544" s="91" t="s">
        <v>35</v>
      </c>
      <c r="O544" s="91" t="s">
        <v>52</v>
      </c>
      <c r="P544" s="91" t="s">
        <v>35</v>
      </c>
      <c r="Q544" s="92" t="s">
        <v>1826</v>
      </c>
    </row>
    <row r="548" spans="1:27">
      <c r="A548" s="214" t="s">
        <v>275</v>
      </c>
      <c r="B548" s="215"/>
      <c r="F548" s="85" t="s">
        <v>0</v>
      </c>
      <c r="G548" s="118" t="s">
        <v>1</v>
      </c>
      <c r="I548" s="85" t="s">
        <v>20</v>
      </c>
      <c r="J548" s="86" t="s">
        <v>21</v>
      </c>
      <c r="K548" s="87" t="s">
        <v>23</v>
      </c>
      <c r="M548" s="85" t="s">
        <v>27</v>
      </c>
      <c r="N548" s="86" t="s">
        <v>28</v>
      </c>
      <c r="O548" s="86" t="s">
        <v>29</v>
      </c>
      <c r="P548" s="86" t="s">
        <v>30</v>
      </c>
      <c r="Q548" s="87" t="s">
        <v>31</v>
      </c>
      <c r="S548" s="85" t="s">
        <v>56</v>
      </c>
      <c r="T548" s="87" t="s">
        <v>57</v>
      </c>
      <c r="U548" s="79"/>
      <c r="V548" s="85" t="s">
        <v>68</v>
      </c>
      <c r="W548" s="87" t="s">
        <v>69</v>
      </c>
      <c r="Y548" s="85" t="s">
        <v>85</v>
      </c>
      <c r="Z548" s="86" t="s">
        <v>88</v>
      </c>
      <c r="AA548" s="87" t="s">
        <v>89</v>
      </c>
    </row>
    <row r="549" spans="1:27">
      <c r="A549" s="216"/>
      <c r="B549" s="217"/>
      <c r="F549" s="88" t="s">
        <v>2</v>
      </c>
      <c r="G549" s="134" t="s">
        <v>1959</v>
      </c>
      <c r="I549" s="88" t="s">
        <v>24</v>
      </c>
      <c r="J549" s="72">
        <v>5</v>
      </c>
      <c r="K549" s="89">
        <v>350</v>
      </c>
      <c r="M549" s="88" t="s">
        <v>1960</v>
      </c>
      <c r="N549" s="72" t="s">
        <v>33</v>
      </c>
      <c r="O549" s="72" t="s">
        <v>34</v>
      </c>
      <c r="P549" s="72" t="s">
        <v>35</v>
      </c>
      <c r="Q549" s="89" t="s">
        <v>1961</v>
      </c>
      <c r="S549" s="88" t="s">
        <v>58</v>
      </c>
      <c r="T549" s="89" t="s">
        <v>1927</v>
      </c>
      <c r="V549" s="138" t="s">
        <v>70</v>
      </c>
      <c r="W549" s="139" t="s">
        <v>1962</v>
      </c>
      <c r="Y549" s="138" t="s">
        <v>90</v>
      </c>
      <c r="Z549" s="137">
        <v>350</v>
      </c>
      <c r="AA549" s="139">
        <v>210</v>
      </c>
    </row>
    <row r="550" spans="1:27">
      <c r="A550" s="216"/>
      <c r="B550" s="217"/>
      <c r="F550" s="88" t="s">
        <v>4</v>
      </c>
      <c r="G550" s="112" t="s">
        <v>894</v>
      </c>
      <c r="I550" s="88" t="s">
        <v>25</v>
      </c>
      <c r="J550" s="80">
        <v>5</v>
      </c>
      <c r="K550" s="89">
        <v>320</v>
      </c>
      <c r="M550" s="88" t="s">
        <v>1963</v>
      </c>
      <c r="N550" s="72" t="s">
        <v>33</v>
      </c>
      <c r="O550" s="72" t="s">
        <v>43</v>
      </c>
      <c r="P550" s="72" t="s">
        <v>33</v>
      </c>
      <c r="Q550" s="89" t="s">
        <v>1964</v>
      </c>
      <c r="S550" s="88" t="s">
        <v>60</v>
      </c>
      <c r="T550" s="89" t="s">
        <v>1965</v>
      </c>
      <c r="V550" s="135" t="s">
        <v>73</v>
      </c>
      <c r="W550" s="136" t="s">
        <v>1966</v>
      </c>
      <c r="Y550" s="88" t="s">
        <v>91</v>
      </c>
      <c r="Z550" s="72">
        <v>320</v>
      </c>
      <c r="AA550" s="89">
        <v>390</v>
      </c>
    </row>
    <row r="551" spans="1:27">
      <c r="A551" s="216"/>
      <c r="B551" s="217"/>
      <c r="F551" s="88" t="s">
        <v>6</v>
      </c>
      <c r="G551" s="112" t="s">
        <v>1484</v>
      </c>
      <c r="I551" s="90" t="s">
        <v>26</v>
      </c>
      <c r="J551" s="91"/>
      <c r="K551" s="92">
        <v>670</v>
      </c>
      <c r="M551" s="88" t="s">
        <v>1638</v>
      </c>
      <c r="N551" s="72" t="s">
        <v>33</v>
      </c>
      <c r="O551" s="72" t="s">
        <v>34</v>
      </c>
      <c r="P551" s="72" t="s">
        <v>35</v>
      </c>
      <c r="Q551" s="89" t="s">
        <v>1967</v>
      </c>
      <c r="S551" s="88" t="s">
        <v>62</v>
      </c>
      <c r="T551" s="89" t="s">
        <v>1809</v>
      </c>
      <c r="V551" s="88" t="s">
        <v>76</v>
      </c>
      <c r="W551" s="89" t="s">
        <v>1968</v>
      </c>
      <c r="Y551" s="88" t="s">
        <v>26</v>
      </c>
      <c r="Z551" s="72">
        <v>670</v>
      </c>
      <c r="AA551" s="89">
        <v>600</v>
      </c>
    </row>
    <row r="552" spans="1:27">
      <c r="A552" s="216"/>
      <c r="B552" s="217"/>
      <c r="F552" s="88" t="s">
        <v>8</v>
      </c>
      <c r="G552" s="112" t="s">
        <v>1969</v>
      </c>
      <c r="M552" s="88" t="s">
        <v>1553</v>
      </c>
      <c r="N552" s="72" t="s">
        <v>33</v>
      </c>
      <c r="O552" s="72" t="s">
        <v>43</v>
      </c>
      <c r="P552" s="72" t="s">
        <v>33</v>
      </c>
      <c r="Q552" s="89" t="s">
        <v>1811</v>
      </c>
      <c r="S552" s="119" t="s">
        <v>64</v>
      </c>
      <c r="T552" s="120" t="s">
        <v>1893</v>
      </c>
      <c r="V552" s="88" t="s">
        <v>79</v>
      </c>
      <c r="W552" s="89" t="s">
        <v>1759</v>
      </c>
      <c r="Y552" s="90" t="s">
        <v>92</v>
      </c>
      <c r="Z552" s="91"/>
      <c r="AA552" s="122">
        <v>0.104</v>
      </c>
    </row>
    <row r="553" spans="1:27">
      <c r="A553" s="216"/>
      <c r="B553" s="217"/>
      <c r="F553" s="88" t="s">
        <v>10</v>
      </c>
      <c r="G553" s="112" t="s">
        <v>1106</v>
      </c>
      <c r="M553" s="88" t="s">
        <v>49</v>
      </c>
      <c r="N553" s="72" t="s">
        <v>33</v>
      </c>
      <c r="O553" s="72" t="s">
        <v>43</v>
      </c>
      <c r="P553" s="72" t="s">
        <v>33</v>
      </c>
      <c r="Q553" s="89" t="s">
        <v>1970</v>
      </c>
      <c r="S553" s="90" t="s">
        <v>66</v>
      </c>
      <c r="T553" s="133" t="s">
        <v>1971</v>
      </c>
      <c r="V553" s="90" t="s">
        <v>82</v>
      </c>
      <c r="W553" s="92" t="s">
        <v>1816</v>
      </c>
    </row>
    <row r="554" spans="1:27" ht="30.75">
      <c r="A554" s="216"/>
      <c r="B554" s="217"/>
      <c r="F554" s="88" t="s">
        <v>13</v>
      </c>
      <c r="G554" s="200" t="s">
        <v>1111</v>
      </c>
      <c r="M554" s="88" t="s">
        <v>1972</v>
      </c>
      <c r="N554" s="72" t="s">
        <v>35</v>
      </c>
      <c r="O554" s="72" t="s">
        <v>52</v>
      </c>
      <c r="P554" s="72" t="s">
        <v>35</v>
      </c>
      <c r="Q554" s="89" t="s">
        <v>1936</v>
      </c>
    </row>
    <row r="555" spans="1:27">
      <c r="A555" s="216"/>
      <c r="B555" s="217"/>
      <c r="F555" s="88" t="s">
        <v>15</v>
      </c>
      <c r="G555" s="112" t="s">
        <v>1973</v>
      </c>
      <c r="M555" s="88" t="s">
        <v>1794</v>
      </c>
      <c r="N555" s="72" t="s">
        <v>35</v>
      </c>
      <c r="O555" s="72" t="s">
        <v>52</v>
      </c>
      <c r="P555" s="72" t="s">
        <v>35</v>
      </c>
      <c r="Q555" s="89" t="s">
        <v>1922</v>
      </c>
    </row>
    <row r="556" spans="1:27">
      <c r="A556" s="216"/>
      <c r="B556" s="217"/>
      <c r="F556" s="88" t="s">
        <v>17</v>
      </c>
      <c r="G556" s="113">
        <v>46126</v>
      </c>
      <c r="M556" s="88" t="s">
        <v>1938</v>
      </c>
      <c r="N556" s="72" t="s">
        <v>35</v>
      </c>
      <c r="O556" s="72" t="s">
        <v>52</v>
      </c>
      <c r="P556" s="72" t="s">
        <v>35</v>
      </c>
      <c r="Q556" s="89" t="s">
        <v>1974</v>
      </c>
    </row>
    <row r="557" spans="1:27">
      <c r="A557" s="218"/>
      <c r="B557" s="219"/>
      <c r="F557" s="90" t="s">
        <v>18</v>
      </c>
      <c r="G557" s="114" t="s">
        <v>19</v>
      </c>
      <c r="M557" s="119" t="s">
        <v>1975</v>
      </c>
      <c r="N557" s="93" t="s">
        <v>35</v>
      </c>
      <c r="O557" s="93" t="s">
        <v>52</v>
      </c>
      <c r="P557" s="93" t="s">
        <v>35</v>
      </c>
      <c r="Q557" s="120" t="s">
        <v>1826</v>
      </c>
    </row>
    <row r="558" spans="1:27">
      <c r="M558" s="90" t="s">
        <v>1799</v>
      </c>
      <c r="N558" s="91" t="s">
        <v>35</v>
      </c>
      <c r="O558" s="91" t="s">
        <v>52</v>
      </c>
      <c r="P558" s="91" t="s">
        <v>35</v>
      </c>
      <c r="Q558" s="92" t="s">
        <v>1976</v>
      </c>
    </row>
    <row r="562" spans="1:27">
      <c r="A562" s="214" t="s">
        <v>277</v>
      </c>
      <c r="B562" s="215"/>
      <c r="F562" s="85" t="s">
        <v>0</v>
      </c>
      <c r="G562" s="118" t="s">
        <v>1</v>
      </c>
      <c r="I562" s="85" t="s">
        <v>20</v>
      </c>
      <c r="J562" s="86" t="s">
        <v>21</v>
      </c>
      <c r="K562" s="87" t="s">
        <v>23</v>
      </c>
      <c r="M562" s="85" t="s">
        <v>27</v>
      </c>
      <c r="N562" s="86" t="s">
        <v>28</v>
      </c>
      <c r="O562" s="86" t="s">
        <v>29</v>
      </c>
      <c r="P562" s="86" t="s">
        <v>30</v>
      </c>
      <c r="Q562" s="87" t="s">
        <v>31</v>
      </c>
      <c r="S562" s="85" t="s">
        <v>56</v>
      </c>
      <c r="T562" s="87" t="s">
        <v>57</v>
      </c>
      <c r="U562" s="79"/>
      <c r="V562" s="85" t="s">
        <v>68</v>
      </c>
      <c r="W562" s="87" t="s">
        <v>69</v>
      </c>
      <c r="Y562" s="85" t="s">
        <v>85</v>
      </c>
      <c r="Z562" s="86" t="s">
        <v>88</v>
      </c>
      <c r="AA562" s="87" t="s">
        <v>89</v>
      </c>
    </row>
    <row r="563" spans="1:27">
      <c r="A563" s="216"/>
      <c r="B563" s="217"/>
      <c r="F563" s="88" t="s">
        <v>2</v>
      </c>
      <c r="G563" s="134" t="s">
        <v>1977</v>
      </c>
      <c r="I563" s="88" t="s">
        <v>24</v>
      </c>
      <c r="J563" s="72">
        <v>7</v>
      </c>
      <c r="K563" s="89">
        <v>500</v>
      </c>
      <c r="M563" s="88" t="s">
        <v>1978</v>
      </c>
      <c r="N563" s="72" t="s">
        <v>33</v>
      </c>
      <c r="O563" s="72" t="s">
        <v>34</v>
      </c>
      <c r="P563" s="72" t="s">
        <v>35</v>
      </c>
      <c r="Q563" s="89" t="s">
        <v>1883</v>
      </c>
      <c r="S563" s="88" t="s">
        <v>58</v>
      </c>
      <c r="T563" s="89" t="s">
        <v>1979</v>
      </c>
      <c r="V563" s="138" t="s">
        <v>70</v>
      </c>
      <c r="W563" s="139" t="s">
        <v>1980</v>
      </c>
      <c r="Y563" s="138" t="s">
        <v>90</v>
      </c>
      <c r="Z563" s="137">
        <v>500</v>
      </c>
      <c r="AA563" s="139">
        <v>290</v>
      </c>
    </row>
    <row r="564" spans="1:27">
      <c r="A564" s="216"/>
      <c r="B564" s="217"/>
      <c r="F564" s="88" t="s">
        <v>4</v>
      </c>
      <c r="G564" s="112" t="s">
        <v>894</v>
      </c>
      <c r="I564" s="88" t="s">
        <v>25</v>
      </c>
      <c r="J564" s="80">
        <v>3</v>
      </c>
      <c r="K564" s="89">
        <v>220</v>
      </c>
      <c r="M564" s="88" t="s">
        <v>1860</v>
      </c>
      <c r="N564" s="72" t="s">
        <v>33</v>
      </c>
      <c r="O564" s="72" t="s">
        <v>34</v>
      </c>
      <c r="P564" s="72" t="s">
        <v>35</v>
      </c>
      <c r="Q564" s="89" t="s">
        <v>1981</v>
      </c>
      <c r="S564" s="88" t="s">
        <v>60</v>
      </c>
      <c r="T564" s="89" t="s">
        <v>1982</v>
      </c>
      <c r="V564" s="135" t="s">
        <v>73</v>
      </c>
      <c r="W564" s="136" t="s">
        <v>1983</v>
      </c>
      <c r="Y564" s="88" t="s">
        <v>91</v>
      </c>
      <c r="Z564" s="72">
        <v>220</v>
      </c>
      <c r="AA564" s="89">
        <v>360</v>
      </c>
    </row>
    <row r="565" spans="1:27">
      <c r="A565" s="216"/>
      <c r="B565" s="217"/>
      <c r="F565" s="88" t="s">
        <v>6</v>
      </c>
      <c r="G565" s="112" t="s">
        <v>1484</v>
      </c>
      <c r="I565" s="90" t="s">
        <v>26</v>
      </c>
      <c r="J565" s="91"/>
      <c r="K565" s="92">
        <v>720</v>
      </c>
      <c r="M565" s="88" t="s">
        <v>1723</v>
      </c>
      <c r="N565" s="72" t="s">
        <v>33</v>
      </c>
      <c r="O565" s="72" t="s">
        <v>43</v>
      </c>
      <c r="P565" s="72" t="s">
        <v>33</v>
      </c>
      <c r="Q565" s="89" t="s">
        <v>1984</v>
      </c>
      <c r="S565" s="88" t="s">
        <v>62</v>
      </c>
      <c r="T565" s="89" t="s">
        <v>1985</v>
      </c>
      <c r="V565" s="88" t="s">
        <v>76</v>
      </c>
      <c r="W565" s="89" t="s">
        <v>1891</v>
      </c>
      <c r="Y565" s="88" t="s">
        <v>26</v>
      </c>
      <c r="Z565" s="72">
        <v>720</v>
      </c>
      <c r="AA565" s="89">
        <v>650</v>
      </c>
    </row>
    <row r="566" spans="1:27">
      <c r="A566" s="216"/>
      <c r="B566" s="217"/>
      <c r="F566" s="88" t="s">
        <v>8</v>
      </c>
      <c r="G566" s="112" t="s">
        <v>1986</v>
      </c>
      <c r="M566" s="88" t="s">
        <v>1638</v>
      </c>
      <c r="N566" s="72" t="s">
        <v>33</v>
      </c>
      <c r="O566" s="72" t="s">
        <v>34</v>
      </c>
      <c r="P566" s="72" t="s">
        <v>35</v>
      </c>
      <c r="Q566" s="89" t="s">
        <v>1778</v>
      </c>
      <c r="S566" s="119" t="s">
        <v>64</v>
      </c>
      <c r="T566" s="120" t="s">
        <v>1893</v>
      </c>
      <c r="V566" s="88" t="s">
        <v>79</v>
      </c>
      <c r="W566" s="89" t="s">
        <v>1726</v>
      </c>
      <c r="Y566" s="90" t="s">
        <v>92</v>
      </c>
      <c r="Z566" s="91"/>
      <c r="AA566" s="122">
        <v>9.7000000000000003E-2</v>
      </c>
    </row>
    <row r="567" spans="1:27">
      <c r="A567" s="216"/>
      <c r="B567" s="217"/>
      <c r="F567" s="88" t="s">
        <v>10</v>
      </c>
      <c r="G567" s="112" t="s">
        <v>1403</v>
      </c>
      <c r="M567" s="88" t="s">
        <v>49</v>
      </c>
      <c r="N567" s="72" t="s">
        <v>33</v>
      </c>
      <c r="O567" s="72" t="s">
        <v>43</v>
      </c>
      <c r="P567" s="72" t="s">
        <v>33</v>
      </c>
      <c r="Q567" s="89" t="s">
        <v>1987</v>
      </c>
      <c r="S567" s="90" t="s">
        <v>66</v>
      </c>
      <c r="T567" s="133" t="s">
        <v>1988</v>
      </c>
      <c r="V567" s="90" t="s">
        <v>82</v>
      </c>
      <c r="W567" s="92" t="s">
        <v>1989</v>
      </c>
    </row>
    <row r="568" spans="1:27" ht="30.75">
      <c r="A568" s="216"/>
      <c r="B568" s="217"/>
      <c r="F568" s="88" t="s">
        <v>13</v>
      </c>
      <c r="G568" s="200" t="s">
        <v>1139</v>
      </c>
      <c r="M568" s="88" t="s">
        <v>1990</v>
      </c>
      <c r="N568" s="72" t="s">
        <v>33</v>
      </c>
      <c r="O568" s="72" t="s">
        <v>43</v>
      </c>
      <c r="P568" s="72" t="s">
        <v>33</v>
      </c>
      <c r="Q568" s="89" t="s">
        <v>1899</v>
      </c>
    </row>
    <row r="569" spans="1:27">
      <c r="A569" s="216"/>
      <c r="B569" s="217"/>
      <c r="F569" s="88" t="s">
        <v>15</v>
      </c>
      <c r="G569" s="112" t="s">
        <v>1991</v>
      </c>
      <c r="M569" s="88" t="s">
        <v>1553</v>
      </c>
      <c r="N569" s="72" t="s">
        <v>33</v>
      </c>
      <c r="O569" s="72" t="s">
        <v>43</v>
      </c>
      <c r="P569" s="72" t="s">
        <v>33</v>
      </c>
      <c r="Q569" s="89" t="s">
        <v>1811</v>
      </c>
    </row>
    <row r="570" spans="1:27">
      <c r="A570" s="216"/>
      <c r="B570" s="217"/>
      <c r="F570" s="88" t="s">
        <v>17</v>
      </c>
      <c r="G570" s="113">
        <v>46126</v>
      </c>
      <c r="M570" s="88" t="s">
        <v>1901</v>
      </c>
      <c r="N570" s="72" t="s">
        <v>35</v>
      </c>
      <c r="O570" s="72" t="s">
        <v>52</v>
      </c>
      <c r="P570" s="72" t="s">
        <v>35</v>
      </c>
      <c r="Q570" s="89" t="s">
        <v>1902</v>
      </c>
    </row>
    <row r="571" spans="1:27">
      <c r="A571" s="218"/>
      <c r="B571" s="219"/>
      <c r="F571" s="90" t="s">
        <v>18</v>
      </c>
      <c r="G571" s="114" t="s">
        <v>19</v>
      </c>
      <c r="M571" s="119" t="s">
        <v>1679</v>
      </c>
      <c r="N571" s="93" t="s">
        <v>35</v>
      </c>
      <c r="O571" s="93" t="s">
        <v>52</v>
      </c>
      <c r="P571" s="93" t="s">
        <v>35</v>
      </c>
      <c r="Q571" s="120" t="s">
        <v>1903</v>
      </c>
    </row>
    <row r="572" spans="1:27">
      <c r="M572" s="90" t="s">
        <v>1211</v>
      </c>
      <c r="N572" s="91" t="s">
        <v>35</v>
      </c>
      <c r="O572" s="91" t="s">
        <v>52</v>
      </c>
      <c r="P572" s="91" t="s">
        <v>35</v>
      </c>
      <c r="Q572" s="92" t="s">
        <v>1742</v>
      </c>
    </row>
    <row r="576" spans="1:27">
      <c r="A576" s="214" t="s">
        <v>253</v>
      </c>
      <c r="B576" s="215"/>
      <c r="F576" s="85" t="s">
        <v>0</v>
      </c>
      <c r="G576" s="118" t="s">
        <v>1</v>
      </c>
      <c r="I576" s="85" t="s">
        <v>20</v>
      </c>
      <c r="J576" s="86" t="s">
        <v>21</v>
      </c>
      <c r="K576" s="87" t="s">
        <v>23</v>
      </c>
      <c r="M576" s="85" t="s">
        <v>27</v>
      </c>
      <c r="N576" s="86" t="s">
        <v>28</v>
      </c>
      <c r="O576" s="86" t="s">
        <v>29</v>
      </c>
      <c r="P576" s="86" t="s">
        <v>30</v>
      </c>
      <c r="Q576" s="87" t="s">
        <v>31</v>
      </c>
      <c r="S576" s="85" t="s">
        <v>56</v>
      </c>
      <c r="T576" s="87" t="s">
        <v>57</v>
      </c>
      <c r="U576" s="79"/>
      <c r="V576" s="85" t="s">
        <v>68</v>
      </c>
      <c r="W576" s="87" t="s">
        <v>69</v>
      </c>
      <c r="Y576" s="85" t="s">
        <v>85</v>
      </c>
      <c r="Z576" s="86" t="s">
        <v>88</v>
      </c>
      <c r="AA576" s="87" t="s">
        <v>89</v>
      </c>
    </row>
    <row r="577" spans="1:27">
      <c r="A577" s="216"/>
      <c r="B577" s="217"/>
      <c r="F577" s="88" t="s">
        <v>2</v>
      </c>
      <c r="G577" s="134" t="s">
        <v>1743</v>
      </c>
      <c r="I577" s="88" t="s">
        <v>24</v>
      </c>
      <c r="J577" s="72">
        <v>5</v>
      </c>
      <c r="K577" s="89">
        <v>390</v>
      </c>
      <c r="M577" s="88" t="s">
        <v>899</v>
      </c>
      <c r="N577" s="72" t="s">
        <v>33</v>
      </c>
      <c r="O577" s="72" t="s">
        <v>43</v>
      </c>
      <c r="P577" s="72" t="s">
        <v>33</v>
      </c>
      <c r="Q577" s="89" t="s">
        <v>1744</v>
      </c>
      <c r="S577" s="88" t="s">
        <v>58</v>
      </c>
      <c r="T577" s="89" t="s">
        <v>1992</v>
      </c>
      <c r="V577" s="138" t="s">
        <v>70</v>
      </c>
      <c r="W577" s="139" t="s">
        <v>1993</v>
      </c>
      <c r="Y577" s="138" t="s">
        <v>90</v>
      </c>
      <c r="Z577" s="137">
        <v>390</v>
      </c>
      <c r="AA577" s="139">
        <v>240</v>
      </c>
    </row>
    <row r="578" spans="1:27">
      <c r="A578" s="216"/>
      <c r="B578" s="217"/>
      <c r="F578" s="88" t="s">
        <v>4</v>
      </c>
      <c r="G578" s="112" t="s">
        <v>894</v>
      </c>
      <c r="I578" s="88" t="s">
        <v>25</v>
      </c>
      <c r="J578" s="80">
        <v>5</v>
      </c>
      <c r="K578" s="89">
        <v>300</v>
      </c>
      <c r="M578" s="88" t="s">
        <v>1994</v>
      </c>
      <c r="N578" s="72" t="s">
        <v>33</v>
      </c>
      <c r="O578" s="72" t="s">
        <v>34</v>
      </c>
      <c r="P578" s="72" t="s">
        <v>35</v>
      </c>
      <c r="Q578" s="89" t="s">
        <v>1995</v>
      </c>
      <c r="S578" s="88" t="s">
        <v>60</v>
      </c>
      <c r="T578" s="89" t="s">
        <v>1996</v>
      </c>
      <c r="V578" s="135" t="s">
        <v>73</v>
      </c>
      <c r="W578" s="136" t="s">
        <v>1748</v>
      </c>
      <c r="Y578" s="88" t="s">
        <v>91</v>
      </c>
      <c r="Z578" s="72">
        <v>300</v>
      </c>
      <c r="AA578" s="89">
        <v>380</v>
      </c>
    </row>
    <row r="579" spans="1:27">
      <c r="A579" s="216"/>
      <c r="B579" s="217"/>
      <c r="F579" s="88" t="s">
        <v>6</v>
      </c>
      <c r="G579" s="112" t="s">
        <v>1484</v>
      </c>
      <c r="I579" s="90" t="s">
        <v>26</v>
      </c>
      <c r="J579" s="91"/>
      <c r="K579" s="92">
        <v>690</v>
      </c>
      <c r="M579" s="88" t="s">
        <v>1997</v>
      </c>
      <c r="N579" s="72" t="s">
        <v>33</v>
      </c>
      <c r="O579" s="72" t="s">
        <v>34</v>
      </c>
      <c r="P579" s="72" t="s">
        <v>35</v>
      </c>
      <c r="Q579" s="89" t="s">
        <v>1998</v>
      </c>
      <c r="S579" s="88" t="s">
        <v>62</v>
      </c>
      <c r="T579" s="89" t="s">
        <v>1999</v>
      </c>
      <c r="V579" s="88" t="s">
        <v>76</v>
      </c>
      <c r="W579" s="89" t="s">
        <v>2000</v>
      </c>
      <c r="Y579" s="88" t="s">
        <v>26</v>
      </c>
      <c r="Z579" s="72">
        <v>690</v>
      </c>
      <c r="AA579" s="89">
        <v>620</v>
      </c>
    </row>
    <row r="580" spans="1:27">
      <c r="A580" s="216"/>
      <c r="B580" s="217"/>
      <c r="F580" s="88" t="s">
        <v>8</v>
      </c>
      <c r="G580" s="112" t="s">
        <v>2001</v>
      </c>
      <c r="M580" s="88" t="s">
        <v>2002</v>
      </c>
      <c r="N580" s="72" t="s">
        <v>33</v>
      </c>
      <c r="O580" s="72" t="s">
        <v>43</v>
      </c>
      <c r="P580" s="72" t="s">
        <v>33</v>
      </c>
      <c r="Q580" s="89" t="s">
        <v>1964</v>
      </c>
      <c r="S580" s="119" t="s">
        <v>64</v>
      </c>
      <c r="T580" s="120" t="s">
        <v>2003</v>
      </c>
      <c r="V580" s="88" t="s">
        <v>79</v>
      </c>
      <c r="W580" s="89" t="s">
        <v>1759</v>
      </c>
      <c r="Y580" s="90" t="s">
        <v>92</v>
      </c>
      <c r="Z580" s="91"/>
      <c r="AA580" s="122">
        <v>0.10100000000000001</v>
      </c>
    </row>
    <row r="581" spans="1:27">
      <c r="A581" s="216"/>
      <c r="B581" s="217"/>
      <c r="F581" s="88" t="s">
        <v>10</v>
      </c>
      <c r="G581" s="112" t="s">
        <v>1760</v>
      </c>
      <c r="M581" s="88" t="s">
        <v>2004</v>
      </c>
      <c r="N581" s="72" t="s">
        <v>33</v>
      </c>
      <c r="O581" s="72" t="s">
        <v>43</v>
      </c>
      <c r="P581" s="72" t="s">
        <v>33</v>
      </c>
      <c r="Q581" s="89" t="s">
        <v>2005</v>
      </c>
      <c r="S581" s="90" t="s">
        <v>66</v>
      </c>
      <c r="T581" s="133" t="s">
        <v>1815</v>
      </c>
      <c r="V581" s="90" t="s">
        <v>82</v>
      </c>
      <c r="W581" s="92" t="s">
        <v>2006</v>
      </c>
    </row>
    <row r="582" spans="1:27">
      <c r="A582" s="216"/>
      <c r="B582" s="217"/>
      <c r="F582" s="88" t="s">
        <v>13</v>
      </c>
      <c r="G582" t="s">
        <v>2007</v>
      </c>
      <c r="M582" s="88" t="s">
        <v>1972</v>
      </c>
      <c r="N582" s="72" t="s">
        <v>35</v>
      </c>
      <c r="O582" s="72" t="s">
        <v>52</v>
      </c>
      <c r="P582" s="72" t="s">
        <v>35</v>
      </c>
      <c r="Q582" s="89" t="s">
        <v>1627</v>
      </c>
    </row>
    <row r="583" spans="1:27">
      <c r="A583" s="216"/>
      <c r="B583" s="217"/>
      <c r="F583" s="88" t="s">
        <v>15</v>
      </c>
      <c r="G583" s="112" t="s">
        <v>2008</v>
      </c>
      <c r="M583" s="88" t="s">
        <v>2009</v>
      </c>
      <c r="N583" s="72" t="s">
        <v>35</v>
      </c>
      <c r="O583" s="72" t="s">
        <v>52</v>
      </c>
      <c r="P583" s="72" t="s">
        <v>35</v>
      </c>
      <c r="Q583" s="89" t="s">
        <v>2010</v>
      </c>
    </row>
    <row r="584" spans="1:27">
      <c r="A584" s="216"/>
      <c r="B584" s="217"/>
      <c r="F584" s="88" t="s">
        <v>17</v>
      </c>
      <c r="G584" s="113">
        <v>46126</v>
      </c>
      <c r="M584" s="88" t="s">
        <v>924</v>
      </c>
      <c r="N584" s="72" t="s">
        <v>35</v>
      </c>
      <c r="O584" s="72" t="s">
        <v>52</v>
      </c>
      <c r="P584" s="72" t="s">
        <v>35</v>
      </c>
      <c r="Q584" s="89" t="s">
        <v>2011</v>
      </c>
    </row>
    <row r="585" spans="1:27">
      <c r="A585" s="218"/>
      <c r="B585" s="219"/>
      <c r="F585" s="90" t="s">
        <v>18</v>
      </c>
      <c r="G585" s="114" t="s">
        <v>19</v>
      </c>
      <c r="M585" s="119" t="s">
        <v>42</v>
      </c>
      <c r="N585" s="93" t="s">
        <v>35</v>
      </c>
      <c r="O585" s="93" t="s">
        <v>52</v>
      </c>
      <c r="P585" s="93" t="s">
        <v>35</v>
      </c>
      <c r="Q585" s="120" t="s">
        <v>1826</v>
      </c>
    </row>
    <row r="586" spans="1:27">
      <c r="M586" s="90" t="s">
        <v>1975</v>
      </c>
      <c r="N586" s="91" t="s">
        <v>35</v>
      </c>
      <c r="O586" s="91" t="s">
        <v>52</v>
      </c>
      <c r="P586" s="91" t="s">
        <v>35</v>
      </c>
      <c r="Q586" s="92" t="s">
        <v>2012</v>
      </c>
    </row>
    <row r="589" spans="1:27">
      <c r="A589" s="214" t="s">
        <v>255</v>
      </c>
      <c r="B589" s="215"/>
      <c r="F589" s="85" t="s">
        <v>0</v>
      </c>
      <c r="G589" s="118" t="s">
        <v>1</v>
      </c>
      <c r="I589" s="85" t="s">
        <v>20</v>
      </c>
      <c r="J589" s="86" t="s">
        <v>21</v>
      </c>
      <c r="K589" s="87" t="s">
        <v>23</v>
      </c>
      <c r="M589" s="85" t="s">
        <v>27</v>
      </c>
      <c r="N589" s="86" t="s">
        <v>28</v>
      </c>
      <c r="O589" s="86" t="s">
        <v>29</v>
      </c>
      <c r="P589" s="86" t="s">
        <v>30</v>
      </c>
      <c r="Q589" s="87" t="s">
        <v>31</v>
      </c>
      <c r="S589" s="85" t="s">
        <v>56</v>
      </c>
      <c r="T589" s="87" t="s">
        <v>57</v>
      </c>
      <c r="U589" s="79"/>
      <c r="V589" s="85" t="s">
        <v>68</v>
      </c>
      <c r="W589" s="87" t="s">
        <v>69</v>
      </c>
      <c r="Y589" s="85" t="s">
        <v>85</v>
      </c>
      <c r="Z589" s="86" t="s">
        <v>88</v>
      </c>
      <c r="AA589" s="87" t="s">
        <v>89</v>
      </c>
    </row>
    <row r="590" spans="1:27">
      <c r="A590" s="216"/>
      <c r="B590" s="217"/>
      <c r="F590" s="88" t="s">
        <v>2</v>
      </c>
      <c r="G590" s="134" t="s">
        <v>1773</v>
      </c>
      <c r="I590" s="88" t="s">
        <v>24</v>
      </c>
      <c r="J590" s="72">
        <v>5</v>
      </c>
      <c r="K590" s="89">
        <v>310</v>
      </c>
      <c r="M590" s="88" t="s">
        <v>1475</v>
      </c>
      <c r="N590" s="72" t="s">
        <v>33</v>
      </c>
      <c r="O590" s="72" t="s">
        <v>34</v>
      </c>
      <c r="P590" s="72" t="s">
        <v>35</v>
      </c>
      <c r="Q590" s="89" t="s">
        <v>2013</v>
      </c>
      <c r="S590" s="88" t="s">
        <v>58</v>
      </c>
      <c r="T590" s="89" t="s">
        <v>1907</v>
      </c>
      <c r="V590" s="138" t="s">
        <v>70</v>
      </c>
      <c r="W590" s="139" t="s">
        <v>2014</v>
      </c>
      <c r="Y590" s="138" t="s">
        <v>90</v>
      </c>
      <c r="Z590" s="137">
        <v>310</v>
      </c>
      <c r="AA590" s="139">
        <v>180</v>
      </c>
    </row>
    <row r="591" spans="1:27">
      <c r="A591" s="216"/>
      <c r="B591" s="217"/>
      <c r="F591" s="88" t="s">
        <v>4</v>
      </c>
      <c r="G591" s="112" t="s">
        <v>894</v>
      </c>
      <c r="I591" s="88" t="s">
        <v>25</v>
      </c>
      <c r="J591" s="80">
        <v>4</v>
      </c>
      <c r="K591" s="89">
        <v>260</v>
      </c>
      <c r="M591" s="88" t="s">
        <v>1638</v>
      </c>
      <c r="N591" s="72" t="s">
        <v>33</v>
      </c>
      <c r="O591" s="72" t="s">
        <v>34</v>
      </c>
      <c r="P591" s="72" t="s">
        <v>35</v>
      </c>
      <c r="Q591" s="89" t="s">
        <v>1778</v>
      </c>
      <c r="S591" s="88" t="s">
        <v>60</v>
      </c>
      <c r="T591" s="89" t="s">
        <v>1909</v>
      </c>
      <c r="V591" s="135" t="s">
        <v>73</v>
      </c>
      <c r="W591" s="136" t="s">
        <v>2015</v>
      </c>
      <c r="Y591" s="88" t="s">
        <v>91</v>
      </c>
      <c r="Z591" s="72">
        <v>260</v>
      </c>
      <c r="AA591" s="89">
        <v>340</v>
      </c>
    </row>
    <row r="592" spans="1:27">
      <c r="A592" s="216"/>
      <c r="B592" s="217"/>
      <c r="F592" s="88" t="s">
        <v>6</v>
      </c>
      <c r="G592" s="112" t="s">
        <v>895</v>
      </c>
      <c r="I592" s="90" t="s">
        <v>26</v>
      </c>
      <c r="J592" s="91"/>
      <c r="K592" s="92">
        <v>570</v>
      </c>
      <c r="M592" s="88" t="s">
        <v>1877</v>
      </c>
      <c r="N592" s="72" t="s">
        <v>33</v>
      </c>
      <c r="O592" s="72" t="s">
        <v>43</v>
      </c>
      <c r="P592" s="72" t="s">
        <v>33</v>
      </c>
      <c r="Q592" s="89" t="s">
        <v>1641</v>
      </c>
      <c r="S592" s="88" t="s">
        <v>62</v>
      </c>
      <c r="T592" s="89" t="s">
        <v>2016</v>
      </c>
      <c r="V592" s="88" t="s">
        <v>76</v>
      </c>
      <c r="W592" s="89" t="s">
        <v>2017</v>
      </c>
      <c r="Y592" s="88" t="s">
        <v>26</v>
      </c>
      <c r="Z592" s="72">
        <v>570</v>
      </c>
      <c r="AA592" s="89">
        <v>520</v>
      </c>
    </row>
    <row r="593" spans="1:27">
      <c r="A593" s="216"/>
      <c r="B593" s="217"/>
      <c r="F593" s="88" t="s">
        <v>8</v>
      </c>
      <c r="G593" s="112" t="s">
        <v>2018</v>
      </c>
      <c r="M593" s="88" t="s">
        <v>42</v>
      </c>
      <c r="N593" s="72" t="s">
        <v>33</v>
      </c>
      <c r="O593" s="72" t="s">
        <v>43</v>
      </c>
      <c r="P593" s="72" t="s">
        <v>33</v>
      </c>
      <c r="Q593" s="89" t="s">
        <v>1784</v>
      </c>
      <c r="S593" s="119" t="s">
        <v>64</v>
      </c>
      <c r="T593" s="120" t="s">
        <v>2019</v>
      </c>
      <c r="V593" s="88" t="s">
        <v>79</v>
      </c>
      <c r="W593" s="89" t="s">
        <v>1584</v>
      </c>
      <c r="Y593" s="90" t="s">
        <v>92</v>
      </c>
      <c r="Z593" s="91"/>
      <c r="AA593" s="122">
        <v>8.7999999999999995E-2</v>
      </c>
    </row>
    <row r="594" spans="1:27">
      <c r="A594" s="216"/>
      <c r="B594" s="217"/>
      <c r="F594" s="88" t="s">
        <v>10</v>
      </c>
      <c r="G594" s="112" t="s">
        <v>12</v>
      </c>
      <c r="M594" s="88" t="s">
        <v>2020</v>
      </c>
      <c r="N594" s="72" t="s">
        <v>33</v>
      </c>
      <c r="O594" s="72" t="s">
        <v>43</v>
      </c>
      <c r="P594" s="72" t="s">
        <v>33</v>
      </c>
      <c r="Q594" s="89" t="s">
        <v>2021</v>
      </c>
      <c r="S594" s="90" t="s">
        <v>66</v>
      </c>
      <c r="T594" s="133" t="s">
        <v>2022</v>
      </c>
      <c r="V594" s="90" t="s">
        <v>82</v>
      </c>
      <c r="W594" s="92" t="s">
        <v>1789</v>
      </c>
    </row>
    <row r="595" spans="1:27">
      <c r="A595" s="216"/>
      <c r="B595" s="217"/>
      <c r="F595" s="88" t="s">
        <v>13</v>
      </c>
      <c r="G595" s="201" t="s">
        <v>2023</v>
      </c>
      <c r="M595" s="88" t="s">
        <v>1919</v>
      </c>
      <c r="N595" s="72" t="s">
        <v>35</v>
      </c>
      <c r="O595" s="72" t="s">
        <v>52</v>
      </c>
      <c r="P595" s="72" t="s">
        <v>35</v>
      </c>
      <c r="Q595" s="89" t="s">
        <v>1936</v>
      </c>
    </row>
    <row r="596" spans="1:27">
      <c r="A596" s="216"/>
      <c r="B596" s="217"/>
      <c r="F596" s="88" t="s">
        <v>15</v>
      </c>
      <c r="G596" s="112" t="s">
        <v>2024</v>
      </c>
      <c r="M596" s="88" t="s">
        <v>1245</v>
      </c>
      <c r="N596" s="72" t="s">
        <v>35</v>
      </c>
      <c r="O596" s="72" t="s">
        <v>52</v>
      </c>
      <c r="P596" s="72" t="s">
        <v>35</v>
      </c>
      <c r="Q596" s="89" t="s">
        <v>1922</v>
      </c>
    </row>
    <row r="597" spans="1:27">
      <c r="A597" s="216"/>
      <c r="B597" s="217"/>
      <c r="F597" s="88" t="s">
        <v>17</v>
      </c>
      <c r="G597" s="113">
        <v>46126</v>
      </c>
      <c r="M597" s="88" t="s">
        <v>1923</v>
      </c>
      <c r="N597" s="72" t="s">
        <v>35</v>
      </c>
      <c r="O597" s="72" t="s">
        <v>52</v>
      </c>
      <c r="P597" s="72" t="s">
        <v>35</v>
      </c>
      <c r="Q597" s="89" t="s">
        <v>1924</v>
      </c>
    </row>
    <row r="598" spans="1:27">
      <c r="A598" s="218"/>
      <c r="B598" s="219"/>
      <c r="F598" s="90" t="s">
        <v>18</v>
      </c>
      <c r="G598" s="114" t="s">
        <v>19</v>
      </c>
      <c r="M598" s="90" t="s">
        <v>1799</v>
      </c>
      <c r="N598" s="91" t="s">
        <v>35</v>
      </c>
      <c r="O598" s="91" t="s">
        <v>52</v>
      </c>
      <c r="P598" s="91" t="s">
        <v>35</v>
      </c>
      <c r="Q598" s="92" t="s">
        <v>2025</v>
      </c>
    </row>
    <row r="603" spans="1:27">
      <c r="A603" s="214" t="s">
        <v>297</v>
      </c>
      <c r="B603" s="215"/>
      <c r="F603" s="85" t="s">
        <v>0</v>
      </c>
      <c r="G603" s="118" t="s">
        <v>1</v>
      </c>
      <c r="I603" s="85" t="s">
        <v>20</v>
      </c>
      <c r="J603" s="86" t="s">
        <v>21</v>
      </c>
      <c r="K603" s="87" t="s">
        <v>23</v>
      </c>
      <c r="M603" s="85" t="s">
        <v>27</v>
      </c>
      <c r="N603" s="86" t="s">
        <v>28</v>
      </c>
      <c r="O603" s="86" t="s">
        <v>29</v>
      </c>
      <c r="P603" s="86" t="s">
        <v>30</v>
      </c>
      <c r="Q603" s="87" t="s">
        <v>31</v>
      </c>
      <c r="S603" s="85" t="s">
        <v>56</v>
      </c>
      <c r="T603" s="87" t="s">
        <v>57</v>
      </c>
      <c r="U603" s="79"/>
      <c r="V603" s="85" t="s">
        <v>68</v>
      </c>
      <c r="W603" s="87" t="s">
        <v>69</v>
      </c>
      <c r="Y603" s="85" t="s">
        <v>85</v>
      </c>
      <c r="Z603" s="86" t="s">
        <v>88</v>
      </c>
      <c r="AA603" s="87" t="s">
        <v>89</v>
      </c>
    </row>
    <row r="604" spans="1:27">
      <c r="A604" s="216"/>
      <c r="B604" s="217"/>
      <c r="F604" s="88" t="s">
        <v>2</v>
      </c>
      <c r="G604" s="134" t="s">
        <v>2026</v>
      </c>
      <c r="I604" s="88" t="s">
        <v>24</v>
      </c>
      <c r="J604" s="72">
        <v>4</v>
      </c>
      <c r="K604" s="89">
        <v>280</v>
      </c>
      <c r="M604" s="88" t="s">
        <v>2027</v>
      </c>
      <c r="N604" s="72" t="s">
        <v>33</v>
      </c>
      <c r="O604" s="72" t="s">
        <v>34</v>
      </c>
      <c r="P604" s="72" t="s">
        <v>35</v>
      </c>
      <c r="Q604" s="89" t="s">
        <v>2028</v>
      </c>
      <c r="S604" s="88" t="s">
        <v>58</v>
      </c>
      <c r="T604" s="89" t="s">
        <v>2029</v>
      </c>
      <c r="V604" s="138" t="s">
        <v>70</v>
      </c>
      <c r="W604" s="139" t="s">
        <v>2030</v>
      </c>
      <c r="Y604" s="138" t="s">
        <v>90</v>
      </c>
      <c r="Z604" s="137">
        <v>280</v>
      </c>
      <c r="AA604" s="139">
        <v>160</v>
      </c>
    </row>
    <row r="605" spans="1:27">
      <c r="A605" s="216"/>
      <c r="B605" s="217"/>
      <c r="F605" s="88" t="s">
        <v>4</v>
      </c>
      <c r="G605" s="112" t="s">
        <v>894</v>
      </c>
      <c r="I605" s="88" t="s">
        <v>25</v>
      </c>
      <c r="J605" s="80">
        <v>5</v>
      </c>
      <c r="K605" s="89">
        <v>300</v>
      </c>
      <c r="M605" s="88" t="s">
        <v>1638</v>
      </c>
      <c r="N605" s="72" t="s">
        <v>33</v>
      </c>
      <c r="O605" s="72" t="s">
        <v>34</v>
      </c>
      <c r="P605" s="72" t="s">
        <v>35</v>
      </c>
      <c r="Q605" s="89" t="s">
        <v>1778</v>
      </c>
      <c r="S605" s="88" t="s">
        <v>60</v>
      </c>
      <c r="T605" s="89" t="s">
        <v>2031</v>
      </c>
      <c r="V605" s="135" t="s">
        <v>73</v>
      </c>
      <c r="W605" s="136" t="s">
        <v>2032</v>
      </c>
      <c r="Y605" s="88" t="s">
        <v>91</v>
      </c>
      <c r="Z605" s="72">
        <v>300</v>
      </c>
      <c r="AA605" s="89">
        <v>360</v>
      </c>
    </row>
    <row r="606" spans="1:27">
      <c r="A606" s="216"/>
      <c r="B606" s="217"/>
      <c r="F606" s="88" t="s">
        <v>6</v>
      </c>
      <c r="G606" s="112" t="s">
        <v>895</v>
      </c>
      <c r="I606" s="90" t="s">
        <v>26</v>
      </c>
      <c r="J606" s="91"/>
      <c r="K606" s="92">
        <v>580</v>
      </c>
      <c r="M606" s="88" t="s">
        <v>1553</v>
      </c>
      <c r="N606" s="72" t="s">
        <v>33</v>
      </c>
      <c r="O606" s="72" t="s">
        <v>43</v>
      </c>
      <c r="P606" s="72" t="s">
        <v>33</v>
      </c>
      <c r="Q606" s="89" t="s">
        <v>1641</v>
      </c>
      <c r="S606" s="88" t="s">
        <v>62</v>
      </c>
      <c r="T606" s="89" t="s">
        <v>2033</v>
      </c>
      <c r="V606" s="88" t="s">
        <v>76</v>
      </c>
      <c r="W606" s="89" t="s">
        <v>1783</v>
      </c>
      <c r="Y606" s="88" t="s">
        <v>26</v>
      </c>
      <c r="Z606" s="72">
        <v>580</v>
      </c>
      <c r="AA606" s="89">
        <v>520</v>
      </c>
    </row>
    <row r="607" spans="1:27">
      <c r="A607" s="216"/>
      <c r="B607" s="217"/>
      <c r="F607" s="88" t="s">
        <v>8</v>
      </c>
      <c r="G607" s="112" t="s">
        <v>2034</v>
      </c>
      <c r="M607" s="88" t="s">
        <v>49</v>
      </c>
      <c r="N607" s="72" t="s">
        <v>33</v>
      </c>
      <c r="O607" s="72" t="s">
        <v>43</v>
      </c>
      <c r="P607" s="72" t="s">
        <v>33</v>
      </c>
      <c r="Q607" s="89" t="s">
        <v>2035</v>
      </c>
      <c r="S607" s="119" t="s">
        <v>64</v>
      </c>
      <c r="T607" s="120" t="s">
        <v>2036</v>
      </c>
      <c r="V607" s="88" t="s">
        <v>79</v>
      </c>
      <c r="W607" s="89" t="s">
        <v>1584</v>
      </c>
      <c r="Y607" s="90" t="s">
        <v>92</v>
      </c>
      <c r="Z607" s="91"/>
      <c r="AA607" s="122">
        <v>0.10299999999999999</v>
      </c>
    </row>
    <row r="608" spans="1:27">
      <c r="A608" s="216"/>
      <c r="B608" s="217"/>
      <c r="F608" s="88" t="s">
        <v>10</v>
      </c>
      <c r="G608" s="112" t="s">
        <v>12</v>
      </c>
      <c r="M608" s="88" t="s">
        <v>1972</v>
      </c>
      <c r="N608" s="72" t="s">
        <v>35</v>
      </c>
      <c r="O608" s="72" t="s">
        <v>52</v>
      </c>
      <c r="P608" s="72" t="s">
        <v>35</v>
      </c>
      <c r="Q608" s="89" t="s">
        <v>1792</v>
      </c>
      <c r="S608" s="90" t="s">
        <v>66</v>
      </c>
      <c r="T608" s="133" t="s">
        <v>1971</v>
      </c>
      <c r="V608" s="90" t="s">
        <v>82</v>
      </c>
      <c r="W608" s="92" t="s">
        <v>2037</v>
      </c>
    </row>
    <row r="609" spans="1:27">
      <c r="A609" s="216"/>
      <c r="B609" s="217"/>
      <c r="F609" s="88" t="s">
        <v>13</v>
      </c>
      <c r="G609" s="201" t="s">
        <v>2038</v>
      </c>
      <c r="M609" s="88" t="s">
        <v>924</v>
      </c>
      <c r="N609" s="72" t="s">
        <v>35</v>
      </c>
      <c r="O609" s="72" t="s">
        <v>52</v>
      </c>
      <c r="P609" s="72" t="s">
        <v>35</v>
      </c>
      <c r="Q609" s="89" t="s">
        <v>2039</v>
      </c>
    </row>
    <row r="610" spans="1:27">
      <c r="A610" s="216"/>
      <c r="B610" s="217"/>
      <c r="F610" s="88" t="s">
        <v>15</v>
      </c>
      <c r="G610" s="112" t="s">
        <v>2040</v>
      </c>
      <c r="M610" s="88" t="s">
        <v>1958</v>
      </c>
      <c r="N610" s="72" t="s">
        <v>35</v>
      </c>
      <c r="O610" s="72" t="s">
        <v>52</v>
      </c>
      <c r="P610" s="72" t="s">
        <v>35</v>
      </c>
      <c r="Q610" s="89" t="s">
        <v>2041</v>
      </c>
    </row>
    <row r="611" spans="1:27">
      <c r="A611" s="216"/>
      <c r="B611" s="217"/>
      <c r="F611" s="88" t="s">
        <v>17</v>
      </c>
      <c r="G611" s="113">
        <v>46126</v>
      </c>
      <c r="M611" s="88" t="s">
        <v>1182</v>
      </c>
      <c r="N611" s="72" t="s">
        <v>35</v>
      </c>
      <c r="O611" s="72" t="s">
        <v>52</v>
      </c>
      <c r="P611" s="72" t="s">
        <v>35</v>
      </c>
      <c r="Q611" s="89" t="s">
        <v>1826</v>
      </c>
    </row>
    <row r="612" spans="1:27">
      <c r="A612" s="218"/>
      <c r="B612" s="219"/>
      <c r="F612" s="90" t="s">
        <v>18</v>
      </c>
      <c r="G612" s="114" t="s">
        <v>19</v>
      </c>
      <c r="M612" s="90" t="s">
        <v>1857</v>
      </c>
      <c r="N612" s="91" t="s">
        <v>35</v>
      </c>
      <c r="O612" s="91" t="s">
        <v>52</v>
      </c>
      <c r="P612" s="91" t="s">
        <v>35</v>
      </c>
      <c r="Q612" s="92" t="s">
        <v>2042</v>
      </c>
    </row>
    <row r="617" spans="1:27">
      <c r="A617" s="214" t="s">
        <v>300</v>
      </c>
      <c r="B617" s="215"/>
      <c r="F617" s="85" t="s">
        <v>0</v>
      </c>
      <c r="G617" s="118" t="s">
        <v>1</v>
      </c>
      <c r="I617" s="85" t="s">
        <v>20</v>
      </c>
      <c r="J617" s="86" t="s">
        <v>21</v>
      </c>
      <c r="K617" s="87" t="s">
        <v>23</v>
      </c>
      <c r="M617" s="85" t="s">
        <v>27</v>
      </c>
      <c r="N617" s="86" t="s">
        <v>28</v>
      </c>
      <c r="O617" s="86" t="s">
        <v>29</v>
      </c>
      <c r="P617" s="86" t="s">
        <v>30</v>
      </c>
      <c r="Q617" s="87" t="s">
        <v>31</v>
      </c>
      <c r="S617" s="85" t="s">
        <v>56</v>
      </c>
      <c r="T617" s="87" t="s">
        <v>57</v>
      </c>
      <c r="U617" s="79"/>
      <c r="V617" s="85" t="s">
        <v>68</v>
      </c>
      <c r="W617" s="87" t="s">
        <v>69</v>
      </c>
      <c r="Y617" s="85" t="s">
        <v>85</v>
      </c>
      <c r="Z617" s="86" t="s">
        <v>88</v>
      </c>
      <c r="AA617" s="87" t="s">
        <v>89</v>
      </c>
    </row>
    <row r="618" spans="1:27">
      <c r="A618" s="216"/>
      <c r="B618" s="217"/>
      <c r="F618" s="88" t="s">
        <v>2</v>
      </c>
      <c r="G618" s="134" t="s">
        <v>2043</v>
      </c>
      <c r="I618" s="88" t="s">
        <v>24</v>
      </c>
      <c r="J618" s="72">
        <v>6</v>
      </c>
      <c r="K618" s="89">
        <v>390</v>
      </c>
      <c r="M618" s="88" t="s">
        <v>2044</v>
      </c>
      <c r="N618" s="72" t="s">
        <v>33</v>
      </c>
      <c r="O618" s="72" t="s">
        <v>34</v>
      </c>
      <c r="P618" s="72" t="s">
        <v>35</v>
      </c>
      <c r="Q618" s="89" t="s">
        <v>2045</v>
      </c>
      <c r="S618" s="88" t="s">
        <v>58</v>
      </c>
      <c r="T618" s="89" t="s">
        <v>2046</v>
      </c>
      <c r="V618" s="138" t="s">
        <v>70</v>
      </c>
      <c r="W618" s="139" t="s">
        <v>2047</v>
      </c>
      <c r="Y618" s="138" t="s">
        <v>90</v>
      </c>
      <c r="Z618" s="137">
        <v>390</v>
      </c>
      <c r="AA618" s="139">
        <v>230</v>
      </c>
    </row>
    <row r="619" spans="1:27">
      <c r="A619" s="216"/>
      <c r="B619" s="217"/>
      <c r="F619" s="88" t="s">
        <v>4</v>
      </c>
      <c r="G619" s="112" t="s">
        <v>894</v>
      </c>
      <c r="I619" s="88" t="s">
        <v>25</v>
      </c>
      <c r="J619" s="80">
        <v>3</v>
      </c>
      <c r="K619" s="89">
        <v>210</v>
      </c>
      <c r="M619" s="88" t="s">
        <v>1037</v>
      </c>
      <c r="N619" s="72" t="s">
        <v>33</v>
      </c>
      <c r="O619" s="72" t="s">
        <v>34</v>
      </c>
      <c r="P619" s="72" t="s">
        <v>33</v>
      </c>
      <c r="Q619" s="89" t="s">
        <v>2048</v>
      </c>
      <c r="S619" s="88" t="s">
        <v>60</v>
      </c>
      <c r="T619" s="89" t="s">
        <v>2049</v>
      </c>
      <c r="V619" s="135" t="s">
        <v>73</v>
      </c>
      <c r="W619" s="136" t="s">
        <v>2050</v>
      </c>
      <c r="Y619" s="88" t="s">
        <v>91</v>
      </c>
      <c r="Z619" s="72">
        <v>210</v>
      </c>
      <c r="AA619" s="89">
        <v>300</v>
      </c>
    </row>
    <row r="620" spans="1:27">
      <c r="A620" s="216"/>
      <c r="B620" s="217"/>
      <c r="F620" s="88" t="s">
        <v>6</v>
      </c>
      <c r="G620" s="112" t="s">
        <v>1484</v>
      </c>
      <c r="I620" s="90" t="s">
        <v>26</v>
      </c>
      <c r="J620" s="91"/>
      <c r="K620" s="92">
        <v>600</v>
      </c>
      <c r="M620" s="88" t="s">
        <v>1638</v>
      </c>
      <c r="N620" s="72" t="s">
        <v>33</v>
      </c>
      <c r="O620" s="72" t="s">
        <v>34</v>
      </c>
      <c r="P620" s="72" t="s">
        <v>35</v>
      </c>
      <c r="Q620" s="89" t="s">
        <v>1967</v>
      </c>
      <c r="S620" s="88" t="s">
        <v>62</v>
      </c>
      <c r="T620" s="89" t="s">
        <v>2051</v>
      </c>
      <c r="V620" s="88" t="s">
        <v>76</v>
      </c>
      <c r="W620" s="89" t="s">
        <v>2052</v>
      </c>
      <c r="Y620" s="88" t="s">
        <v>26</v>
      </c>
      <c r="Z620" s="72">
        <v>600</v>
      </c>
      <c r="AA620" s="89">
        <v>530</v>
      </c>
    </row>
    <row r="621" spans="1:27">
      <c r="A621" s="216"/>
      <c r="B621" s="217"/>
      <c r="F621" s="88" t="s">
        <v>8</v>
      </c>
      <c r="G621" s="112" t="s">
        <v>2053</v>
      </c>
      <c r="M621" s="88" t="s">
        <v>1553</v>
      </c>
      <c r="N621" s="72" t="s">
        <v>33</v>
      </c>
      <c r="O621" s="72" t="s">
        <v>43</v>
      </c>
      <c r="P621" s="72" t="s">
        <v>33</v>
      </c>
      <c r="Q621" s="89" t="s">
        <v>1811</v>
      </c>
      <c r="S621" s="119" t="s">
        <v>64</v>
      </c>
      <c r="T621" s="120" t="s">
        <v>2054</v>
      </c>
      <c r="V621" s="88" t="s">
        <v>79</v>
      </c>
      <c r="W621" s="89" t="s">
        <v>1759</v>
      </c>
      <c r="Y621" s="90" t="s">
        <v>92</v>
      </c>
      <c r="Z621" s="91"/>
      <c r="AA621" s="122">
        <v>0.11700000000000001</v>
      </c>
    </row>
    <row r="622" spans="1:27">
      <c r="A622" s="216"/>
      <c r="B622" s="217"/>
      <c r="F622" s="88" t="s">
        <v>10</v>
      </c>
      <c r="G622" s="112" t="s">
        <v>12</v>
      </c>
      <c r="M622" s="88" t="s">
        <v>49</v>
      </c>
      <c r="N622" s="72" t="s">
        <v>33</v>
      </c>
      <c r="O622" s="72" t="s">
        <v>43</v>
      </c>
      <c r="P622" s="72" t="s">
        <v>33</v>
      </c>
      <c r="Q622" s="89" t="s">
        <v>2055</v>
      </c>
      <c r="S622" s="90" t="s">
        <v>66</v>
      </c>
      <c r="T622" s="133" t="s">
        <v>1815</v>
      </c>
      <c r="V622" s="90" t="s">
        <v>82</v>
      </c>
      <c r="W622" s="92" t="s">
        <v>2056</v>
      </c>
    </row>
    <row r="623" spans="1:27">
      <c r="A623" s="216"/>
      <c r="B623" s="217"/>
      <c r="F623" s="88" t="s">
        <v>13</v>
      </c>
      <c r="G623" s="201" t="s">
        <v>2057</v>
      </c>
      <c r="M623" s="88" t="s">
        <v>42</v>
      </c>
      <c r="N623" s="72" t="s">
        <v>33</v>
      </c>
      <c r="O623" s="72" t="s">
        <v>43</v>
      </c>
      <c r="P623" s="72" t="s">
        <v>33</v>
      </c>
      <c r="Q623" s="89" t="s">
        <v>1784</v>
      </c>
    </row>
    <row r="624" spans="1:27">
      <c r="A624" s="216"/>
      <c r="B624" s="217"/>
      <c r="F624" s="88" t="s">
        <v>15</v>
      </c>
      <c r="G624" s="112" t="s">
        <v>2058</v>
      </c>
      <c r="M624" s="88" t="s">
        <v>1972</v>
      </c>
      <c r="N624" s="72" t="s">
        <v>35</v>
      </c>
      <c r="O624" s="72" t="s">
        <v>52</v>
      </c>
      <c r="P624" s="72" t="s">
        <v>35</v>
      </c>
      <c r="Q624" s="89" t="s">
        <v>1936</v>
      </c>
    </row>
    <row r="625" spans="1:27">
      <c r="A625" s="216"/>
      <c r="B625" s="217"/>
      <c r="F625" s="88" t="s">
        <v>17</v>
      </c>
      <c r="G625" s="113">
        <v>46126</v>
      </c>
      <c r="M625" s="88" t="s">
        <v>1679</v>
      </c>
      <c r="N625" s="72" t="s">
        <v>35</v>
      </c>
      <c r="O625" s="72" t="s">
        <v>52</v>
      </c>
      <c r="P625" s="72" t="s">
        <v>35</v>
      </c>
      <c r="Q625" s="89" t="s">
        <v>2011</v>
      </c>
    </row>
    <row r="626" spans="1:27">
      <c r="A626" s="218"/>
      <c r="B626" s="219"/>
      <c r="F626" s="90" t="s">
        <v>18</v>
      </c>
      <c r="G626" s="114" t="s">
        <v>19</v>
      </c>
      <c r="M626" s="90" t="s">
        <v>1904</v>
      </c>
      <c r="N626" s="91" t="s">
        <v>35</v>
      </c>
      <c r="O626" s="91" t="s">
        <v>52</v>
      </c>
      <c r="P626" s="91" t="s">
        <v>35</v>
      </c>
      <c r="Q626" s="92" t="s">
        <v>2059</v>
      </c>
    </row>
    <row r="631" spans="1:27">
      <c r="A631" s="214" t="s">
        <v>308</v>
      </c>
      <c r="B631" s="215"/>
      <c r="F631" s="85" t="s">
        <v>0</v>
      </c>
      <c r="G631" s="118" t="s">
        <v>1</v>
      </c>
      <c r="I631" s="85" t="s">
        <v>20</v>
      </c>
      <c r="J631" s="86" t="s">
        <v>21</v>
      </c>
      <c r="K631" s="87" t="s">
        <v>23</v>
      </c>
      <c r="M631" s="85" t="s">
        <v>27</v>
      </c>
      <c r="N631" s="86" t="s">
        <v>28</v>
      </c>
      <c r="O631" s="86" t="s">
        <v>29</v>
      </c>
      <c r="P631" s="86" t="s">
        <v>30</v>
      </c>
      <c r="Q631" s="87" t="s">
        <v>31</v>
      </c>
      <c r="S631" s="85" t="s">
        <v>56</v>
      </c>
      <c r="T631" s="87" t="s">
        <v>57</v>
      </c>
      <c r="U631" s="79"/>
      <c r="V631" s="85" t="s">
        <v>68</v>
      </c>
      <c r="W631" s="87" t="s">
        <v>69</v>
      </c>
      <c r="Y631" s="85" t="s">
        <v>85</v>
      </c>
      <c r="Z631" s="86" t="s">
        <v>88</v>
      </c>
      <c r="AA631" s="87" t="s">
        <v>89</v>
      </c>
    </row>
    <row r="632" spans="1:27">
      <c r="A632" s="216"/>
      <c r="B632" s="217"/>
      <c r="F632" s="88" t="s">
        <v>2</v>
      </c>
      <c r="G632" s="134" t="s">
        <v>2060</v>
      </c>
      <c r="I632" s="88" t="s">
        <v>24</v>
      </c>
      <c r="J632" s="72">
        <v>7</v>
      </c>
      <c r="K632" s="89">
        <v>520</v>
      </c>
      <c r="M632" s="88" t="s">
        <v>2061</v>
      </c>
      <c r="N632" s="72" t="s">
        <v>33</v>
      </c>
      <c r="O632" s="72" t="s">
        <v>43</v>
      </c>
      <c r="P632" s="72" t="s">
        <v>33</v>
      </c>
      <c r="Q632" s="89" t="s">
        <v>1578</v>
      </c>
      <c r="S632" s="88" t="s">
        <v>58</v>
      </c>
      <c r="T632" s="89" t="s">
        <v>2062</v>
      </c>
      <c r="V632" s="138" t="s">
        <v>70</v>
      </c>
      <c r="W632" s="139" t="s">
        <v>2063</v>
      </c>
      <c r="Y632" s="138" t="s">
        <v>90</v>
      </c>
      <c r="Z632" s="137">
        <v>520</v>
      </c>
      <c r="AA632" s="139">
        <v>300</v>
      </c>
    </row>
    <row r="633" spans="1:27">
      <c r="A633" s="216"/>
      <c r="B633" s="217"/>
      <c r="F633" s="88" t="s">
        <v>4</v>
      </c>
      <c r="G633" s="112" t="s">
        <v>894</v>
      </c>
      <c r="I633" s="88" t="s">
        <v>25</v>
      </c>
      <c r="J633" s="80">
        <v>2</v>
      </c>
      <c r="K633" s="89">
        <v>140</v>
      </c>
      <c r="M633" s="88" t="s">
        <v>1037</v>
      </c>
      <c r="N633" s="72" t="s">
        <v>33</v>
      </c>
      <c r="O633" s="72" t="s">
        <v>34</v>
      </c>
      <c r="P633" s="72" t="s">
        <v>35</v>
      </c>
      <c r="Q633" s="89" t="s">
        <v>1906</v>
      </c>
      <c r="S633" s="88" t="s">
        <v>60</v>
      </c>
      <c r="T633" s="89" t="s">
        <v>2064</v>
      </c>
      <c r="V633" s="135" t="s">
        <v>73</v>
      </c>
      <c r="W633" s="136" t="s">
        <v>2065</v>
      </c>
      <c r="Y633" s="88" t="s">
        <v>91</v>
      </c>
      <c r="Z633" s="72">
        <v>140</v>
      </c>
      <c r="AA633" s="89">
        <v>280</v>
      </c>
    </row>
    <row r="634" spans="1:27">
      <c r="A634" s="216"/>
      <c r="B634" s="217"/>
      <c r="F634" s="88" t="s">
        <v>6</v>
      </c>
      <c r="G634" s="112" t="s">
        <v>1484</v>
      </c>
      <c r="I634" s="90" t="s">
        <v>26</v>
      </c>
      <c r="J634" s="91"/>
      <c r="K634" s="92">
        <v>660</v>
      </c>
      <c r="M634" s="88" t="s">
        <v>1638</v>
      </c>
      <c r="N634" s="72" t="s">
        <v>33</v>
      </c>
      <c r="O634" s="72" t="s">
        <v>34</v>
      </c>
      <c r="P634" s="72" t="s">
        <v>35</v>
      </c>
      <c r="Q634" s="89" t="s">
        <v>1778</v>
      </c>
      <c r="S634" s="88" t="s">
        <v>62</v>
      </c>
      <c r="T634" s="89" t="s">
        <v>2066</v>
      </c>
      <c r="V634" s="88" t="s">
        <v>76</v>
      </c>
      <c r="W634" s="89" t="s">
        <v>2067</v>
      </c>
      <c r="Y634" s="88" t="s">
        <v>26</v>
      </c>
      <c r="Z634" s="72">
        <v>660</v>
      </c>
      <c r="AA634" s="89">
        <v>580</v>
      </c>
    </row>
    <row r="635" spans="1:27">
      <c r="A635" s="216"/>
      <c r="B635" s="217"/>
      <c r="F635" s="88" t="s">
        <v>8</v>
      </c>
      <c r="G635" s="112" t="s">
        <v>2068</v>
      </c>
      <c r="M635" s="88" t="s">
        <v>1553</v>
      </c>
      <c r="N635" s="72" t="s">
        <v>33</v>
      </c>
      <c r="O635" s="72" t="s">
        <v>43</v>
      </c>
      <c r="P635" s="72" t="s">
        <v>33</v>
      </c>
      <c r="Q635" s="89" t="s">
        <v>1811</v>
      </c>
      <c r="S635" s="119" t="s">
        <v>64</v>
      </c>
      <c r="T635" s="120" t="s">
        <v>1893</v>
      </c>
      <c r="V635" s="88" t="s">
        <v>79</v>
      </c>
      <c r="W635" s="89" t="s">
        <v>1759</v>
      </c>
      <c r="Y635" s="90" t="s">
        <v>92</v>
      </c>
      <c r="Z635" s="91"/>
      <c r="AA635" s="122">
        <v>0.121</v>
      </c>
    </row>
    <row r="636" spans="1:27">
      <c r="A636" s="216"/>
      <c r="B636" s="217"/>
      <c r="F636" s="88" t="s">
        <v>10</v>
      </c>
      <c r="G636" s="112" t="s">
        <v>12</v>
      </c>
      <c r="M636" s="88" t="s">
        <v>49</v>
      </c>
      <c r="N636" s="72" t="s">
        <v>33</v>
      </c>
      <c r="O636" s="72" t="s">
        <v>43</v>
      </c>
      <c r="P636" s="72" t="s">
        <v>33</v>
      </c>
      <c r="Q636" s="89" t="s">
        <v>2069</v>
      </c>
      <c r="S636" s="90" t="s">
        <v>66</v>
      </c>
      <c r="T636" s="133" t="s">
        <v>2070</v>
      </c>
      <c r="V636" s="90" t="s">
        <v>82</v>
      </c>
      <c r="W636" s="92" t="s">
        <v>2071</v>
      </c>
    </row>
    <row r="637" spans="1:27">
      <c r="A637" s="216"/>
      <c r="B637" s="217"/>
      <c r="F637" s="88" t="s">
        <v>13</v>
      </c>
      <c r="G637" s="112" t="s">
        <v>1647</v>
      </c>
      <c r="M637" s="88" t="s">
        <v>42</v>
      </c>
      <c r="N637" s="72" t="s">
        <v>33</v>
      </c>
      <c r="O637" s="72" t="s">
        <v>43</v>
      </c>
      <c r="P637" s="72" t="s">
        <v>33</v>
      </c>
      <c r="Q637" s="89" t="s">
        <v>1784</v>
      </c>
    </row>
    <row r="638" spans="1:27">
      <c r="A638" s="216"/>
      <c r="B638" s="217"/>
      <c r="F638" s="88" t="s">
        <v>15</v>
      </c>
      <c r="G638" s="112" t="s">
        <v>2072</v>
      </c>
      <c r="M638" s="88" t="s">
        <v>1956</v>
      </c>
      <c r="N638" s="72" t="s">
        <v>33</v>
      </c>
      <c r="O638" s="72" t="s">
        <v>34</v>
      </c>
      <c r="P638" s="72" t="s">
        <v>35</v>
      </c>
      <c r="Q638" s="89" t="s">
        <v>2073</v>
      </c>
    </row>
    <row r="639" spans="1:27">
      <c r="A639" s="216"/>
      <c r="B639" s="217"/>
      <c r="F639" s="88" t="s">
        <v>17</v>
      </c>
      <c r="G639" s="113">
        <v>46126</v>
      </c>
      <c r="M639" s="88" t="s">
        <v>2074</v>
      </c>
      <c r="N639" s="72" t="s">
        <v>35</v>
      </c>
      <c r="O639" s="72" t="s">
        <v>52</v>
      </c>
      <c r="P639" s="72" t="s">
        <v>35</v>
      </c>
      <c r="Q639" s="89" t="s">
        <v>1792</v>
      </c>
    </row>
    <row r="640" spans="1:27">
      <c r="A640" s="218"/>
      <c r="B640" s="219"/>
      <c r="F640" s="90" t="s">
        <v>18</v>
      </c>
      <c r="G640" s="114" t="s">
        <v>19</v>
      </c>
      <c r="M640" s="90" t="s">
        <v>924</v>
      </c>
      <c r="N640" s="91" t="s">
        <v>35</v>
      </c>
      <c r="O640" s="91" t="s">
        <v>52</v>
      </c>
      <c r="P640" s="91" t="s">
        <v>35</v>
      </c>
      <c r="Q640" s="92" t="s">
        <v>1922</v>
      </c>
    </row>
    <row r="645" spans="1:27">
      <c r="A645" s="214" t="s">
        <v>318</v>
      </c>
      <c r="B645" s="215"/>
      <c r="F645" s="207" t="s">
        <v>0</v>
      </c>
      <c r="G645" s="202" t="s">
        <v>1</v>
      </c>
      <c r="I645" s="85" t="s">
        <v>20</v>
      </c>
      <c r="J645" s="86" t="s">
        <v>21</v>
      </c>
      <c r="K645" s="87" t="s">
        <v>23</v>
      </c>
      <c r="M645" s="85" t="s">
        <v>27</v>
      </c>
      <c r="N645" s="86" t="s">
        <v>28</v>
      </c>
      <c r="O645" s="86" t="s">
        <v>29</v>
      </c>
      <c r="P645" s="86" t="s">
        <v>30</v>
      </c>
      <c r="Q645" s="87" t="s">
        <v>31</v>
      </c>
      <c r="S645" s="85" t="s">
        <v>56</v>
      </c>
      <c r="T645" s="87" t="s">
        <v>57</v>
      </c>
      <c r="U645" s="79"/>
      <c r="V645" s="85" t="s">
        <v>68</v>
      </c>
      <c r="W645" s="87" t="s">
        <v>69</v>
      </c>
      <c r="Y645" s="85" t="s">
        <v>85</v>
      </c>
      <c r="Z645" s="86" t="s">
        <v>88</v>
      </c>
      <c r="AA645" s="87" t="s">
        <v>89</v>
      </c>
    </row>
    <row r="646" spans="1:27">
      <c r="A646" s="216"/>
      <c r="B646" s="217"/>
      <c r="F646" s="107" t="s">
        <v>2</v>
      </c>
      <c r="G646" s="213" t="s">
        <v>2075</v>
      </c>
      <c r="I646" s="88" t="s">
        <v>24</v>
      </c>
      <c r="J646" s="72">
        <v>6</v>
      </c>
      <c r="K646" s="89">
        <v>410</v>
      </c>
      <c r="M646" s="88" t="s">
        <v>2076</v>
      </c>
      <c r="N646" s="72" t="s">
        <v>33</v>
      </c>
      <c r="O646" s="72" t="s">
        <v>34</v>
      </c>
      <c r="P646" s="72" t="s">
        <v>35</v>
      </c>
      <c r="Q646" s="89" t="s">
        <v>1906</v>
      </c>
      <c r="S646" s="88" t="s">
        <v>58</v>
      </c>
      <c r="T646" s="89" t="s">
        <v>2077</v>
      </c>
      <c r="V646" s="138" t="s">
        <v>70</v>
      </c>
      <c r="W646" s="139" t="s">
        <v>2078</v>
      </c>
      <c r="Y646" s="138" t="s">
        <v>90</v>
      </c>
      <c r="Z646" s="137">
        <v>410</v>
      </c>
      <c r="AA646" s="139">
        <v>250</v>
      </c>
    </row>
    <row r="647" spans="1:27">
      <c r="A647" s="216"/>
      <c r="B647" s="217"/>
      <c r="F647" s="107" t="s">
        <v>4</v>
      </c>
      <c r="G647" s="203" t="s">
        <v>894</v>
      </c>
      <c r="I647" s="88" t="s">
        <v>25</v>
      </c>
      <c r="J647" s="80">
        <v>4</v>
      </c>
      <c r="K647" s="89">
        <v>270</v>
      </c>
      <c r="M647" s="88" t="s">
        <v>1638</v>
      </c>
      <c r="N647" s="72" t="s">
        <v>33</v>
      </c>
      <c r="O647" s="72" t="s">
        <v>34</v>
      </c>
      <c r="P647" s="72" t="s">
        <v>35</v>
      </c>
      <c r="Q647" s="89" t="s">
        <v>1778</v>
      </c>
      <c r="S647" s="88" t="s">
        <v>60</v>
      </c>
      <c r="T647" s="89" t="s">
        <v>2079</v>
      </c>
      <c r="V647" s="135" t="s">
        <v>73</v>
      </c>
      <c r="W647" s="136" t="s">
        <v>2065</v>
      </c>
      <c r="Y647" s="88" t="s">
        <v>91</v>
      </c>
      <c r="Z647" s="72">
        <v>270</v>
      </c>
      <c r="AA647" s="89">
        <v>350</v>
      </c>
    </row>
    <row r="648" spans="1:27">
      <c r="A648" s="216"/>
      <c r="B648" s="217"/>
      <c r="F648" s="107" t="s">
        <v>6</v>
      </c>
      <c r="G648" s="203" t="s">
        <v>895</v>
      </c>
      <c r="I648" s="90" t="s">
        <v>26</v>
      </c>
      <c r="J648" s="91"/>
      <c r="K648" s="92">
        <v>680</v>
      </c>
      <c r="M648" s="88" t="s">
        <v>45</v>
      </c>
      <c r="N648" s="72" t="s">
        <v>33</v>
      </c>
      <c r="O648" s="72" t="s">
        <v>43</v>
      </c>
      <c r="P648" s="72" t="s">
        <v>33</v>
      </c>
      <c r="Q648" s="89" t="s">
        <v>1641</v>
      </c>
      <c r="S648" s="88" t="s">
        <v>62</v>
      </c>
      <c r="T648" s="89" t="s">
        <v>2016</v>
      </c>
      <c r="V648" s="88" t="s">
        <v>76</v>
      </c>
      <c r="W648" s="89" t="s">
        <v>2080</v>
      </c>
      <c r="Y648" s="88" t="s">
        <v>26</v>
      </c>
      <c r="Z648" s="72">
        <v>680</v>
      </c>
      <c r="AA648" s="89">
        <v>600</v>
      </c>
    </row>
    <row r="649" spans="1:27">
      <c r="A649" s="216"/>
      <c r="B649" s="217"/>
      <c r="F649" s="107" t="s">
        <v>8</v>
      </c>
      <c r="G649" s="203" t="s">
        <v>2081</v>
      </c>
      <c r="M649" s="88" t="s">
        <v>49</v>
      </c>
      <c r="N649" s="72" t="s">
        <v>33</v>
      </c>
      <c r="O649" s="72" t="s">
        <v>43</v>
      </c>
      <c r="P649" s="72" t="s">
        <v>33</v>
      </c>
      <c r="Q649" s="89" t="s">
        <v>2082</v>
      </c>
      <c r="S649" s="119" t="s">
        <v>64</v>
      </c>
      <c r="T649" s="120" t="s">
        <v>2083</v>
      </c>
      <c r="V649" s="88" t="s">
        <v>79</v>
      </c>
      <c r="W649" s="89" t="s">
        <v>1584</v>
      </c>
      <c r="Y649" s="90" t="s">
        <v>92</v>
      </c>
      <c r="Z649" s="91"/>
      <c r="AA649" s="122">
        <v>0.11799999999999999</v>
      </c>
    </row>
    <row r="650" spans="1:27">
      <c r="A650" s="216"/>
      <c r="B650" s="217"/>
      <c r="F650" s="107" t="s">
        <v>10</v>
      </c>
      <c r="G650" s="203" t="s">
        <v>12</v>
      </c>
      <c r="M650" s="88" t="s">
        <v>42</v>
      </c>
      <c r="N650" s="72" t="s">
        <v>33</v>
      </c>
      <c r="O650" s="72" t="s">
        <v>43</v>
      </c>
      <c r="P650" s="72" t="s">
        <v>33</v>
      </c>
      <c r="Q650" s="89" t="s">
        <v>1784</v>
      </c>
      <c r="S650" s="90" t="s">
        <v>66</v>
      </c>
      <c r="T650" s="133" t="s">
        <v>1815</v>
      </c>
      <c r="V650" s="90" t="s">
        <v>82</v>
      </c>
      <c r="W650" s="92" t="s">
        <v>2084</v>
      </c>
    </row>
    <row r="651" spans="1:27">
      <c r="A651" s="216"/>
      <c r="B651" s="217"/>
      <c r="F651" s="107" t="s">
        <v>13</v>
      </c>
      <c r="G651" s="208" t="s">
        <v>1048</v>
      </c>
      <c r="M651" s="88" t="s">
        <v>1879</v>
      </c>
      <c r="N651" s="72" t="s">
        <v>33</v>
      </c>
      <c r="O651" s="72" t="s">
        <v>34</v>
      </c>
      <c r="P651" s="72" t="s">
        <v>35</v>
      </c>
      <c r="Q651" s="89" t="s">
        <v>2073</v>
      </c>
    </row>
    <row r="652" spans="1:27">
      <c r="A652" s="216"/>
      <c r="B652" s="217"/>
      <c r="F652" s="107" t="s">
        <v>15</v>
      </c>
      <c r="G652" s="203" t="s">
        <v>2085</v>
      </c>
      <c r="M652" s="88" t="s">
        <v>1972</v>
      </c>
      <c r="N652" s="72" t="s">
        <v>35</v>
      </c>
      <c r="O652" s="72" t="s">
        <v>52</v>
      </c>
      <c r="P652" s="72" t="s">
        <v>35</v>
      </c>
      <c r="Q652" s="89" t="s">
        <v>1936</v>
      </c>
    </row>
    <row r="653" spans="1:27">
      <c r="A653" s="216"/>
      <c r="B653" s="217"/>
      <c r="F653" s="107" t="s">
        <v>17</v>
      </c>
      <c r="G653" s="205">
        <v>46126</v>
      </c>
      <c r="M653" s="119" t="s">
        <v>1679</v>
      </c>
      <c r="N653" s="93" t="s">
        <v>35</v>
      </c>
      <c r="O653" s="93" t="s">
        <v>52</v>
      </c>
      <c r="P653" s="93" t="s">
        <v>35</v>
      </c>
      <c r="Q653" s="120" t="s">
        <v>1922</v>
      </c>
    </row>
    <row r="654" spans="1:27">
      <c r="A654" s="218"/>
      <c r="B654" s="219"/>
      <c r="F654" s="108" t="s">
        <v>18</v>
      </c>
      <c r="G654" s="206" t="s">
        <v>19</v>
      </c>
      <c r="M654" s="88" t="s">
        <v>1958</v>
      </c>
      <c r="N654" s="72" t="s">
        <v>35</v>
      </c>
      <c r="O654" s="72" t="s">
        <v>52</v>
      </c>
      <c r="P654" s="72" t="s">
        <v>35</v>
      </c>
      <c r="Q654" s="89" t="s">
        <v>2041</v>
      </c>
    </row>
    <row r="655" spans="1:27">
      <c r="M655" s="90" t="s">
        <v>1975</v>
      </c>
      <c r="N655" s="91" t="s">
        <v>35</v>
      </c>
      <c r="O655" s="91" t="s">
        <v>52</v>
      </c>
      <c r="P655" s="91" t="s">
        <v>35</v>
      </c>
      <c r="Q655" s="92" t="s">
        <v>1826</v>
      </c>
    </row>
    <row r="659" spans="1:27">
      <c r="A659" s="214" t="s">
        <v>320</v>
      </c>
      <c r="B659" s="215"/>
      <c r="F659" s="85" t="s">
        <v>0</v>
      </c>
      <c r="G659" s="118" t="s">
        <v>1</v>
      </c>
      <c r="I659" s="85" t="s">
        <v>20</v>
      </c>
      <c r="J659" s="86" t="s">
        <v>21</v>
      </c>
      <c r="K659" s="87" t="s">
        <v>23</v>
      </c>
      <c r="M659" s="85" t="s">
        <v>27</v>
      </c>
      <c r="N659" s="86" t="s">
        <v>28</v>
      </c>
      <c r="O659" s="86" t="s">
        <v>29</v>
      </c>
      <c r="P659" s="86" t="s">
        <v>30</v>
      </c>
      <c r="Q659" s="87" t="s">
        <v>31</v>
      </c>
      <c r="S659" s="85" t="s">
        <v>56</v>
      </c>
      <c r="T659" s="87" t="s">
        <v>57</v>
      </c>
      <c r="U659" s="79"/>
      <c r="V659" s="85" t="s">
        <v>68</v>
      </c>
      <c r="W659" s="87" t="s">
        <v>69</v>
      </c>
      <c r="Y659" s="85" t="s">
        <v>85</v>
      </c>
      <c r="Z659" s="86" t="s">
        <v>88</v>
      </c>
      <c r="AA659" s="87" t="s">
        <v>89</v>
      </c>
    </row>
    <row r="660" spans="1:27">
      <c r="A660" s="216"/>
      <c r="B660" s="217"/>
      <c r="F660" s="88" t="s">
        <v>2</v>
      </c>
      <c r="G660" s="134" t="s">
        <v>2086</v>
      </c>
      <c r="I660" s="88" t="s">
        <v>24</v>
      </c>
      <c r="J660" s="72">
        <v>5</v>
      </c>
      <c r="K660" s="89">
        <v>330</v>
      </c>
      <c r="M660" s="88" t="s">
        <v>1475</v>
      </c>
      <c r="N660" s="72" t="s">
        <v>33</v>
      </c>
      <c r="O660" s="72" t="s">
        <v>34</v>
      </c>
      <c r="P660" s="72" t="s">
        <v>35</v>
      </c>
      <c r="Q660" s="89" t="s">
        <v>1906</v>
      </c>
      <c r="S660" s="88" t="s">
        <v>58</v>
      </c>
      <c r="T660" s="89" t="s">
        <v>2087</v>
      </c>
      <c r="V660" s="138" t="s">
        <v>70</v>
      </c>
      <c r="W660" s="139" t="s">
        <v>2088</v>
      </c>
      <c r="Y660" s="138" t="s">
        <v>90</v>
      </c>
      <c r="Z660" s="137">
        <v>330</v>
      </c>
      <c r="AA660" s="139">
        <v>190</v>
      </c>
    </row>
    <row r="661" spans="1:27">
      <c r="A661" s="216"/>
      <c r="B661" s="217"/>
      <c r="F661" s="88" t="s">
        <v>4</v>
      </c>
      <c r="G661" s="112" t="s">
        <v>894</v>
      </c>
      <c r="I661" s="88" t="s">
        <v>25</v>
      </c>
      <c r="J661" s="80">
        <v>5</v>
      </c>
      <c r="K661" s="89">
        <v>300</v>
      </c>
      <c r="M661" s="88" t="s">
        <v>1638</v>
      </c>
      <c r="N661" s="72" t="s">
        <v>33</v>
      </c>
      <c r="O661" s="72" t="s">
        <v>34</v>
      </c>
      <c r="P661" s="72" t="s">
        <v>35</v>
      </c>
      <c r="Q661" s="89" t="s">
        <v>1778</v>
      </c>
      <c r="S661" s="88" t="s">
        <v>60</v>
      </c>
      <c r="T661" s="89" t="s">
        <v>1909</v>
      </c>
      <c r="V661" s="135" t="s">
        <v>73</v>
      </c>
      <c r="W661" s="136" t="s">
        <v>1910</v>
      </c>
      <c r="Y661" s="88" t="s">
        <v>91</v>
      </c>
      <c r="Z661" s="72">
        <v>300</v>
      </c>
      <c r="AA661" s="89">
        <v>380</v>
      </c>
    </row>
    <row r="662" spans="1:27">
      <c r="A662" s="216"/>
      <c r="B662" s="217"/>
      <c r="F662" s="88" t="s">
        <v>6</v>
      </c>
      <c r="G662" s="112" t="s">
        <v>1484</v>
      </c>
      <c r="I662" s="90" t="s">
        <v>26</v>
      </c>
      <c r="J662" s="91"/>
      <c r="K662" s="92">
        <v>630</v>
      </c>
      <c r="M662" s="88" t="s">
        <v>1553</v>
      </c>
      <c r="N662" s="72" t="s">
        <v>33</v>
      </c>
      <c r="O662" s="72" t="s">
        <v>43</v>
      </c>
      <c r="P662" s="72" t="s">
        <v>33</v>
      </c>
      <c r="Q662" s="89" t="s">
        <v>1641</v>
      </c>
      <c r="S662" s="88" t="s">
        <v>62</v>
      </c>
      <c r="T662" s="89" t="s">
        <v>2016</v>
      </c>
      <c r="V662" s="88" t="s">
        <v>76</v>
      </c>
      <c r="W662" s="89" t="s">
        <v>2017</v>
      </c>
      <c r="Y662" s="88" t="s">
        <v>26</v>
      </c>
      <c r="Z662" s="72">
        <v>630</v>
      </c>
      <c r="AA662" s="89">
        <v>570</v>
      </c>
    </row>
    <row r="663" spans="1:27">
      <c r="A663" s="216"/>
      <c r="B663" s="217"/>
      <c r="F663" s="88" t="s">
        <v>8</v>
      </c>
      <c r="G663" s="112" t="s">
        <v>2089</v>
      </c>
      <c r="M663" s="88" t="s">
        <v>42</v>
      </c>
      <c r="N663" s="72" t="s">
        <v>33</v>
      </c>
      <c r="O663" s="72" t="s">
        <v>43</v>
      </c>
      <c r="P663" s="72" t="s">
        <v>33</v>
      </c>
      <c r="Q663" s="89" t="s">
        <v>1914</v>
      </c>
      <c r="S663" s="119" t="s">
        <v>64</v>
      </c>
      <c r="T663" s="120" t="s">
        <v>2090</v>
      </c>
      <c r="V663" s="88" t="s">
        <v>79</v>
      </c>
      <c r="W663" s="89" t="s">
        <v>1584</v>
      </c>
      <c r="Y663" s="90" t="s">
        <v>92</v>
      </c>
      <c r="Z663" s="91"/>
      <c r="AA663" s="122">
        <v>9.5000000000000001E-2</v>
      </c>
    </row>
    <row r="664" spans="1:27">
      <c r="A664" s="216"/>
      <c r="B664" s="217"/>
      <c r="F664" s="88" t="s">
        <v>10</v>
      </c>
      <c r="G664" s="112" t="s">
        <v>12</v>
      </c>
      <c r="M664" s="88" t="s">
        <v>2020</v>
      </c>
      <c r="N664" s="72" t="s">
        <v>33</v>
      </c>
      <c r="O664" s="72" t="s">
        <v>43</v>
      </c>
      <c r="P664" s="72" t="s">
        <v>33</v>
      </c>
      <c r="Q664" s="89" t="s">
        <v>2021</v>
      </c>
      <c r="S664" s="90" t="s">
        <v>66</v>
      </c>
      <c r="T664" s="133" t="s">
        <v>2091</v>
      </c>
      <c r="V664" s="90" t="s">
        <v>82</v>
      </c>
      <c r="W664" s="92" t="s">
        <v>1789</v>
      </c>
    </row>
    <row r="665" spans="1:27">
      <c r="A665" s="216"/>
      <c r="B665" s="217"/>
      <c r="F665" s="88" t="s">
        <v>13</v>
      </c>
      <c r="G665" s="201" t="s">
        <v>2092</v>
      </c>
      <c r="M665" s="88" t="s">
        <v>1972</v>
      </c>
      <c r="N665" s="72" t="s">
        <v>35</v>
      </c>
      <c r="O665" s="72" t="s">
        <v>52</v>
      </c>
      <c r="P665" s="72" t="s">
        <v>35</v>
      </c>
      <c r="Q665" s="89" t="s">
        <v>1936</v>
      </c>
    </row>
    <row r="666" spans="1:27">
      <c r="A666" s="216"/>
      <c r="B666" s="217"/>
      <c r="F666" s="88" t="s">
        <v>15</v>
      </c>
      <c r="G666" s="112" t="s">
        <v>2093</v>
      </c>
      <c r="M666" s="88" t="s">
        <v>924</v>
      </c>
      <c r="N666" s="72" t="s">
        <v>35</v>
      </c>
      <c r="O666" s="72" t="s">
        <v>52</v>
      </c>
      <c r="P666" s="72" t="s">
        <v>35</v>
      </c>
      <c r="Q666" s="89" t="s">
        <v>1937</v>
      </c>
    </row>
    <row r="667" spans="1:27">
      <c r="A667" s="216"/>
      <c r="B667" s="217"/>
      <c r="F667" s="88" t="s">
        <v>17</v>
      </c>
      <c r="G667" s="113">
        <v>46126</v>
      </c>
      <c r="M667" s="119" t="s">
        <v>1923</v>
      </c>
      <c r="N667" s="93" t="s">
        <v>35</v>
      </c>
      <c r="O667" s="93" t="s">
        <v>52</v>
      </c>
      <c r="P667" s="93" t="s">
        <v>35</v>
      </c>
      <c r="Q667" s="120" t="s">
        <v>2028</v>
      </c>
    </row>
    <row r="668" spans="1:27">
      <c r="A668" s="218"/>
      <c r="B668" s="219"/>
      <c r="F668" s="90" t="s">
        <v>18</v>
      </c>
      <c r="G668" s="114" t="s">
        <v>19</v>
      </c>
      <c r="M668" s="88" t="s">
        <v>1855</v>
      </c>
      <c r="N668" s="72" t="s">
        <v>35</v>
      </c>
      <c r="O668" s="72" t="s">
        <v>52</v>
      </c>
      <c r="P668" s="72" t="s">
        <v>35</v>
      </c>
      <c r="Q668" s="89" t="s">
        <v>1826</v>
      </c>
    </row>
    <row r="669" spans="1:27">
      <c r="M669" s="90" t="s">
        <v>1799</v>
      </c>
      <c r="N669" s="91" t="s">
        <v>35</v>
      </c>
      <c r="O669" s="91" t="s">
        <v>52</v>
      </c>
      <c r="P669" s="91" t="s">
        <v>35</v>
      </c>
      <c r="Q669" s="92" t="s">
        <v>1976</v>
      </c>
    </row>
    <row r="673" spans="1:27">
      <c r="A673" s="214" t="s">
        <v>322</v>
      </c>
      <c r="B673" s="215"/>
      <c r="F673" s="85" t="s">
        <v>0</v>
      </c>
      <c r="G673" s="118" t="s">
        <v>1</v>
      </c>
      <c r="I673" s="85" t="s">
        <v>20</v>
      </c>
      <c r="J673" s="86" t="s">
        <v>21</v>
      </c>
      <c r="K673" s="87" t="s">
        <v>23</v>
      </c>
      <c r="M673" s="85" t="s">
        <v>27</v>
      </c>
      <c r="N673" s="86" t="s">
        <v>28</v>
      </c>
      <c r="O673" s="86" t="s">
        <v>29</v>
      </c>
      <c r="P673" s="86" t="s">
        <v>30</v>
      </c>
      <c r="Q673" s="87" t="s">
        <v>31</v>
      </c>
      <c r="S673" s="85" t="s">
        <v>56</v>
      </c>
      <c r="T673" s="87" t="s">
        <v>57</v>
      </c>
      <c r="U673" s="79"/>
      <c r="V673" s="85" t="s">
        <v>68</v>
      </c>
      <c r="W673" s="87" t="s">
        <v>69</v>
      </c>
      <c r="Y673" s="85" t="s">
        <v>85</v>
      </c>
      <c r="Z673" s="86" t="s">
        <v>88</v>
      </c>
      <c r="AA673" s="87" t="s">
        <v>89</v>
      </c>
    </row>
    <row r="674" spans="1:27">
      <c r="A674" s="216"/>
      <c r="B674" s="217"/>
      <c r="F674" s="88" t="s">
        <v>2</v>
      </c>
      <c r="G674" s="134" t="s">
        <v>2094</v>
      </c>
      <c r="I674" s="88" t="s">
        <v>24</v>
      </c>
      <c r="J674" s="72">
        <v>6</v>
      </c>
      <c r="K674" s="89">
        <v>420</v>
      </c>
      <c r="M674" s="88" t="s">
        <v>1684</v>
      </c>
      <c r="N674" s="72" t="s">
        <v>33</v>
      </c>
      <c r="O674" s="72" t="s">
        <v>34</v>
      </c>
      <c r="P674" s="72" t="s">
        <v>35</v>
      </c>
      <c r="Q674" s="89" t="s">
        <v>1808</v>
      </c>
      <c r="S674" s="88" t="s">
        <v>58</v>
      </c>
      <c r="T674" s="89" t="s">
        <v>2095</v>
      </c>
      <c r="V674" s="138" t="s">
        <v>70</v>
      </c>
      <c r="W674" s="139" t="s">
        <v>2096</v>
      </c>
      <c r="Y674" s="138" t="s">
        <v>90</v>
      </c>
      <c r="Z674" s="137">
        <v>420</v>
      </c>
      <c r="AA674" s="139">
        <v>250</v>
      </c>
    </row>
    <row r="675" spans="1:27">
      <c r="A675" s="216"/>
      <c r="B675" s="217"/>
      <c r="F675" s="88" t="s">
        <v>4</v>
      </c>
      <c r="G675" s="112" t="s">
        <v>894</v>
      </c>
      <c r="I675" s="88" t="s">
        <v>25</v>
      </c>
      <c r="J675" s="80">
        <v>3</v>
      </c>
      <c r="K675" s="89">
        <v>210</v>
      </c>
      <c r="M675" s="88" t="s">
        <v>1864</v>
      </c>
      <c r="N675" s="72" t="s">
        <v>33</v>
      </c>
      <c r="O675" s="72" t="s">
        <v>43</v>
      </c>
      <c r="P675" s="72" t="s">
        <v>33</v>
      </c>
      <c r="Q675" s="89" t="s">
        <v>1609</v>
      </c>
      <c r="S675" s="88" t="s">
        <v>60</v>
      </c>
      <c r="T675" s="89" t="s">
        <v>2097</v>
      </c>
      <c r="V675" s="135" t="s">
        <v>73</v>
      </c>
      <c r="W675" s="136" t="s">
        <v>2098</v>
      </c>
      <c r="Y675" s="88" t="s">
        <v>91</v>
      </c>
      <c r="Z675" s="72">
        <v>210</v>
      </c>
      <c r="AA675" s="89">
        <v>310</v>
      </c>
    </row>
    <row r="676" spans="1:27">
      <c r="A676" s="216"/>
      <c r="B676" s="217"/>
      <c r="F676" s="88" t="s">
        <v>6</v>
      </c>
      <c r="G676" s="112" t="s">
        <v>1484</v>
      </c>
      <c r="I676" s="90" t="s">
        <v>26</v>
      </c>
      <c r="J676" s="91"/>
      <c r="K676" s="92">
        <v>630</v>
      </c>
      <c r="M676" s="88" t="s">
        <v>1037</v>
      </c>
      <c r="N676" s="72" t="s">
        <v>33</v>
      </c>
      <c r="O676" s="72" t="s">
        <v>34</v>
      </c>
      <c r="P676" s="72" t="s">
        <v>33</v>
      </c>
      <c r="Q676" s="89" t="s">
        <v>2099</v>
      </c>
      <c r="S676" s="88" t="s">
        <v>62</v>
      </c>
      <c r="T676" s="89" t="s">
        <v>2016</v>
      </c>
      <c r="V676" s="88" t="s">
        <v>76</v>
      </c>
      <c r="W676" s="89" t="s">
        <v>2080</v>
      </c>
      <c r="Y676" s="88" t="s">
        <v>26</v>
      </c>
      <c r="Z676" s="72">
        <v>630</v>
      </c>
      <c r="AA676" s="89">
        <v>560</v>
      </c>
    </row>
    <row r="677" spans="1:27">
      <c r="A677" s="216"/>
      <c r="B677" s="217"/>
      <c r="F677" s="88" t="s">
        <v>8</v>
      </c>
      <c r="G677" s="112" t="s">
        <v>2100</v>
      </c>
      <c r="M677" s="88" t="s">
        <v>49</v>
      </c>
      <c r="N677" s="72" t="s">
        <v>33</v>
      </c>
      <c r="O677" s="72" t="s">
        <v>43</v>
      </c>
      <c r="P677" s="72" t="s">
        <v>33</v>
      </c>
      <c r="Q677" s="89" t="s">
        <v>2101</v>
      </c>
      <c r="S677" s="119" t="s">
        <v>64</v>
      </c>
      <c r="T677" s="120" t="s">
        <v>2102</v>
      </c>
      <c r="V677" s="88" t="s">
        <v>79</v>
      </c>
      <c r="W677" s="89" t="s">
        <v>1759</v>
      </c>
      <c r="Y677" s="90" t="s">
        <v>92</v>
      </c>
      <c r="Z677" s="91"/>
      <c r="AA677" s="122">
        <v>0.111</v>
      </c>
    </row>
    <row r="678" spans="1:27">
      <c r="A678" s="216"/>
      <c r="B678" s="217"/>
      <c r="F678" s="88" t="s">
        <v>10</v>
      </c>
      <c r="G678" s="112" t="s">
        <v>1494</v>
      </c>
      <c r="M678" s="88" t="s">
        <v>42</v>
      </c>
      <c r="N678" s="72" t="s">
        <v>33</v>
      </c>
      <c r="O678" s="72" t="s">
        <v>43</v>
      </c>
      <c r="P678" s="72" t="s">
        <v>33</v>
      </c>
      <c r="Q678" s="89" t="s">
        <v>1784</v>
      </c>
      <c r="S678" s="90" t="s">
        <v>66</v>
      </c>
      <c r="T678" s="133" t="s">
        <v>1815</v>
      </c>
      <c r="V678" s="90" t="s">
        <v>82</v>
      </c>
      <c r="W678" s="92" t="s">
        <v>2103</v>
      </c>
    </row>
    <row r="679" spans="1:27">
      <c r="A679" s="216"/>
      <c r="B679" s="217"/>
      <c r="F679" s="88" t="s">
        <v>13</v>
      </c>
      <c r="G679" t="s">
        <v>2104</v>
      </c>
      <c r="M679" s="88" t="s">
        <v>1956</v>
      </c>
      <c r="N679" s="72" t="s">
        <v>33</v>
      </c>
      <c r="O679" s="72" t="s">
        <v>34</v>
      </c>
      <c r="P679" s="72" t="s">
        <v>35</v>
      </c>
      <c r="Q679" s="89" t="s">
        <v>2073</v>
      </c>
    </row>
    <row r="680" spans="1:27">
      <c r="A680" s="216"/>
      <c r="B680" s="217"/>
      <c r="F680" s="88" t="s">
        <v>15</v>
      </c>
      <c r="G680" s="112" t="s">
        <v>2105</v>
      </c>
      <c r="M680" s="88" t="s">
        <v>2106</v>
      </c>
      <c r="N680" s="72" t="s">
        <v>35</v>
      </c>
      <c r="O680" s="72" t="s">
        <v>52</v>
      </c>
      <c r="P680" s="72" t="s">
        <v>35</v>
      </c>
      <c r="Q680" s="89" t="s">
        <v>1936</v>
      </c>
    </row>
    <row r="681" spans="1:27">
      <c r="A681" s="216"/>
      <c r="B681" s="217"/>
      <c r="F681" s="88" t="s">
        <v>17</v>
      </c>
      <c r="G681" s="113">
        <v>46126</v>
      </c>
      <c r="M681" s="119" t="s">
        <v>1794</v>
      </c>
      <c r="N681" s="93" t="s">
        <v>35</v>
      </c>
      <c r="O681" s="93" t="s">
        <v>52</v>
      </c>
      <c r="P681" s="93" t="s">
        <v>35</v>
      </c>
      <c r="Q681" s="120" t="s">
        <v>1922</v>
      </c>
    </row>
    <row r="682" spans="1:27">
      <c r="A682" s="218"/>
      <c r="B682" s="219"/>
      <c r="F682" s="90" t="s">
        <v>18</v>
      </c>
      <c r="G682" s="114" t="s">
        <v>19</v>
      </c>
      <c r="M682" s="90" t="s">
        <v>1958</v>
      </c>
      <c r="N682" s="91" t="s">
        <v>35</v>
      </c>
      <c r="O682" s="91" t="s">
        <v>52</v>
      </c>
      <c r="P682" s="91" t="s">
        <v>35</v>
      </c>
      <c r="Q682" s="92" t="s">
        <v>2041</v>
      </c>
    </row>
    <row r="687" spans="1:27">
      <c r="A687" s="214" t="s">
        <v>324</v>
      </c>
      <c r="B687" s="215"/>
      <c r="F687" s="85" t="s">
        <v>0</v>
      </c>
      <c r="G687" s="118" t="s">
        <v>1</v>
      </c>
      <c r="I687" s="85" t="s">
        <v>20</v>
      </c>
      <c r="J687" s="86" t="s">
        <v>21</v>
      </c>
      <c r="K687" s="87" t="s">
        <v>23</v>
      </c>
      <c r="M687" s="85" t="s">
        <v>27</v>
      </c>
      <c r="N687" s="86" t="s">
        <v>28</v>
      </c>
      <c r="O687" s="86" t="s">
        <v>29</v>
      </c>
      <c r="P687" s="86" t="s">
        <v>30</v>
      </c>
      <c r="Q687" s="87" t="s">
        <v>31</v>
      </c>
      <c r="S687" s="85" t="s">
        <v>56</v>
      </c>
      <c r="T687" s="87" t="s">
        <v>57</v>
      </c>
      <c r="U687" s="79"/>
      <c r="V687" s="85" t="s">
        <v>68</v>
      </c>
      <c r="W687" s="87" t="s">
        <v>69</v>
      </c>
      <c r="Y687" s="85" t="s">
        <v>85</v>
      </c>
      <c r="Z687" s="86" t="s">
        <v>88</v>
      </c>
      <c r="AA687" s="87" t="s">
        <v>89</v>
      </c>
    </row>
    <row r="688" spans="1:27">
      <c r="A688" s="216"/>
      <c r="B688" s="217"/>
      <c r="F688" s="88" t="s">
        <v>2</v>
      </c>
      <c r="G688" s="134" t="s">
        <v>2107</v>
      </c>
      <c r="I688" s="88" t="s">
        <v>24</v>
      </c>
      <c r="J688" s="72">
        <v>4</v>
      </c>
      <c r="K688" s="89">
        <v>260</v>
      </c>
      <c r="M688" s="88" t="s">
        <v>2108</v>
      </c>
      <c r="N688" s="72" t="s">
        <v>33</v>
      </c>
      <c r="O688" s="72" t="s">
        <v>34</v>
      </c>
      <c r="P688" s="72" t="s">
        <v>35</v>
      </c>
      <c r="Q688" s="89" t="s">
        <v>2109</v>
      </c>
      <c r="S688" s="88" t="s">
        <v>58</v>
      </c>
      <c r="T688" s="89" t="s">
        <v>2110</v>
      </c>
      <c r="V688" s="138" t="s">
        <v>70</v>
      </c>
      <c r="W688" s="139" t="s">
        <v>2111</v>
      </c>
      <c r="Y688" s="138" t="s">
        <v>90</v>
      </c>
      <c r="Z688" s="137">
        <v>260</v>
      </c>
      <c r="AA688" s="139">
        <v>140</v>
      </c>
    </row>
    <row r="689" spans="1:27">
      <c r="A689" s="216"/>
      <c r="B689" s="217"/>
      <c r="F689" s="88" t="s">
        <v>4</v>
      </c>
      <c r="G689" s="112" t="s">
        <v>894</v>
      </c>
      <c r="I689" s="88" t="s">
        <v>25</v>
      </c>
      <c r="J689" s="80">
        <v>5</v>
      </c>
      <c r="K689" s="89">
        <v>320</v>
      </c>
      <c r="M689" s="88" t="s">
        <v>32</v>
      </c>
      <c r="N689" s="72" t="s">
        <v>33</v>
      </c>
      <c r="O689" s="72" t="s">
        <v>34</v>
      </c>
      <c r="P689" s="72" t="s">
        <v>35</v>
      </c>
      <c r="Q689" s="89" t="s">
        <v>1906</v>
      </c>
      <c r="S689" s="88" t="s">
        <v>60</v>
      </c>
      <c r="T689" s="89" t="s">
        <v>2112</v>
      </c>
      <c r="V689" s="135" t="s">
        <v>73</v>
      </c>
      <c r="W689" s="136" t="s">
        <v>2113</v>
      </c>
      <c r="Y689" s="88" t="s">
        <v>91</v>
      </c>
      <c r="Z689" s="72">
        <v>320</v>
      </c>
      <c r="AA689" s="89">
        <v>400</v>
      </c>
    </row>
    <row r="690" spans="1:27">
      <c r="A690" s="216"/>
      <c r="B690" s="217"/>
      <c r="F690" s="88" t="s">
        <v>6</v>
      </c>
      <c r="G690" s="112" t="s">
        <v>1484</v>
      </c>
      <c r="I690" s="90" t="s">
        <v>26</v>
      </c>
      <c r="J690" s="91"/>
      <c r="K690" s="92">
        <v>580</v>
      </c>
      <c r="M690" s="88" t="s">
        <v>1638</v>
      </c>
      <c r="N690" s="72" t="s">
        <v>33</v>
      </c>
      <c r="O690" s="72" t="s">
        <v>34</v>
      </c>
      <c r="P690" s="72" t="s">
        <v>35</v>
      </c>
      <c r="Q690" s="89" t="s">
        <v>1778</v>
      </c>
      <c r="S690" s="88" t="s">
        <v>62</v>
      </c>
      <c r="T690" s="89" t="s">
        <v>2114</v>
      </c>
      <c r="V690" s="88" t="s">
        <v>76</v>
      </c>
      <c r="W690" s="89" t="s">
        <v>2109</v>
      </c>
      <c r="Y690" s="88" t="s">
        <v>26</v>
      </c>
      <c r="Z690" s="72">
        <v>580</v>
      </c>
      <c r="AA690" s="89">
        <v>540</v>
      </c>
    </row>
    <row r="691" spans="1:27">
      <c r="A691" s="216"/>
      <c r="B691" s="217"/>
      <c r="F691" s="88" t="s">
        <v>8</v>
      </c>
      <c r="G691" s="112" t="s">
        <v>2115</v>
      </c>
      <c r="M691" s="88" t="s">
        <v>49</v>
      </c>
      <c r="N691" s="72" t="s">
        <v>33</v>
      </c>
      <c r="O691" s="72" t="s">
        <v>43</v>
      </c>
      <c r="P691" s="72" t="s">
        <v>33</v>
      </c>
      <c r="Q691" s="89" t="s">
        <v>2116</v>
      </c>
      <c r="S691" s="119" t="s">
        <v>64</v>
      </c>
      <c r="T691" s="120" t="s">
        <v>2117</v>
      </c>
      <c r="V691" s="88" t="s">
        <v>79</v>
      </c>
      <c r="W691" s="89" t="s">
        <v>1584</v>
      </c>
      <c r="Y691" s="90" t="s">
        <v>92</v>
      </c>
      <c r="Z691" s="91"/>
      <c r="AA691" s="122">
        <v>6.9000000000000006E-2</v>
      </c>
    </row>
    <row r="692" spans="1:27">
      <c r="A692" s="216"/>
      <c r="B692" s="217"/>
      <c r="F692" s="88" t="s">
        <v>10</v>
      </c>
      <c r="G692" s="112" t="s">
        <v>12</v>
      </c>
      <c r="M692" s="88" t="s">
        <v>1626</v>
      </c>
      <c r="N692" s="72" t="s">
        <v>35</v>
      </c>
      <c r="O692" s="72" t="s">
        <v>52</v>
      </c>
      <c r="P692" s="72" t="s">
        <v>35</v>
      </c>
      <c r="Q692" s="89" t="s">
        <v>2118</v>
      </c>
      <c r="S692" s="90" t="s">
        <v>66</v>
      </c>
      <c r="T692" s="133" t="s">
        <v>1917</v>
      </c>
      <c r="V692" s="90" t="s">
        <v>82</v>
      </c>
      <c r="W692" s="92" t="s">
        <v>2119</v>
      </c>
    </row>
    <row r="693" spans="1:27">
      <c r="A693" s="216"/>
      <c r="B693" s="217"/>
      <c r="F693" s="88" t="s">
        <v>13</v>
      </c>
      <c r="G693" t="s">
        <v>2120</v>
      </c>
      <c r="M693" s="88" t="s">
        <v>924</v>
      </c>
      <c r="N693" s="72" t="s">
        <v>35</v>
      </c>
      <c r="O693" s="72" t="s">
        <v>52</v>
      </c>
      <c r="P693" s="72" t="s">
        <v>35</v>
      </c>
      <c r="Q693" s="89" t="s">
        <v>1922</v>
      </c>
    </row>
    <row r="694" spans="1:27">
      <c r="A694" s="216"/>
      <c r="B694" s="217"/>
      <c r="F694" s="88" t="s">
        <v>15</v>
      </c>
      <c r="G694" s="112" t="s">
        <v>2121</v>
      </c>
      <c r="M694" s="88" t="s">
        <v>1958</v>
      </c>
      <c r="N694" s="72" t="s">
        <v>35</v>
      </c>
      <c r="O694" s="72" t="s">
        <v>52</v>
      </c>
      <c r="P694" s="72" t="s">
        <v>35</v>
      </c>
      <c r="Q694" s="89" t="s">
        <v>2122</v>
      </c>
    </row>
    <row r="695" spans="1:27">
      <c r="A695" s="216"/>
      <c r="B695" s="217"/>
      <c r="F695" s="88" t="s">
        <v>17</v>
      </c>
      <c r="G695" s="113">
        <v>46126</v>
      </c>
      <c r="M695" s="119" t="s">
        <v>1182</v>
      </c>
      <c r="N695" s="93" t="s">
        <v>35</v>
      </c>
      <c r="O695" s="93" t="s">
        <v>52</v>
      </c>
      <c r="P695" s="93" t="s">
        <v>35</v>
      </c>
      <c r="Q695" s="120" t="s">
        <v>1826</v>
      </c>
    </row>
    <row r="696" spans="1:27">
      <c r="A696" s="218"/>
      <c r="B696" s="219"/>
      <c r="F696" s="90" t="s">
        <v>18</v>
      </c>
      <c r="G696" s="114" t="s">
        <v>19</v>
      </c>
      <c r="M696" s="90" t="s">
        <v>2123</v>
      </c>
      <c r="N696" s="91" t="s">
        <v>35</v>
      </c>
      <c r="O696" s="91" t="s">
        <v>52</v>
      </c>
      <c r="P696" s="91" t="s">
        <v>35</v>
      </c>
      <c r="Q696" s="92" t="s">
        <v>1976</v>
      </c>
    </row>
    <row r="700" spans="1:27">
      <c r="A700" s="214" t="s">
        <v>326</v>
      </c>
      <c r="B700" s="215"/>
      <c r="F700" s="85" t="s">
        <v>0</v>
      </c>
      <c r="G700" s="118" t="s">
        <v>1</v>
      </c>
      <c r="I700" s="85" t="s">
        <v>20</v>
      </c>
      <c r="J700" s="86" t="s">
        <v>21</v>
      </c>
      <c r="K700" s="87" t="s">
        <v>23</v>
      </c>
      <c r="M700" s="85" t="s">
        <v>27</v>
      </c>
      <c r="N700" s="86" t="s">
        <v>28</v>
      </c>
      <c r="O700" s="86" t="s">
        <v>29</v>
      </c>
      <c r="P700" s="86" t="s">
        <v>30</v>
      </c>
      <c r="Q700" s="87" t="s">
        <v>31</v>
      </c>
      <c r="S700" s="85" t="s">
        <v>56</v>
      </c>
      <c r="T700" s="87" t="s">
        <v>57</v>
      </c>
      <c r="U700" s="79"/>
      <c r="V700" s="85" t="s">
        <v>68</v>
      </c>
      <c r="W700" s="87" t="s">
        <v>69</v>
      </c>
      <c r="Y700" s="85" t="s">
        <v>85</v>
      </c>
      <c r="Z700" s="86" t="s">
        <v>88</v>
      </c>
      <c r="AA700" s="87" t="s">
        <v>89</v>
      </c>
    </row>
    <row r="701" spans="1:27">
      <c r="A701" s="216"/>
      <c r="B701" s="217"/>
      <c r="F701" s="88" t="s">
        <v>2</v>
      </c>
      <c r="G701" s="134" t="s">
        <v>2124</v>
      </c>
      <c r="I701" s="88" t="s">
        <v>24</v>
      </c>
      <c r="J701" s="72">
        <v>6</v>
      </c>
      <c r="K701" s="89">
        <v>410</v>
      </c>
      <c r="M701" s="88" t="s">
        <v>2125</v>
      </c>
      <c r="N701" s="72" t="s">
        <v>33</v>
      </c>
      <c r="O701" s="72" t="s">
        <v>43</v>
      </c>
      <c r="P701" s="72" t="s">
        <v>33</v>
      </c>
      <c r="Q701" s="89" t="s">
        <v>1805</v>
      </c>
      <c r="S701" s="88" t="s">
        <v>58</v>
      </c>
      <c r="T701" s="89" t="s">
        <v>2126</v>
      </c>
      <c r="V701" s="138" t="s">
        <v>70</v>
      </c>
      <c r="W701" s="139" t="s">
        <v>2127</v>
      </c>
      <c r="Y701" s="138" t="s">
        <v>90</v>
      </c>
      <c r="Z701" s="137">
        <v>410</v>
      </c>
      <c r="AA701" s="139">
        <v>250</v>
      </c>
    </row>
    <row r="702" spans="1:27">
      <c r="A702" s="216"/>
      <c r="B702" s="217"/>
      <c r="F702" s="88" t="s">
        <v>4</v>
      </c>
      <c r="G702" s="112" t="s">
        <v>894</v>
      </c>
      <c r="I702" s="88" t="s">
        <v>25</v>
      </c>
      <c r="J702" s="80">
        <v>4</v>
      </c>
      <c r="K702" s="89">
        <v>260</v>
      </c>
      <c r="M702" s="88" t="s">
        <v>32</v>
      </c>
      <c r="N702" s="72" t="s">
        <v>33</v>
      </c>
      <c r="O702" s="72" t="s">
        <v>34</v>
      </c>
      <c r="P702" s="72" t="s">
        <v>35</v>
      </c>
      <c r="Q702" s="89" t="s">
        <v>1906</v>
      </c>
      <c r="S702" s="88" t="s">
        <v>60</v>
      </c>
      <c r="T702" s="89" t="s">
        <v>2064</v>
      </c>
      <c r="V702" s="135" t="s">
        <v>73</v>
      </c>
      <c r="W702" s="136" t="s">
        <v>2113</v>
      </c>
      <c r="Y702" s="88" t="s">
        <v>91</v>
      </c>
      <c r="Z702" s="72">
        <v>260</v>
      </c>
      <c r="AA702" s="89">
        <v>350</v>
      </c>
    </row>
    <row r="703" spans="1:27">
      <c r="A703" s="216"/>
      <c r="B703" s="217"/>
      <c r="F703" s="88" t="s">
        <v>6</v>
      </c>
      <c r="G703" s="112" t="s">
        <v>1484</v>
      </c>
      <c r="I703" s="90" t="s">
        <v>26</v>
      </c>
      <c r="J703" s="91"/>
      <c r="K703" s="92">
        <v>670</v>
      </c>
      <c r="M703" s="88" t="s">
        <v>1638</v>
      </c>
      <c r="N703" s="72" t="s">
        <v>33</v>
      </c>
      <c r="O703" s="72" t="s">
        <v>34</v>
      </c>
      <c r="P703" s="72" t="s">
        <v>35</v>
      </c>
      <c r="Q703" s="89" t="s">
        <v>1778</v>
      </c>
      <c r="S703" s="88" t="s">
        <v>62</v>
      </c>
      <c r="T703" s="89" t="s">
        <v>2128</v>
      </c>
      <c r="V703" s="88" t="s">
        <v>76</v>
      </c>
      <c r="W703" s="89" t="s">
        <v>2129</v>
      </c>
      <c r="Y703" s="88" t="s">
        <v>26</v>
      </c>
      <c r="Z703" s="72">
        <v>670</v>
      </c>
      <c r="AA703" s="89">
        <v>600</v>
      </c>
    </row>
    <row r="704" spans="1:27">
      <c r="A704" s="216"/>
      <c r="B704" s="217"/>
      <c r="F704" s="88" t="s">
        <v>8</v>
      </c>
      <c r="G704" s="112" t="s">
        <v>2130</v>
      </c>
      <c r="M704" s="88" t="s">
        <v>1553</v>
      </c>
      <c r="N704" s="72" t="s">
        <v>33</v>
      </c>
      <c r="O704" s="72" t="s">
        <v>43</v>
      </c>
      <c r="P704" s="72" t="s">
        <v>33</v>
      </c>
      <c r="Q704" s="89" t="s">
        <v>1811</v>
      </c>
      <c r="S704" s="119" t="s">
        <v>64</v>
      </c>
      <c r="T704" s="120" t="s">
        <v>2131</v>
      </c>
      <c r="V704" s="88" t="s">
        <v>79</v>
      </c>
      <c r="W704" s="89" t="s">
        <v>1759</v>
      </c>
      <c r="Y704" s="90" t="s">
        <v>92</v>
      </c>
      <c r="Z704" s="91"/>
      <c r="AA704" s="122">
        <v>0.104</v>
      </c>
    </row>
    <row r="705" spans="1:27">
      <c r="A705" s="216"/>
      <c r="B705" s="217"/>
      <c r="F705" s="88" t="s">
        <v>10</v>
      </c>
      <c r="G705" s="112" t="s">
        <v>12</v>
      </c>
      <c r="M705" s="88" t="s">
        <v>49</v>
      </c>
      <c r="N705" s="72" t="s">
        <v>33</v>
      </c>
      <c r="O705" s="72" t="s">
        <v>43</v>
      </c>
      <c r="P705" s="72" t="s">
        <v>33</v>
      </c>
      <c r="Q705" s="89" t="s">
        <v>2132</v>
      </c>
      <c r="S705" s="90" t="s">
        <v>66</v>
      </c>
      <c r="T705" s="133" t="s">
        <v>1815</v>
      </c>
      <c r="V705" s="90" t="s">
        <v>82</v>
      </c>
      <c r="W705" s="92" t="s">
        <v>2133</v>
      </c>
    </row>
    <row r="706" spans="1:27">
      <c r="A706" s="216"/>
      <c r="B706" s="217"/>
      <c r="F706" s="88" t="s">
        <v>13</v>
      </c>
      <c r="G706" t="s">
        <v>2134</v>
      </c>
      <c r="M706" s="88" t="s">
        <v>42</v>
      </c>
      <c r="N706" s="72" t="s">
        <v>33</v>
      </c>
      <c r="O706" s="72" t="s">
        <v>43</v>
      </c>
      <c r="P706" s="72" t="s">
        <v>33</v>
      </c>
      <c r="Q706" s="89" t="s">
        <v>1914</v>
      </c>
    </row>
    <row r="707" spans="1:27">
      <c r="A707" s="216"/>
      <c r="B707" s="217"/>
      <c r="F707" s="88" t="s">
        <v>15</v>
      </c>
      <c r="G707" s="112" t="s">
        <v>2135</v>
      </c>
      <c r="M707" s="88" t="s">
        <v>2136</v>
      </c>
      <c r="N707" s="72" t="s">
        <v>35</v>
      </c>
      <c r="O707" s="72" t="s">
        <v>52</v>
      </c>
      <c r="P707" s="72" t="s">
        <v>35</v>
      </c>
      <c r="Q707" s="89" t="s">
        <v>1792</v>
      </c>
    </row>
    <row r="708" spans="1:27">
      <c r="A708" s="216"/>
      <c r="B708" s="217"/>
      <c r="F708" s="88" t="s">
        <v>17</v>
      </c>
      <c r="G708" s="113">
        <v>46126</v>
      </c>
      <c r="M708" s="88" t="s">
        <v>1679</v>
      </c>
      <c r="N708" s="72" t="s">
        <v>35</v>
      </c>
      <c r="O708" s="72" t="s">
        <v>52</v>
      </c>
      <c r="P708" s="72" t="s">
        <v>35</v>
      </c>
      <c r="Q708" s="89" t="s">
        <v>1922</v>
      </c>
    </row>
    <row r="709" spans="1:27">
      <c r="A709" s="218"/>
      <c r="B709" s="219"/>
      <c r="F709" s="90" t="s">
        <v>18</v>
      </c>
      <c r="G709" s="114" t="s">
        <v>19</v>
      </c>
      <c r="M709" s="88" t="s">
        <v>1958</v>
      </c>
      <c r="N709" s="72" t="s">
        <v>35</v>
      </c>
      <c r="O709" s="72" t="s">
        <v>52</v>
      </c>
      <c r="P709" s="72" t="s">
        <v>35</v>
      </c>
      <c r="Q709" s="89" t="s">
        <v>2041</v>
      </c>
    </row>
    <row r="710" spans="1:27">
      <c r="M710" s="90" t="s">
        <v>1975</v>
      </c>
      <c r="N710" s="91" t="s">
        <v>35</v>
      </c>
      <c r="O710" s="91" t="s">
        <v>52</v>
      </c>
      <c r="P710" s="91" t="s">
        <v>35</v>
      </c>
      <c r="Q710" s="92" t="s">
        <v>1826</v>
      </c>
    </row>
    <row r="713" spans="1:27">
      <c r="A713" s="214" t="s">
        <v>328</v>
      </c>
      <c r="B713" s="215"/>
      <c r="F713" s="85" t="s">
        <v>0</v>
      </c>
      <c r="G713" s="118" t="s">
        <v>1</v>
      </c>
      <c r="I713" s="85" t="s">
        <v>20</v>
      </c>
      <c r="J713" s="86" t="s">
        <v>21</v>
      </c>
      <c r="K713" s="87" t="s">
        <v>23</v>
      </c>
      <c r="M713" s="85" t="s">
        <v>27</v>
      </c>
      <c r="N713" s="86" t="s">
        <v>28</v>
      </c>
      <c r="O713" s="86" t="s">
        <v>29</v>
      </c>
      <c r="P713" s="86" t="s">
        <v>30</v>
      </c>
      <c r="Q713" s="87" t="s">
        <v>31</v>
      </c>
      <c r="S713" s="85" t="s">
        <v>56</v>
      </c>
      <c r="T713" s="87" t="s">
        <v>57</v>
      </c>
      <c r="U713" s="79"/>
      <c r="V713" s="85" t="s">
        <v>68</v>
      </c>
      <c r="W713" s="87" t="s">
        <v>69</v>
      </c>
      <c r="Y713" s="85" t="s">
        <v>85</v>
      </c>
      <c r="Z713" s="86" t="s">
        <v>88</v>
      </c>
      <c r="AA713" s="87" t="s">
        <v>89</v>
      </c>
    </row>
    <row r="714" spans="1:27">
      <c r="A714" s="216"/>
      <c r="B714" s="217"/>
      <c r="F714" s="88" t="s">
        <v>2</v>
      </c>
      <c r="G714" s="134" t="s">
        <v>2137</v>
      </c>
      <c r="I714" s="88" t="s">
        <v>24</v>
      </c>
      <c r="J714" s="72">
        <v>7</v>
      </c>
      <c r="K714" s="89">
        <v>480</v>
      </c>
      <c r="M714" s="88" t="s">
        <v>1684</v>
      </c>
      <c r="N714" s="72" t="s">
        <v>33</v>
      </c>
      <c r="O714" s="72" t="s">
        <v>34</v>
      </c>
      <c r="P714" s="72" t="s">
        <v>35</v>
      </c>
      <c r="Q714" s="89" t="s">
        <v>1867</v>
      </c>
      <c r="S714" s="88" t="s">
        <v>58</v>
      </c>
      <c r="T714" s="89" t="s">
        <v>2046</v>
      </c>
      <c r="V714" s="138" t="s">
        <v>70</v>
      </c>
      <c r="W714" s="139" t="s">
        <v>2138</v>
      </c>
      <c r="Y714" s="138" t="s">
        <v>90</v>
      </c>
      <c r="Z714" s="137">
        <v>480</v>
      </c>
      <c r="AA714" s="139">
        <v>290</v>
      </c>
    </row>
    <row r="715" spans="1:27">
      <c r="A715" s="216"/>
      <c r="B715" s="217"/>
      <c r="F715" s="88" t="s">
        <v>4</v>
      </c>
      <c r="G715" s="112" t="s">
        <v>894</v>
      </c>
      <c r="I715" s="88" t="s">
        <v>25</v>
      </c>
      <c r="J715" s="80">
        <v>3</v>
      </c>
      <c r="K715" s="89">
        <v>210</v>
      </c>
      <c r="M715" s="88" t="s">
        <v>1841</v>
      </c>
      <c r="N715" s="72" t="s">
        <v>33</v>
      </c>
      <c r="O715" s="72" t="s">
        <v>43</v>
      </c>
      <c r="P715" s="72" t="s">
        <v>33</v>
      </c>
      <c r="Q715" s="89" t="s">
        <v>1609</v>
      </c>
      <c r="S715" s="88" t="s">
        <v>60</v>
      </c>
      <c r="T715" s="89" t="s">
        <v>2097</v>
      </c>
      <c r="V715" s="135" t="s">
        <v>73</v>
      </c>
      <c r="W715" s="136" t="s">
        <v>2098</v>
      </c>
      <c r="Y715" s="88" t="s">
        <v>91</v>
      </c>
      <c r="Z715" s="72">
        <v>210</v>
      </c>
      <c r="AA715" s="89">
        <v>320</v>
      </c>
    </row>
    <row r="716" spans="1:27">
      <c r="A716" s="216"/>
      <c r="B716" s="217"/>
      <c r="F716" s="88" t="s">
        <v>6</v>
      </c>
      <c r="G716" s="112" t="s">
        <v>1484</v>
      </c>
      <c r="I716" s="90" t="s">
        <v>26</v>
      </c>
      <c r="J716" s="91"/>
      <c r="K716" s="92">
        <v>690</v>
      </c>
      <c r="M716" s="88" t="s">
        <v>1107</v>
      </c>
      <c r="N716" s="72" t="s">
        <v>33</v>
      </c>
      <c r="O716" s="72" t="s">
        <v>34</v>
      </c>
      <c r="P716" s="72" t="s">
        <v>33</v>
      </c>
      <c r="Q716" s="89" t="s">
        <v>2099</v>
      </c>
      <c r="S716" s="88" t="s">
        <v>62</v>
      </c>
      <c r="T716" s="89" t="s">
        <v>2139</v>
      </c>
      <c r="V716" s="88" t="s">
        <v>76</v>
      </c>
      <c r="W716" s="89" t="s">
        <v>2140</v>
      </c>
      <c r="Y716" s="88" t="s">
        <v>26</v>
      </c>
      <c r="Z716" s="72">
        <v>690</v>
      </c>
      <c r="AA716" s="89">
        <v>610</v>
      </c>
    </row>
    <row r="717" spans="1:27">
      <c r="A717" s="216"/>
      <c r="B717" s="217"/>
      <c r="F717" s="88" t="s">
        <v>8</v>
      </c>
      <c r="G717" s="112" t="s">
        <v>2141</v>
      </c>
      <c r="M717" s="88" t="s">
        <v>49</v>
      </c>
      <c r="N717" s="72" t="s">
        <v>33</v>
      </c>
      <c r="O717" s="72" t="s">
        <v>43</v>
      </c>
      <c r="P717" s="72" t="s">
        <v>33</v>
      </c>
      <c r="Q717" s="89" t="s">
        <v>2142</v>
      </c>
      <c r="S717" s="119" t="s">
        <v>64</v>
      </c>
      <c r="T717" s="120" t="s">
        <v>2143</v>
      </c>
      <c r="V717" s="88" t="s">
        <v>79</v>
      </c>
      <c r="W717" s="89" t="s">
        <v>945</v>
      </c>
      <c r="Y717" s="90" t="s">
        <v>92</v>
      </c>
      <c r="Z717" s="91"/>
      <c r="AA717" s="122">
        <v>0.11600000000000001</v>
      </c>
    </row>
    <row r="718" spans="1:27">
      <c r="A718" s="216"/>
      <c r="B718" s="217"/>
      <c r="F718" s="88" t="s">
        <v>10</v>
      </c>
      <c r="G718" s="112" t="s">
        <v>1494</v>
      </c>
      <c r="M718" s="88" t="s">
        <v>42</v>
      </c>
      <c r="N718" s="72" t="s">
        <v>33</v>
      </c>
      <c r="O718" s="72" t="s">
        <v>43</v>
      </c>
      <c r="P718" s="72" t="s">
        <v>33</v>
      </c>
      <c r="Q718" s="89" t="s">
        <v>1784</v>
      </c>
      <c r="S718" s="90" t="s">
        <v>66</v>
      </c>
      <c r="T718" s="133" t="s">
        <v>1815</v>
      </c>
      <c r="V718" s="90" t="s">
        <v>82</v>
      </c>
      <c r="W718" s="92" t="s">
        <v>2144</v>
      </c>
    </row>
    <row r="719" spans="1:27">
      <c r="A719" s="216"/>
      <c r="B719" s="217"/>
      <c r="F719" s="88" t="s">
        <v>13</v>
      </c>
      <c r="G719" t="s">
        <v>2145</v>
      </c>
      <c r="M719" s="88" t="s">
        <v>1956</v>
      </c>
      <c r="N719" s="72" t="s">
        <v>33</v>
      </c>
      <c r="O719" s="72" t="s">
        <v>34</v>
      </c>
      <c r="P719" s="72" t="s">
        <v>35</v>
      </c>
      <c r="Q719" s="89" t="s">
        <v>2073</v>
      </c>
    </row>
    <row r="720" spans="1:27">
      <c r="A720" s="216"/>
      <c r="B720" s="217"/>
      <c r="F720" s="88" t="s">
        <v>15</v>
      </c>
      <c r="G720" s="112" t="s">
        <v>2146</v>
      </c>
      <c r="M720" s="88" t="s">
        <v>1553</v>
      </c>
      <c r="N720" s="72" t="s">
        <v>33</v>
      </c>
      <c r="O720" s="72" t="s">
        <v>43</v>
      </c>
      <c r="P720" s="72" t="s">
        <v>33</v>
      </c>
      <c r="Q720" s="89" t="s">
        <v>1811</v>
      </c>
    </row>
    <row r="721" spans="1:27">
      <c r="A721" s="216"/>
      <c r="B721" s="217"/>
      <c r="F721" s="88" t="s">
        <v>17</v>
      </c>
      <c r="G721" s="113">
        <v>46126</v>
      </c>
      <c r="M721" s="88" t="s">
        <v>1972</v>
      </c>
      <c r="N721" s="72" t="s">
        <v>35</v>
      </c>
      <c r="O721" s="72" t="s">
        <v>52</v>
      </c>
      <c r="P721" s="72" t="s">
        <v>35</v>
      </c>
      <c r="Q721" s="89" t="s">
        <v>1936</v>
      </c>
    </row>
    <row r="722" spans="1:27">
      <c r="A722" s="218"/>
      <c r="B722" s="219"/>
      <c r="F722" s="90" t="s">
        <v>18</v>
      </c>
      <c r="G722" s="114" t="s">
        <v>19</v>
      </c>
      <c r="M722" s="88" t="s">
        <v>924</v>
      </c>
      <c r="N722" s="72" t="s">
        <v>35</v>
      </c>
      <c r="O722" s="72" t="s">
        <v>52</v>
      </c>
      <c r="P722" s="72" t="s">
        <v>35</v>
      </c>
      <c r="Q722" s="89" t="s">
        <v>1922</v>
      </c>
    </row>
    <row r="723" spans="1:27">
      <c r="M723" s="90" t="s">
        <v>1958</v>
      </c>
      <c r="N723" s="91" t="s">
        <v>35</v>
      </c>
      <c r="O723" s="91" t="s">
        <v>52</v>
      </c>
      <c r="P723" s="91" t="s">
        <v>35</v>
      </c>
      <c r="Q723" s="92" t="s">
        <v>2041</v>
      </c>
    </row>
    <row r="727" spans="1:27">
      <c r="A727" s="214" t="s">
        <v>330</v>
      </c>
      <c r="B727" s="215"/>
      <c r="F727" s="85" t="s">
        <v>0</v>
      </c>
      <c r="G727" s="118" t="s">
        <v>1</v>
      </c>
      <c r="I727" s="85" t="s">
        <v>20</v>
      </c>
      <c r="J727" s="86" t="s">
        <v>21</v>
      </c>
      <c r="K727" s="87" t="s">
        <v>23</v>
      </c>
      <c r="M727" s="85" t="s">
        <v>27</v>
      </c>
      <c r="N727" s="86" t="s">
        <v>28</v>
      </c>
      <c r="O727" s="86" t="s">
        <v>29</v>
      </c>
      <c r="P727" s="86" t="s">
        <v>30</v>
      </c>
      <c r="Q727" s="87" t="s">
        <v>31</v>
      </c>
      <c r="S727" s="85" t="s">
        <v>56</v>
      </c>
      <c r="T727" s="87" t="s">
        <v>57</v>
      </c>
      <c r="U727" s="79"/>
      <c r="V727" s="85" t="s">
        <v>68</v>
      </c>
      <c r="W727" s="87" t="s">
        <v>69</v>
      </c>
      <c r="Y727" s="85" t="s">
        <v>85</v>
      </c>
      <c r="Z727" s="86" t="s">
        <v>88</v>
      </c>
      <c r="AA727" s="87" t="s">
        <v>89</v>
      </c>
    </row>
    <row r="728" spans="1:27">
      <c r="A728" s="216"/>
      <c r="B728" s="217"/>
      <c r="F728" s="88" t="s">
        <v>2</v>
      </c>
      <c r="G728" s="134" t="s">
        <v>2147</v>
      </c>
      <c r="I728" s="88" t="s">
        <v>24</v>
      </c>
      <c r="J728" s="72">
        <v>6</v>
      </c>
      <c r="K728" s="89">
        <v>400</v>
      </c>
      <c r="M728" s="88" t="s">
        <v>1802</v>
      </c>
      <c r="N728" s="72" t="s">
        <v>33</v>
      </c>
      <c r="O728" s="72" t="s">
        <v>34</v>
      </c>
      <c r="P728" s="72" t="s">
        <v>35</v>
      </c>
      <c r="Q728" s="89" t="s">
        <v>908</v>
      </c>
      <c r="S728" s="88" t="s">
        <v>58</v>
      </c>
      <c r="T728" s="89" t="s">
        <v>2148</v>
      </c>
      <c r="V728" s="138" t="s">
        <v>70</v>
      </c>
      <c r="W728" s="139" t="s">
        <v>1928</v>
      </c>
      <c r="Y728" s="138" t="s">
        <v>90</v>
      </c>
      <c r="Z728" s="137">
        <v>400</v>
      </c>
      <c r="AA728" s="139">
        <v>240</v>
      </c>
    </row>
    <row r="729" spans="1:27">
      <c r="A729" s="216"/>
      <c r="B729" s="217"/>
      <c r="F729" s="88" t="s">
        <v>4</v>
      </c>
      <c r="G729" s="112" t="s">
        <v>894</v>
      </c>
      <c r="I729" s="88" t="s">
        <v>25</v>
      </c>
      <c r="J729" s="80">
        <v>4</v>
      </c>
      <c r="K729" s="89">
        <v>260</v>
      </c>
      <c r="M729" s="88" t="s">
        <v>2076</v>
      </c>
      <c r="N729" s="72" t="s">
        <v>33</v>
      </c>
      <c r="O729" s="72" t="s">
        <v>43</v>
      </c>
      <c r="P729" s="72" t="s">
        <v>33</v>
      </c>
      <c r="Q729" s="89" t="s">
        <v>1805</v>
      </c>
      <c r="S729" s="88" t="s">
        <v>60</v>
      </c>
      <c r="T729" s="89" t="s">
        <v>2079</v>
      </c>
      <c r="V729" s="135" t="s">
        <v>73</v>
      </c>
      <c r="W729" s="136" t="s">
        <v>2015</v>
      </c>
      <c r="Y729" s="88" t="s">
        <v>91</v>
      </c>
      <c r="Z729" s="72">
        <v>260</v>
      </c>
      <c r="AA729" s="89">
        <v>360</v>
      </c>
    </row>
    <row r="730" spans="1:27">
      <c r="A730" s="216"/>
      <c r="B730" s="217"/>
      <c r="F730" s="88" t="s">
        <v>6</v>
      </c>
      <c r="G730" s="112" t="s">
        <v>895</v>
      </c>
      <c r="I730" s="90" t="s">
        <v>26</v>
      </c>
      <c r="J730" s="91"/>
      <c r="K730" s="92">
        <v>660</v>
      </c>
      <c r="M730" s="88" t="s">
        <v>1638</v>
      </c>
      <c r="N730" s="72" t="s">
        <v>33</v>
      </c>
      <c r="O730" s="72" t="s">
        <v>34</v>
      </c>
      <c r="P730" s="72" t="s">
        <v>35</v>
      </c>
      <c r="Q730" s="89" t="s">
        <v>1778</v>
      </c>
      <c r="S730" s="88" t="s">
        <v>62</v>
      </c>
      <c r="T730" s="89" t="s">
        <v>1809</v>
      </c>
      <c r="V730" s="88" t="s">
        <v>76</v>
      </c>
      <c r="W730" s="89" t="s">
        <v>2149</v>
      </c>
      <c r="Y730" s="88" t="s">
        <v>26</v>
      </c>
      <c r="Z730" s="72">
        <v>660</v>
      </c>
      <c r="AA730" s="89">
        <v>600</v>
      </c>
    </row>
    <row r="731" spans="1:27">
      <c r="A731" s="216"/>
      <c r="B731" s="217"/>
      <c r="F731" s="88" t="s">
        <v>8</v>
      </c>
      <c r="G731" s="112" t="s">
        <v>2150</v>
      </c>
      <c r="M731" s="88" t="s">
        <v>1553</v>
      </c>
      <c r="N731" s="72" t="s">
        <v>33</v>
      </c>
      <c r="O731" s="72" t="s">
        <v>43</v>
      </c>
      <c r="P731" s="72" t="s">
        <v>33</v>
      </c>
      <c r="Q731" s="89" t="s">
        <v>1811</v>
      </c>
      <c r="S731" s="119" t="s">
        <v>64</v>
      </c>
      <c r="T731" s="120" t="s">
        <v>2151</v>
      </c>
      <c r="V731" s="88" t="s">
        <v>79</v>
      </c>
      <c r="W731" s="89" t="s">
        <v>1759</v>
      </c>
      <c r="Y731" s="90" t="s">
        <v>92</v>
      </c>
      <c r="Z731" s="91"/>
      <c r="AA731" s="122">
        <v>9.0999999999999998E-2</v>
      </c>
    </row>
    <row r="732" spans="1:27">
      <c r="A732" s="216"/>
      <c r="B732" s="217"/>
      <c r="F732" s="88" t="s">
        <v>10</v>
      </c>
      <c r="G732" s="112" t="s">
        <v>12</v>
      </c>
      <c r="M732" s="88" t="s">
        <v>49</v>
      </c>
      <c r="N732" s="72" t="s">
        <v>33</v>
      </c>
      <c r="O732" s="72" t="s">
        <v>43</v>
      </c>
      <c r="P732" s="72" t="s">
        <v>33</v>
      </c>
      <c r="Q732" s="89" t="s">
        <v>1818</v>
      </c>
      <c r="S732" s="90" t="s">
        <v>66</v>
      </c>
      <c r="T732" s="133" t="s">
        <v>1815</v>
      </c>
      <c r="V732" s="90" t="s">
        <v>82</v>
      </c>
      <c r="W732" s="92" t="s">
        <v>1789</v>
      </c>
    </row>
    <row r="733" spans="1:27">
      <c r="A733" s="216"/>
      <c r="B733" s="217"/>
      <c r="F733" s="88" t="s">
        <v>13</v>
      </c>
      <c r="G733" s="112" t="s">
        <v>2152</v>
      </c>
      <c r="M733" s="88" t="s">
        <v>42</v>
      </c>
      <c r="N733" s="72" t="s">
        <v>33</v>
      </c>
      <c r="O733" s="72" t="s">
        <v>43</v>
      </c>
      <c r="P733" s="72" t="s">
        <v>33</v>
      </c>
      <c r="Q733" s="89" t="s">
        <v>1784</v>
      </c>
    </row>
    <row r="734" spans="1:27">
      <c r="A734" s="216"/>
      <c r="B734" s="217"/>
      <c r="F734" s="88" t="s">
        <v>15</v>
      </c>
      <c r="G734" s="112" t="s">
        <v>2153</v>
      </c>
      <c r="M734" s="88" t="s">
        <v>1972</v>
      </c>
      <c r="N734" s="72" t="s">
        <v>35</v>
      </c>
      <c r="O734" s="72" t="s">
        <v>52</v>
      </c>
      <c r="P734" s="72" t="s">
        <v>35</v>
      </c>
      <c r="Q734" s="89" t="s">
        <v>1936</v>
      </c>
    </row>
    <row r="735" spans="1:27">
      <c r="A735" s="216"/>
      <c r="B735" s="217"/>
      <c r="F735" s="88" t="s">
        <v>17</v>
      </c>
      <c r="G735" s="113">
        <v>46126</v>
      </c>
      <c r="M735" s="88" t="s">
        <v>924</v>
      </c>
      <c r="N735" s="72" t="s">
        <v>35</v>
      </c>
      <c r="O735" s="72" t="s">
        <v>52</v>
      </c>
      <c r="P735" s="72" t="s">
        <v>35</v>
      </c>
      <c r="Q735" s="89" t="s">
        <v>1822</v>
      </c>
    </row>
    <row r="736" spans="1:27">
      <c r="A736" s="218"/>
      <c r="B736" s="219"/>
      <c r="F736" s="90" t="s">
        <v>18</v>
      </c>
      <c r="G736" s="114" t="s">
        <v>19</v>
      </c>
      <c r="M736" s="88" t="s">
        <v>1938</v>
      </c>
      <c r="N736" s="72" t="s">
        <v>35</v>
      </c>
      <c r="O736" s="72" t="s">
        <v>52</v>
      </c>
      <c r="P736" s="72" t="s">
        <v>35</v>
      </c>
      <c r="Q736" s="89" t="s">
        <v>1939</v>
      </c>
    </row>
    <row r="737" spans="1:27">
      <c r="M737" s="90" t="s">
        <v>1975</v>
      </c>
      <c r="N737" s="91" t="s">
        <v>35</v>
      </c>
      <c r="O737" s="91" t="s">
        <v>52</v>
      </c>
      <c r="P737" s="91" t="s">
        <v>35</v>
      </c>
      <c r="Q737" s="92" t="s">
        <v>1826</v>
      </c>
    </row>
    <row r="740" spans="1:27">
      <c r="A740" s="214" t="s">
        <v>332</v>
      </c>
      <c r="B740" s="215"/>
      <c r="F740" s="85" t="s">
        <v>0</v>
      </c>
      <c r="G740" s="118" t="s">
        <v>1</v>
      </c>
      <c r="I740" s="85" t="s">
        <v>20</v>
      </c>
      <c r="J740" s="86" t="s">
        <v>21</v>
      </c>
      <c r="K740" s="87" t="s">
        <v>23</v>
      </c>
      <c r="M740" s="85" t="s">
        <v>27</v>
      </c>
      <c r="N740" s="86" t="s">
        <v>28</v>
      </c>
      <c r="O740" s="86" t="s">
        <v>29</v>
      </c>
      <c r="P740" s="86" t="s">
        <v>30</v>
      </c>
      <c r="Q740" s="87" t="s">
        <v>31</v>
      </c>
      <c r="S740" s="85" t="s">
        <v>56</v>
      </c>
      <c r="T740" s="87" t="s">
        <v>57</v>
      </c>
      <c r="U740" s="79"/>
      <c r="V740" s="85" t="s">
        <v>68</v>
      </c>
      <c r="W740" s="87" t="s">
        <v>69</v>
      </c>
      <c r="Y740" s="85" t="s">
        <v>85</v>
      </c>
      <c r="Z740" s="86" t="s">
        <v>88</v>
      </c>
      <c r="AA740" s="87" t="s">
        <v>89</v>
      </c>
    </row>
    <row r="741" spans="1:27">
      <c r="A741" s="216"/>
      <c r="B741" s="217"/>
      <c r="F741" s="88" t="s">
        <v>2</v>
      </c>
      <c r="G741" s="134" t="s">
        <v>2154</v>
      </c>
      <c r="I741" s="88" t="s">
        <v>24</v>
      </c>
      <c r="J741" s="72">
        <v>5</v>
      </c>
      <c r="K741" s="89">
        <v>350</v>
      </c>
      <c r="M741" s="88" t="s">
        <v>2155</v>
      </c>
      <c r="N741" s="72" t="s">
        <v>33</v>
      </c>
      <c r="O741" s="72" t="s">
        <v>43</v>
      </c>
      <c r="P741" s="72" t="s">
        <v>33</v>
      </c>
      <c r="Q741" s="89" t="s">
        <v>1805</v>
      </c>
      <c r="S741" s="88" t="s">
        <v>58</v>
      </c>
      <c r="T741" s="89" t="s">
        <v>2046</v>
      </c>
      <c r="V741" s="138" t="s">
        <v>70</v>
      </c>
      <c r="W741" s="139" t="s">
        <v>2156</v>
      </c>
      <c r="Y741" s="138" t="s">
        <v>90</v>
      </c>
      <c r="Z741" s="137">
        <v>350</v>
      </c>
      <c r="AA741" s="139">
        <v>210</v>
      </c>
    </row>
    <row r="742" spans="1:27">
      <c r="A742" s="216"/>
      <c r="B742" s="217"/>
      <c r="F742" s="88" t="s">
        <v>4</v>
      </c>
      <c r="G742" s="112" t="s">
        <v>894</v>
      </c>
      <c r="I742" s="88" t="s">
        <v>25</v>
      </c>
      <c r="J742" s="80">
        <v>5</v>
      </c>
      <c r="K742" s="89">
        <v>320</v>
      </c>
      <c r="M742" s="88" t="s">
        <v>1638</v>
      </c>
      <c r="N742" s="72" t="s">
        <v>33</v>
      </c>
      <c r="O742" s="72" t="s">
        <v>34</v>
      </c>
      <c r="P742" s="72" t="s">
        <v>35</v>
      </c>
      <c r="Q742" s="89" t="s">
        <v>1778</v>
      </c>
      <c r="S742" s="88" t="s">
        <v>60</v>
      </c>
      <c r="T742" s="89" t="s">
        <v>2064</v>
      </c>
      <c r="V742" s="135" t="s">
        <v>73</v>
      </c>
      <c r="W742" s="136" t="s">
        <v>2113</v>
      </c>
      <c r="Y742" s="88" t="s">
        <v>91</v>
      </c>
      <c r="Z742" s="72">
        <v>320</v>
      </c>
      <c r="AA742" s="89">
        <v>400</v>
      </c>
    </row>
    <row r="743" spans="1:27">
      <c r="A743" s="216"/>
      <c r="B743" s="217"/>
      <c r="F743" s="88" t="s">
        <v>6</v>
      </c>
      <c r="G743" s="112" t="s">
        <v>895</v>
      </c>
      <c r="I743" s="90" t="s">
        <v>26</v>
      </c>
      <c r="J743" s="91"/>
      <c r="K743" s="92">
        <v>670</v>
      </c>
      <c r="M743" s="88" t="s">
        <v>1037</v>
      </c>
      <c r="N743" s="72" t="s">
        <v>33</v>
      </c>
      <c r="O743" s="72" t="s">
        <v>34</v>
      </c>
      <c r="P743" s="72" t="s">
        <v>35</v>
      </c>
      <c r="Q743" s="89" t="s">
        <v>1906</v>
      </c>
      <c r="S743" s="88" t="s">
        <v>62</v>
      </c>
      <c r="T743" s="89" t="s">
        <v>2016</v>
      </c>
      <c r="V743" s="88" t="s">
        <v>76</v>
      </c>
      <c r="W743" s="89" t="s">
        <v>2080</v>
      </c>
      <c r="Y743" s="88" t="s">
        <v>26</v>
      </c>
      <c r="Z743" s="72">
        <v>670</v>
      </c>
      <c r="AA743" s="89">
        <v>610</v>
      </c>
    </row>
    <row r="744" spans="1:27">
      <c r="A744" s="216"/>
      <c r="B744" s="217"/>
      <c r="F744" s="88" t="s">
        <v>8</v>
      </c>
      <c r="G744" s="112" t="s">
        <v>2157</v>
      </c>
      <c r="M744" s="88" t="s">
        <v>1553</v>
      </c>
      <c r="N744" s="72" t="s">
        <v>33</v>
      </c>
      <c r="O744" s="72" t="s">
        <v>43</v>
      </c>
      <c r="P744" s="72" t="s">
        <v>33</v>
      </c>
      <c r="Q744" s="89" t="s">
        <v>1811</v>
      </c>
      <c r="S744" s="119" t="s">
        <v>64</v>
      </c>
      <c r="T744" s="120" t="s">
        <v>2158</v>
      </c>
      <c r="V744" s="88" t="s">
        <v>79</v>
      </c>
      <c r="W744" s="89" t="s">
        <v>1584</v>
      </c>
      <c r="Y744" s="90" t="s">
        <v>92</v>
      </c>
      <c r="Z744" s="91"/>
      <c r="AA744" s="122">
        <v>0.09</v>
      </c>
    </row>
    <row r="745" spans="1:27">
      <c r="A745" s="216"/>
      <c r="B745" s="217"/>
      <c r="F745" s="88" t="s">
        <v>10</v>
      </c>
      <c r="G745" s="112" t="s">
        <v>12</v>
      </c>
      <c r="M745" s="88" t="s">
        <v>49</v>
      </c>
      <c r="N745" s="72" t="s">
        <v>33</v>
      </c>
      <c r="O745" s="72" t="s">
        <v>43</v>
      </c>
      <c r="P745" s="72" t="s">
        <v>33</v>
      </c>
      <c r="Q745" s="89" t="s">
        <v>2159</v>
      </c>
      <c r="S745" s="90" t="s">
        <v>66</v>
      </c>
      <c r="T745" s="133" t="s">
        <v>2070</v>
      </c>
      <c r="V745" s="90" t="s">
        <v>82</v>
      </c>
      <c r="W745" s="92" t="s">
        <v>2160</v>
      </c>
    </row>
    <row r="746" spans="1:27">
      <c r="A746" s="216"/>
      <c r="B746" s="217"/>
      <c r="F746" s="88" t="s">
        <v>13</v>
      </c>
      <c r="G746" t="s">
        <v>2161</v>
      </c>
      <c r="M746" s="88" t="s">
        <v>1972</v>
      </c>
      <c r="N746" s="72" t="s">
        <v>35</v>
      </c>
      <c r="O746" s="72" t="s">
        <v>52</v>
      </c>
      <c r="P746" s="72" t="s">
        <v>35</v>
      </c>
      <c r="Q746" s="89" t="s">
        <v>2162</v>
      </c>
    </row>
    <row r="747" spans="1:27">
      <c r="A747" s="216"/>
      <c r="B747" s="217"/>
      <c r="F747" s="88" t="s">
        <v>15</v>
      </c>
      <c r="G747" s="112" t="s">
        <v>2163</v>
      </c>
      <c r="M747" s="88" t="s">
        <v>924</v>
      </c>
      <c r="N747" s="72" t="s">
        <v>35</v>
      </c>
      <c r="O747" s="72" t="s">
        <v>52</v>
      </c>
      <c r="P747" s="72" t="s">
        <v>35</v>
      </c>
      <c r="Q747" s="89" t="s">
        <v>1922</v>
      </c>
    </row>
    <row r="748" spans="1:27">
      <c r="A748" s="216"/>
      <c r="B748" s="217"/>
      <c r="F748" s="88" t="s">
        <v>17</v>
      </c>
      <c r="G748" s="113">
        <v>46126</v>
      </c>
      <c r="M748" s="88" t="s">
        <v>1958</v>
      </c>
      <c r="N748" s="72" t="s">
        <v>35</v>
      </c>
      <c r="O748" s="72" t="s">
        <v>52</v>
      </c>
      <c r="P748" s="72" t="s">
        <v>35</v>
      </c>
      <c r="Q748" s="89" t="s">
        <v>2041</v>
      </c>
    </row>
    <row r="749" spans="1:27">
      <c r="A749" s="218"/>
      <c r="B749" s="219"/>
      <c r="F749" s="90" t="s">
        <v>18</v>
      </c>
      <c r="G749" s="114" t="s">
        <v>19</v>
      </c>
      <c r="M749" s="88" t="s">
        <v>1182</v>
      </c>
      <c r="N749" s="72" t="s">
        <v>35</v>
      </c>
      <c r="O749" s="72" t="s">
        <v>52</v>
      </c>
      <c r="P749" s="72" t="s">
        <v>35</v>
      </c>
      <c r="Q749" s="89" t="s">
        <v>1826</v>
      </c>
    </row>
    <row r="750" spans="1:27">
      <c r="M750" s="90" t="s">
        <v>1799</v>
      </c>
      <c r="N750" s="91" t="s">
        <v>35</v>
      </c>
      <c r="O750" s="91" t="s">
        <v>52</v>
      </c>
      <c r="P750" s="91" t="s">
        <v>35</v>
      </c>
      <c r="Q750" s="92" t="s">
        <v>1976</v>
      </c>
    </row>
    <row r="753" spans="1:27">
      <c r="A753" s="214" t="s">
        <v>336</v>
      </c>
      <c r="B753" s="215"/>
      <c r="F753" s="85" t="s">
        <v>0</v>
      </c>
      <c r="G753" s="118" t="s">
        <v>1</v>
      </c>
      <c r="I753" s="85" t="s">
        <v>20</v>
      </c>
      <c r="J753" s="86" t="s">
        <v>21</v>
      </c>
      <c r="K753" s="87" t="s">
        <v>23</v>
      </c>
      <c r="M753" s="85" t="s">
        <v>27</v>
      </c>
      <c r="N753" s="86" t="s">
        <v>28</v>
      </c>
      <c r="O753" s="86" t="s">
        <v>29</v>
      </c>
      <c r="P753" s="86" t="s">
        <v>30</v>
      </c>
      <c r="Q753" s="87" t="s">
        <v>31</v>
      </c>
      <c r="S753" s="85" t="s">
        <v>56</v>
      </c>
      <c r="T753" s="87" t="s">
        <v>57</v>
      </c>
      <c r="U753" s="79"/>
      <c r="V753" s="85" t="s">
        <v>68</v>
      </c>
      <c r="W753" s="87" t="s">
        <v>69</v>
      </c>
      <c r="Y753" s="85" t="s">
        <v>85</v>
      </c>
      <c r="Z753" s="86" t="s">
        <v>88</v>
      </c>
      <c r="AA753" s="87" t="s">
        <v>89</v>
      </c>
    </row>
    <row r="754" spans="1:27">
      <c r="A754" s="216"/>
      <c r="B754" s="217"/>
      <c r="F754" s="88" t="s">
        <v>2</v>
      </c>
      <c r="G754" s="134" t="s">
        <v>2164</v>
      </c>
      <c r="I754" s="88" t="s">
        <v>24</v>
      </c>
      <c r="J754" s="72">
        <v>7</v>
      </c>
      <c r="K754" s="89">
        <v>480</v>
      </c>
      <c r="M754" s="88" t="s">
        <v>1886</v>
      </c>
      <c r="N754" s="72" t="s">
        <v>33</v>
      </c>
      <c r="O754" s="72" t="s">
        <v>34</v>
      </c>
      <c r="P754" s="72" t="s">
        <v>35</v>
      </c>
      <c r="Q754" s="89" t="s">
        <v>1861</v>
      </c>
      <c r="S754" s="88" t="s">
        <v>58</v>
      </c>
      <c r="T754" s="89" t="s">
        <v>2046</v>
      </c>
      <c r="V754" s="138" t="s">
        <v>70</v>
      </c>
      <c r="W754" s="139" t="s">
        <v>2165</v>
      </c>
      <c r="Y754" s="138" t="s">
        <v>90</v>
      </c>
      <c r="Z754" s="137">
        <v>480</v>
      </c>
      <c r="AA754" s="139">
        <v>290</v>
      </c>
    </row>
    <row r="755" spans="1:27">
      <c r="A755" s="216"/>
      <c r="B755" s="217"/>
      <c r="F755" s="88" t="s">
        <v>4</v>
      </c>
      <c r="G755" s="112" t="s">
        <v>894</v>
      </c>
      <c r="I755" s="88" t="s">
        <v>25</v>
      </c>
      <c r="J755" s="80">
        <v>3</v>
      </c>
      <c r="K755" s="89">
        <v>210</v>
      </c>
      <c r="M755" s="88" t="s">
        <v>1723</v>
      </c>
      <c r="N755" s="72" t="s">
        <v>33</v>
      </c>
      <c r="O755" s="72" t="s">
        <v>43</v>
      </c>
      <c r="P755" s="72" t="s">
        <v>33</v>
      </c>
      <c r="Q755" s="89" t="s">
        <v>1871</v>
      </c>
      <c r="S755" s="88" t="s">
        <v>60</v>
      </c>
      <c r="T755" s="89" t="s">
        <v>2166</v>
      </c>
      <c r="V755" s="135" t="s">
        <v>73</v>
      </c>
      <c r="W755" s="136" t="s">
        <v>2167</v>
      </c>
      <c r="Y755" s="88" t="s">
        <v>91</v>
      </c>
      <c r="Z755" s="72">
        <v>210</v>
      </c>
      <c r="AA755" s="89">
        <v>330</v>
      </c>
    </row>
    <row r="756" spans="1:27">
      <c r="A756" s="216"/>
      <c r="B756" s="217"/>
      <c r="F756" s="88" t="s">
        <v>6</v>
      </c>
      <c r="G756" s="112" t="s">
        <v>1484</v>
      </c>
      <c r="I756" s="90" t="s">
        <v>26</v>
      </c>
      <c r="J756" s="91"/>
      <c r="K756" s="92">
        <v>690</v>
      </c>
      <c r="M756" s="88" t="s">
        <v>1638</v>
      </c>
      <c r="N756" s="72" t="s">
        <v>33</v>
      </c>
      <c r="O756" s="72" t="s">
        <v>34</v>
      </c>
      <c r="P756" s="72" t="s">
        <v>35</v>
      </c>
      <c r="Q756" s="89" t="s">
        <v>1778</v>
      </c>
      <c r="S756" s="88" t="s">
        <v>62</v>
      </c>
      <c r="T756" s="89" t="s">
        <v>1868</v>
      </c>
      <c r="V756" s="88" t="s">
        <v>76</v>
      </c>
      <c r="W756" s="89" t="s">
        <v>2080</v>
      </c>
      <c r="Y756" s="88" t="s">
        <v>26</v>
      </c>
      <c r="Z756" s="72">
        <v>690</v>
      </c>
      <c r="AA756" s="89">
        <v>620</v>
      </c>
    </row>
    <row r="757" spans="1:27">
      <c r="A757" s="216"/>
      <c r="B757" s="217"/>
      <c r="F757" s="88" t="s">
        <v>8</v>
      </c>
      <c r="G757" s="112" t="s">
        <v>2168</v>
      </c>
      <c r="M757" s="88" t="s">
        <v>1553</v>
      </c>
      <c r="N757" s="72" t="s">
        <v>33</v>
      </c>
      <c r="O757" s="72" t="s">
        <v>43</v>
      </c>
      <c r="P757" s="72" t="s">
        <v>33</v>
      </c>
      <c r="Q757" s="89" t="s">
        <v>1811</v>
      </c>
      <c r="S757" s="119" t="s">
        <v>64</v>
      </c>
      <c r="T757" s="120" t="s">
        <v>2169</v>
      </c>
      <c r="V757" s="88" t="s">
        <v>79</v>
      </c>
      <c r="W757" s="89" t="s">
        <v>1726</v>
      </c>
      <c r="Y757" s="90" t="s">
        <v>92</v>
      </c>
      <c r="Z757" s="91"/>
      <c r="AA757" s="122">
        <v>0.10100000000000001</v>
      </c>
    </row>
    <row r="758" spans="1:27">
      <c r="A758" s="216"/>
      <c r="B758" s="217"/>
      <c r="F758" s="88" t="s">
        <v>10</v>
      </c>
      <c r="G758" s="112" t="s">
        <v>1403</v>
      </c>
      <c r="M758" s="88" t="s">
        <v>49</v>
      </c>
      <c r="N758" s="72" t="s">
        <v>33</v>
      </c>
      <c r="O758" s="72" t="s">
        <v>43</v>
      </c>
      <c r="P758" s="72" t="s">
        <v>33</v>
      </c>
      <c r="Q758" s="89" t="s">
        <v>2170</v>
      </c>
      <c r="S758" s="90" t="s">
        <v>66</v>
      </c>
      <c r="T758" s="133" t="s">
        <v>2171</v>
      </c>
      <c r="V758" s="90" t="s">
        <v>82</v>
      </c>
      <c r="W758" s="92" t="s">
        <v>2172</v>
      </c>
    </row>
    <row r="759" spans="1:27">
      <c r="A759" s="216"/>
      <c r="B759" s="217"/>
      <c r="F759" s="88" t="s">
        <v>13</v>
      </c>
      <c r="G759" s="112" t="s">
        <v>2173</v>
      </c>
      <c r="M759" s="88" t="s">
        <v>1898</v>
      </c>
      <c r="N759" s="72" t="s">
        <v>33</v>
      </c>
      <c r="O759" s="72" t="s">
        <v>43</v>
      </c>
      <c r="P759" s="72" t="s">
        <v>33</v>
      </c>
      <c r="Q759" s="89" t="s">
        <v>1899</v>
      </c>
    </row>
    <row r="760" spans="1:27">
      <c r="A760" s="216"/>
      <c r="B760" s="217"/>
      <c r="F760" s="88" t="s">
        <v>15</v>
      </c>
      <c r="G760" s="112" t="s">
        <v>2174</v>
      </c>
      <c r="M760" s="88" t="s">
        <v>1879</v>
      </c>
      <c r="N760" s="72" t="s">
        <v>33</v>
      </c>
      <c r="O760" s="72" t="s">
        <v>34</v>
      </c>
      <c r="P760" s="72" t="s">
        <v>35</v>
      </c>
      <c r="Q760" s="89" t="s">
        <v>2073</v>
      </c>
    </row>
    <row r="761" spans="1:27">
      <c r="A761" s="216"/>
      <c r="B761" s="217"/>
      <c r="F761" s="88" t="s">
        <v>17</v>
      </c>
      <c r="G761" s="113">
        <v>46126</v>
      </c>
      <c r="M761" s="88" t="s">
        <v>1972</v>
      </c>
      <c r="N761" s="72" t="s">
        <v>35</v>
      </c>
      <c r="O761" s="72" t="s">
        <v>52</v>
      </c>
      <c r="P761" s="72" t="s">
        <v>35</v>
      </c>
      <c r="Q761" s="89" t="s">
        <v>1936</v>
      </c>
    </row>
    <row r="762" spans="1:27">
      <c r="A762" s="218"/>
      <c r="B762" s="219"/>
      <c r="F762" s="90" t="s">
        <v>18</v>
      </c>
      <c r="G762" s="114" t="s">
        <v>19</v>
      </c>
      <c r="M762" s="88" t="s">
        <v>924</v>
      </c>
      <c r="N762" s="72" t="s">
        <v>35</v>
      </c>
      <c r="O762" s="72" t="s">
        <v>52</v>
      </c>
      <c r="P762" s="72" t="s">
        <v>35</v>
      </c>
      <c r="Q762" s="89" t="s">
        <v>1922</v>
      </c>
    </row>
    <row r="763" spans="1:27">
      <c r="M763" s="90" t="s">
        <v>1904</v>
      </c>
      <c r="N763" s="91" t="s">
        <v>35</v>
      </c>
      <c r="O763" s="91" t="s">
        <v>52</v>
      </c>
      <c r="P763" s="91" t="s">
        <v>35</v>
      </c>
      <c r="Q763" s="92" t="s">
        <v>2041</v>
      </c>
    </row>
    <row r="767" spans="1:27">
      <c r="A767" s="214" t="s">
        <v>338</v>
      </c>
      <c r="B767" s="215"/>
      <c r="F767" s="85" t="s">
        <v>0</v>
      </c>
      <c r="G767" s="118" t="s">
        <v>1</v>
      </c>
      <c r="I767" s="85" t="s">
        <v>20</v>
      </c>
      <c r="J767" s="86" t="s">
        <v>21</v>
      </c>
      <c r="K767" s="87" t="s">
        <v>23</v>
      </c>
      <c r="M767" s="85" t="s">
        <v>27</v>
      </c>
      <c r="N767" s="86" t="s">
        <v>28</v>
      </c>
      <c r="O767" s="86" t="s">
        <v>29</v>
      </c>
      <c r="P767" s="86" t="s">
        <v>30</v>
      </c>
      <c r="Q767" s="87" t="s">
        <v>31</v>
      </c>
      <c r="S767" s="85" t="s">
        <v>56</v>
      </c>
      <c r="T767" s="87" t="s">
        <v>57</v>
      </c>
      <c r="U767" s="79"/>
      <c r="V767" s="85" t="s">
        <v>68</v>
      </c>
      <c r="W767" s="87" t="s">
        <v>69</v>
      </c>
      <c r="Y767" s="85" t="s">
        <v>85</v>
      </c>
      <c r="Z767" s="86" t="s">
        <v>88</v>
      </c>
      <c r="AA767" s="87" t="s">
        <v>89</v>
      </c>
    </row>
    <row r="768" spans="1:27">
      <c r="A768" s="216"/>
      <c r="B768" s="217"/>
      <c r="F768" s="88" t="s">
        <v>2</v>
      </c>
      <c r="G768" s="134" t="s">
        <v>2175</v>
      </c>
      <c r="I768" s="88" t="s">
        <v>24</v>
      </c>
      <c r="J768" s="72">
        <v>6</v>
      </c>
      <c r="K768" s="89">
        <v>410</v>
      </c>
      <c r="M768" s="88" t="s">
        <v>2176</v>
      </c>
      <c r="N768" s="72" t="s">
        <v>33</v>
      </c>
      <c r="O768" s="72" t="s">
        <v>34</v>
      </c>
      <c r="P768" s="72" t="s">
        <v>35</v>
      </c>
      <c r="Q768" s="89" t="s">
        <v>1906</v>
      </c>
      <c r="S768" s="88" t="s">
        <v>58</v>
      </c>
      <c r="T768" s="89" t="s">
        <v>2177</v>
      </c>
      <c r="V768" s="138" t="s">
        <v>70</v>
      </c>
      <c r="W768" s="139" t="s">
        <v>2178</v>
      </c>
      <c r="Y768" s="138" t="s">
        <v>90</v>
      </c>
      <c r="Z768" s="137">
        <v>410</v>
      </c>
      <c r="AA768" s="139">
        <v>250</v>
      </c>
    </row>
    <row r="769" spans="1:27">
      <c r="A769" s="216"/>
      <c r="B769" s="217"/>
      <c r="F769" s="88" t="s">
        <v>4</v>
      </c>
      <c r="G769" s="112" t="s">
        <v>894</v>
      </c>
      <c r="I769" s="88" t="s">
        <v>25</v>
      </c>
      <c r="J769" s="80">
        <v>4</v>
      </c>
      <c r="K769" s="89">
        <v>260</v>
      </c>
      <c r="M769" s="88" t="s">
        <v>1638</v>
      </c>
      <c r="N769" s="72" t="s">
        <v>33</v>
      </c>
      <c r="O769" s="72" t="s">
        <v>34</v>
      </c>
      <c r="P769" s="72" t="s">
        <v>35</v>
      </c>
      <c r="Q769" s="89" t="s">
        <v>1778</v>
      </c>
      <c r="S769" s="88" t="s">
        <v>60</v>
      </c>
      <c r="T769" s="89" t="s">
        <v>2064</v>
      </c>
      <c r="V769" s="135" t="s">
        <v>73</v>
      </c>
      <c r="W769" s="136" t="s">
        <v>2065</v>
      </c>
      <c r="Y769" s="88" t="s">
        <v>91</v>
      </c>
      <c r="Z769" s="72">
        <v>260</v>
      </c>
      <c r="AA769" s="89">
        <v>340</v>
      </c>
    </row>
    <row r="770" spans="1:27">
      <c r="A770" s="216"/>
      <c r="B770" s="217"/>
      <c r="F770" s="88" t="s">
        <v>6</v>
      </c>
      <c r="G770" s="112" t="s">
        <v>1484</v>
      </c>
      <c r="I770" s="90" t="s">
        <v>26</v>
      </c>
      <c r="J770" s="91"/>
      <c r="K770" s="92">
        <v>670</v>
      </c>
      <c r="M770" s="88" t="s">
        <v>1553</v>
      </c>
      <c r="N770" s="72" t="s">
        <v>33</v>
      </c>
      <c r="O770" s="72" t="s">
        <v>43</v>
      </c>
      <c r="P770" s="72" t="s">
        <v>33</v>
      </c>
      <c r="Q770" s="89" t="s">
        <v>1811</v>
      </c>
      <c r="S770" s="88" t="s">
        <v>62</v>
      </c>
      <c r="T770" s="89" t="s">
        <v>2179</v>
      </c>
      <c r="V770" s="88" t="s">
        <v>76</v>
      </c>
      <c r="W770" s="89" t="s">
        <v>2080</v>
      </c>
      <c r="Y770" s="88" t="s">
        <v>26</v>
      </c>
      <c r="Z770" s="72">
        <v>670</v>
      </c>
      <c r="AA770" s="89">
        <v>590</v>
      </c>
    </row>
    <row r="771" spans="1:27">
      <c r="A771" s="216"/>
      <c r="B771" s="217"/>
      <c r="F771" s="88" t="s">
        <v>8</v>
      </c>
      <c r="G771" s="112" t="s">
        <v>2180</v>
      </c>
      <c r="M771" s="88" t="s">
        <v>49</v>
      </c>
      <c r="N771" s="72" t="s">
        <v>33</v>
      </c>
      <c r="O771" s="72" t="s">
        <v>43</v>
      </c>
      <c r="P771" s="72" t="s">
        <v>33</v>
      </c>
      <c r="Q771" s="89" t="s">
        <v>2181</v>
      </c>
      <c r="S771" s="119" t="s">
        <v>64</v>
      </c>
      <c r="T771" s="120" t="s">
        <v>2182</v>
      </c>
      <c r="V771" s="88" t="s">
        <v>79</v>
      </c>
      <c r="W771" s="89" t="s">
        <v>1584</v>
      </c>
      <c r="Y771" s="90" t="s">
        <v>92</v>
      </c>
      <c r="Z771" s="91"/>
      <c r="AA771" s="122">
        <v>0.11899999999999999</v>
      </c>
    </row>
    <row r="772" spans="1:27">
      <c r="A772" s="216"/>
      <c r="B772" s="217"/>
      <c r="F772" s="88" t="s">
        <v>10</v>
      </c>
      <c r="G772" s="112" t="s">
        <v>12</v>
      </c>
      <c r="M772" s="88" t="s">
        <v>42</v>
      </c>
      <c r="N772" s="72" t="s">
        <v>33</v>
      </c>
      <c r="O772" s="72" t="s">
        <v>43</v>
      </c>
      <c r="P772" s="72" t="s">
        <v>33</v>
      </c>
      <c r="Q772" s="89" t="s">
        <v>1784</v>
      </c>
      <c r="S772" s="90" t="s">
        <v>66</v>
      </c>
      <c r="T772" s="133" t="s">
        <v>2183</v>
      </c>
      <c r="V772" s="90" t="s">
        <v>82</v>
      </c>
      <c r="W772" s="92" t="s">
        <v>2184</v>
      </c>
    </row>
    <row r="773" spans="1:27">
      <c r="A773" s="216"/>
      <c r="B773" s="217"/>
      <c r="F773" s="88" t="s">
        <v>13</v>
      </c>
      <c r="G773" t="s">
        <v>2185</v>
      </c>
      <c r="M773" s="88" t="s">
        <v>1879</v>
      </c>
      <c r="N773" s="72" t="s">
        <v>33</v>
      </c>
      <c r="O773" s="72" t="s">
        <v>34</v>
      </c>
      <c r="P773" s="72" t="s">
        <v>35</v>
      </c>
      <c r="Q773" s="89" t="s">
        <v>2073</v>
      </c>
    </row>
    <row r="774" spans="1:27">
      <c r="A774" s="216"/>
      <c r="B774" s="217"/>
      <c r="F774" s="88" t="s">
        <v>15</v>
      </c>
      <c r="G774" s="112" t="s">
        <v>2186</v>
      </c>
      <c r="M774" s="88" t="s">
        <v>1972</v>
      </c>
      <c r="N774" s="72" t="s">
        <v>35</v>
      </c>
      <c r="O774" s="72" t="s">
        <v>52</v>
      </c>
      <c r="P774" s="72" t="s">
        <v>35</v>
      </c>
      <c r="Q774" s="89" t="s">
        <v>2162</v>
      </c>
    </row>
    <row r="775" spans="1:27">
      <c r="A775" s="216"/>
      <c r="B775" s="217"/>
      <c r="F775" s="88" t="s">
        <v>17</v>
      </c>
      <c r="G775" s="113">
        <v>46126</v>
      </c>
      <c r="M775" s="88" t="s">
        <v>924</v>
      </c>
      <c r="N775" s="72" t="s">
        <v>35</v>
      </c>
      <c r="O775" s="72" t="s">
        <v>52</v>
      </c>
      <c r="P775" s="72" t="s">
        <v>35</v>
      </c>
      <c r="Q775" s="89" t="s">
        <v>1922</v>
      </c>
    </row>
    <row r="776" spans="1:27">
      <c r="A776" s="218"/>
      <c r="B776" s="219"/>
      <c r="F776" s="90" t="s">
        <v>18</v>
      </c>
      <c r="G776" s="114" t="s">
        <v>19</v>
      </c>
      <c r="M776" s="88" t="s">
        <v>1958</v>
      </c>
      <c r="N776" s="72" t="s">
        <v>35</v>
      </c>
      <c r="O776" s="72" t="s">
        <v>52</v>
      </c>
      <c r="P776" s="72" t="s">
        <v>35</v>
      </c>
      <c r="Q776" s="89" t="s">
        <v>2041</v>
      </c>
    </row>
    <row r="777" spans="1:27">
      <c r="M777" s="90" t="s">
        <v>1975</v>
      </c>
      <c r="N777" s="91" t="s">
        <v>35</v>
      </c>
      <c r="O777" s="91" t="s">
        <v>52</v>
      </c>
      <c r="P777" s="91" t="s">
        <v>35</v>
      </c>
      <c r="Q777" s="92" t="s">
        <v>1826</v>
      </c>
    </row>
    <row r="781" spans="1:27">
      <c r="A781" s="214" t="s">
        <v>344</v>
      </c>
      <c r="B781" s="215"/>
      <c r="F781" s="85" t="s">
        <v>0</v>
      </c>
      <c r="G781" s="118" t="s">
        <v>1</v>
      </c>
      <c r="I781" s="85" t="s">
        <v>20</v>
      </c>
      <c r="J781" s="86" t="s">
        <v>21</v>
      </c>
      <c r="K781" s="87" t="s">
        <v>23</v>
      </c>
      <c r="M781" s="85" t="s">
        <v>27</v>
      </c>
      <c r="N781" s="86" t="s">
        <v>28</v>
      </c>
      <c r="O781" s="86" t="s">
        <v>29</v>
      </c>
      <c r="P781" s="86" t="s">
        <v>30</v>
      </c>
      <c r="Q781" s="87" t="s">
        <v>31</v>
      </c>
      <c r="S781" s="85" t="s">
        <v>56</v>
      </c>
      <c r="T781" s="87" t="s">
        <v>57</v>
      </c>
      <c r="U781" s="79"/>
      <c r="V781" s="85" t="s">
        <v>68</v>
      </c>
      <c r="W781" s="87" t="s">
        <v>69</v>
      </c>
      <c r="Y781" s="85" t="s">
        <v>85</v>
      </c>
      <c r="Z781" s="86" t="s">
        <v>88</v>
      </c>
      <c r="AA781" s="87" t="s">
        <v>89</v>
      </c>
    </row>
    <row r="782" spans="1:27">
      <c r="A782" s="216"/>
      <c r="B782" s="217"/>
      <c r="F782" s="88" t="s">
        <v>2</v>
      </c>
      <c r="G782" s="134" t="s">
        <v>2187</v>
      </c>
      <c r="I782" s="88" t="s">
        <v>24</v>
      </c>
      <c r="J782" s="72">
        <v>8</v>
      </c>
      <c r="K782" s="89">
        <v>560</v>
      </c>
      <c r="M782" s="88" t="s">
        <v>2188</v>
      </c>
      <c r="N782" s="72" t="s">
        <v>33</v>
      </c>
      <c r="O782" s="72" t="s">
        <v>43</v>
      </c>
      <c r="P782" s="72" t="s">
        <v>33</v>
      </c>
      <c r="Q782" s="89" t="s">
        <v>2070</v>
      </c>
      <c r="S782" s="88" t="s">
        <v>58</v>
      </c>
      <c r="T782" s="89" t="s">
        <v>2177</v>
      </c>
      <c r="V782" s="138" t="s">
        <v>70</v>
      </c>
      <c r="W782" s="139" t="s">
        <v>2189</v>
      </c>
      <c r="Y782" s="138" t="s">
        <v>90</v>
      </c>
      <c r="Z782" s="137">
        <v>560</v>
      </c>
      <c r="AA782" s="139">
        <v>340</v>
      </c>
    </row>
    <row r="783" spans="1:27">
      <c r="A783" s="216"/>
      <c r="B783" s="217"/>
      <c r="F783" s="88" t="s">
        <v>4</v>
      </c>
      <c r="G783" s="112" t="s">
        <v>894</v>
      </c>
      <c r="I783" s="88" t="s">
        <v>25</v>
      </c>
      <c r="J783" s="80">
        <v>2</v>
      </c>
      <c r="K783" s="89">
        <v>160</v>
      </c>
      <c r="M783" s="88" t="s">
        <v>1037</v>
      </c>
      <c r="N783" s="72" t="s">
        <v>33</v>
      </c>
      <c r="O783" s="72" t="s">
        <v>34</v>
      </c>
      <c r="P783" s="72" t="s">
        <v>35</v>
      </c>
      <c r="Q783" s="89" t="s">
        <v>1906</v>
      </c>
      <c r="S783" s="88" t="s">
        <v>60</v>
      </c>
      <c r="T783" s="89" t="s">
        <v>2190</v>
      </c>
      <c r="V783" s="135" t="s">
        <v>73</v>
      </c>
      <c r="W783" s="136" t="s">
        <v>2113</v>
      </c>
      <c r="Y783" s="88" t="s">
        <v>91</v>
      </c>
      <c r="Z783" s="72">
        <v>160</v>
      </c>
      <c r="AA783" s="89">
        <v>300</v>
      </c>
    </row>
    <row r="784" spans="1:27">
      <c r="A784" s="216"/>
      <c r="B784" s="217"/>
      <c r="F784" s="88" t="s">
        <v>6</v>
      </c>
      <c r="G784" s="112" t="s">
        <v>895</v>
      </c>
      <c r="I784" s="90" t="s">
        <v>26</v>
      </c>
      <c r="J784" s="91"/>
      <c r="K784" s="92">
        <v>720</v>
      </c>
      <c r="M784" s="88" t="s">
        <v>1638</v>
      </c>
      <c r="N784" s="72" t="s">
        <v>33</v>
      </c>
      <c r="O784" s="72" t="s">
        <v>34</v>
      </c>
      <c r="P784" s="72" t="s">
        <v>35</v>
      </c>
      <c r="Q784" s="89" t="s">
        <v>1778</v>
      </c>
      <c r="S784" s="88" t="s">
        <v>62</v>
      </c>
      <c r="T784" s="89" t="s">
        <v>2051</v>
      </c>
      <c r="V784" s="88" t="s">
        <v>76</v>
      </c>
      <c r="W784" s="89" t="s">
        <v>2080</v>
      </c>
      <c r="Y784" s="88" t="s">
        <v>26</v>
      </c>
      <c r="Z784" s="72">
        <v>720</v>
      </c>
      <c r="AA784" s="89">
        <v>640</v>
      </c>
    </row>
    <row r="785" spans="1:27">
      <c r="A785" s="216"/>
      <c r="B785" s="217"/>
      <c r="F785" s="88" t="s">
        <v>8</v>
      </c>
      <c r="G785" s="112" t="s">
        <v>2191</v>
      </c>
      <c r="M785" s="88" t="s">
        <v>1553</v>
      </c>
      <c r="N785" s="72" t="s">
        <v>33</v>
      </c>
      <c r="O785" s="72" t="s">
        <v>43</v>
      </c>
      <c r="P785" s="72" t="s">
        <v>33</v>
      </c>
      <c r="Q785" s="89" t="s">
        <v>1811</v>
      </c>
      <c r="S785" s="119" t="s">
        <v>64</v>
      </c>
      <c r="T785" s="120" t="s">
        <v>2192</v>
      </c>
      <c r="V785" s="88" t="s">
        <v>79</v>
      </c>
      <c r="W785" s="89" t="s">
        <v>1759</v>
      </c>
      <c r="Y785" s="90" t="s">
        <v>92</v>
      </c>
      <c r="Z785" s="91"/>
      <c r="AA785" s="122">
        <v>0.111</v>
      </c>
    </row>
    <row r="786" spans="1:27">
      <c r="A786" s="216"/>
      <c r="B786" s="217"/>
      <c r="F786" s="88" t="s">
        <v>10</v>
      </c>
      <c r="G786" s="112" t="s">
        <v>12</v>
      </c>
      <c r="M786" s="88" t="s">
        <v>49</v>
      </c>
      <c r="N786" s="72" t="s">
        <v>33</v>
      </c>
      <c r="O786" s="72" t="s">
        <v>43</v>
      </c>
      <c r="P786" s="72" t="s">
        <v>33</v>
      </c>
      <c r="Q786" s="89" t="s">
        <v>2193</v>
      </c>
      <c r="S786" s="90" t="s">
        <v>66</v>
      </c>
      <c r="T786" s="133" t="s">
        <v>1988</v>
      </c>
      <c r="V786" s="90" t="s">
        <v>82</v>
      </c>
      <c r="W786" s="92" t="s">
        <v>2194</v>
      </c>
    </row>
    <row r="787" spans="1:27">
      <c r="A787" s="216"/>
      <c r="B787" s="217"/>
      <c r="F787" s="88" t="s">
        <v>13</v>
      </c>
      <c r="G787" t="s">
        <v>2195</v>
      </c>
      <c r="M787" s="88" t="s">
        <v>42</v>
      </c>
      <c r="N787" s="72" t="s">
        <v>33</v>
      </c>
      <c r="O787" s="72" t="s">
        <v>43</v>
      </c>
      <c r="P787" s="72" t="s">
        <v>33</v>
      </c>
      <c r="Q787" s="89" t="s">
        <v>1784</v>
      </c>
    </row>
    <row r="788" spans="1:27">
      <c r="A788" s="216"/>
      <c r="B788" s="217"/>
      <c r="F788" s="88" t="s">
        <v>15</v>
      </c>
      <c r="G788" s="112" t="s">
        <v>2196</v>
      </c>
      <c r="M788" s="88" t="s">
        <v>1956</v>
      </c>
      <c r="N788" s="72" t="s">
        <v>33</v>
      </c>
      <c r="O788" s="72" t="s">
        <v>34</v>
      </c>
      <c r="P788" s="72" t="s">
        <v>35</v>
      </c>
      <c r="Q788" s="89" t="s">
        <v>2073</v>
      </c>
    </row>
    <row r="789" spans="1:27">
      <c r="A789" s="216"/>
      <c r="B789" s="217"/>
      <c r="F789" s="88" t="s">
        <v>17</v>
      </c>
      <c r="G789" s="113">
        <v>46126</v>
      </c>
      <c r="M789" s="88" t="s">
        <v>2197</v>
      </c>
      <c r="N789" s="72" t="s">
        <v>33</v>
      </c>
      <c r="O789" s="72" t="s">
        <v>43</v>
      </c>
      <c r="P789" s="72" t="s">
        <v>33</v>
      </c>
      <c r="Q789" s="89" t="s">
        <v>2198</v>
      </c>
    </row>
    <row r="790" spans="1:27">
      <c r="A790" s="218"/>
      <c r="B790" s="219"/>
      <c r="F790" s="90" t="s">
        <v>18</v>
      </c>
      <c r="G790" s="114" t="s">
        <v>19</v>
      </c>
      <c r="M790" s="88" t="s">
        <v>1972</v>
      </c>
      <c r="N790" s="72" t="s">
        <v>35</v>
      </c>
      <c r="O790" s="72" t="s">
        <v>52</v>
      </c>
      <c r="P790" s="72" t="s">
        <v>35</v>
      </c>
      <c r="Q790" s="89" t="s">
        <v>1936</v>
      </c>
    </row>
    <row r="791" spans="1:27">
      <c r="M791" s="90" t="s">
        <v>924</v>
      </c>
      <c r="N791" s="91" t="s">
        <v>35</v>
      </c>
      <c r="O791" s="91" t="s">
        <v>52</v>
      </c>
      <c r="P791" s="91" t="s">
        <v>35</v>
      </c>
      <c r="Q791" s="92" t="s">
        <v>1922</v>
      </c>
    </row>
    <row r="795" spans="1:27">
      <c r="A795" s="214" t="s">
        <v>346</v>
      </c>
      <c r="B795" s="215"/>
      <c r="F795" s="85" t="s">
        <v>0</v>
      </c>
      <c r="G795" s="118" t="s">
        <v>1</v>
      </c>
      <c r="I795" s="85" t="s">
        <v>20</v>
      </c>
      <c r="J795" s="86" t="s">
        <v>21</v>
      </c>
      <c r="K795" s="87" t="s">
        <v>23</v>
      </c>
      <c r="M795" s="85" t="s">
        <v>27</v>
      </c>
      <c r="N795" s="86" t="s">
        <v>28</v>
      </c>
      <c r="O795" s="86" t="s">
        <v>29</v>
      </c>
      <c r="P795" s="86" t="s">
        <v>30</v>
      </c>
      <c r="Q795" s="87" t="s">
        <v>31</v>
      </c>
      <c r="S795" s="85" t="s">
        <v>56</v>
      </c>
      <c r="T795" s="87" t="s">
        <v>57</v>
      </c>
      <c r="U795" s="79"/>
      <c r="V795" s="85" t="s">
        <v>68</v>
      </c>
      <c r="W795" s="87" t="s">
        <v>69</v>
      </c>
      <c r="Y795" s="85" t="s">
        <v>85</v>
      </c>
      <c r="Z795" s="86" t="s">
        <v>88</v>
      </c>
      <c r="AA795" s="87" t="s">
        <v>89</v>
      </c>
    </row>
    <row r="796" spans="1:27">
      <c r="A796" s="216"/>
      <c r="B796" s="217"/>
      <c r="F796" s="88" t="s">
        <v>2</v>
      </c>
      <c r="G796" s="134" t="s">
        <v>2199</v>
      </c>
      <c r="I796" s="88" t="s">
        <v>24</v>
      </c>
      <c r="J796" s="72">
        <v>7</v>
      </c>
      <c r="K796" s="89">
        <v>530</v>
      </c>
      <c r="M796" s="88" t="s">
        <v>2200</v>
      </c>
      <c r="N796" s="72" t="s">
        <v>33</v>
      </c>
      <c r="O796" s="72" t="s">
        <v>43</v>
      </c>
      <c r="P796" s="72" t="s">
        <v>33</v>
      </c>
      <c r="Q796" s="89" t="s">
        <v>2201</v>
      </c>
      <c r="S796" s="88" t="s">
        <v>58</v>
      </c>
      <c r="T796" s="89" t="s">
        <v>2202</v>
      </c>
      <c r="V796" s="138" t="s">
        <v>70</v>
      </c>
      <c r="W796" s="139" t="s">
        <v>2203</v>
      </c>
      <c r="Y796" s="138" t="s">
        <v>90</v>
      </c>
      <c r="Z796" s="137">
        <v>530</v>
      </c>
      <c r="AA796" s="139">
        <v>320</v>
      </c>
    </row>
    <row r="797" spans="1:27">
      <c r="A797" s="216"/>
      <c r="B797" s="217"/>
      <c r="F797" s="88" t="s">
        <v>4</v>
      </c>
      <c r="G797" s="112" t="s">
        <v>894</v>
      </c>
      <c r="I797" s="88" t="s">
        <v>25</v>
      </c>
      <c r="J797" s="80">
        <v>3</v>
      </c>
      <c r="K797" s="89">
        <v>210</v>
      </c>
      <c r="M797" s="88" t="s">
        <v>1037</v>
      </c>
      <c r="N797" s="72" t="s">
        <v>33</v>
      </c>
      <c r="O797" s="72" t="s">
        <v>34</v>
      </c>
      <c r="P797" s="72" t="s">
        <v>35</v>
      </c>
      <c r="Q797" s="89" t="s">
        <v>1906</v>
      </c>
      <c r="S797" s="88" t="s">
        <v>60</v>
      </c>
      <c r="T797" s="89" t="s">
        <v>2204</v>
      </c>
      <c r="V797" s="135" t="s">
        <v>73</v>
      </c>
      <c r="W797" s="136" t="s">
        <v>2113</v>
      </c>
      <c r="Y797" s="88" t="s">
        <v>91</v>
      </c>
      <c r="Z797" s="72">
        <v>210</v>
      </c>
      <c r="AA797" s="89">
        <v>340</v>
      </c>
    </row>
    <row r="798" spans="1:27">
      <c r="A798" s="216"/>
      <c r="B798" s="217"/>
      <c r="F798" s="88" t="s">
        <v>6</v>
      </c>
      <c r="G798" s="112" t="s">
        <v>1484</v>
      </c>
      <c r="I798" s="90" t="s">
        <v>26</v>
      </c>
      <c r="J798" s="91"/>
      <c r="K798" s="92">
        <v>740</v>
      </c>
      <c r="M798" s="88" t="s">
        <v>1638</v>
      </c>
      <c r="N798" s="72" t="s">
        <v>33</v>
      </c>
      <c r="O798" s="72" t="s">
        <v>34</v>
      </c>
      <c r="P798" s="72" t="s">
        <v>35</v>
      </c>
      <c r="Q798" s="89" t="s">
        <v>1778</v>
      </c>
      <c r="S798" s="88" t="s">
        <v>62</v>
      </c>
      <c r="T798" s="89" t="s">
        <v>2205</v>
      </c>
      <c r="V798" s="88" t="s">
        <v>76</v>
      </c>
      <c r="W798" s="89" t="s">
        <v>2206</v>
      </c>
      <c r="Y798" s="88" t="s">
        <v>26</v>
      </c>
      <c r="Z798" s="72">
        <v>740</v>
      </c>
      <c r="AA798" s="89">
        <v>660</v>
      </c>
    </row>
    <row r="799" spans="1:27">
      <c r="A799" s="216"/>
      <c r="B799" s="217"/>
      <c r="F799" s="88" t="s">
        <v>8</v>
      </c>
      <c r="G799" s="112" t="s">
        <v>2207</v>
      </c>
      <c r="M799" s="88" t="s">
        <v>1553</v>
      </c>
      <c r="N799" s="72" t="s">
        <v>33</v>
      </c>
      <c r="O799" s="72" t="s">
        <v>43</v>
      </c>
      <c r="P799" s="72" t="s">
        <v>33</v>
      </c>
      <c r="Q799" s="89" t="s">
        <v>1811</v>
      </c>
      <c r="S799" s="119" t="s">
        <v>64</v>
      </c>
      <c r="T799" s="120" t="s">
        <v>2208</v>
      </c>
      <c r="V799" s="88" t="s">
        <v>79</v>
      </c>
      <c r="W799" s="89" t="s">
        <v>2209</v>
      </c>
      <c r="Y799" s="90" t="s">
        <v>92</v>
      </c>
      <c r="Z799" s="91"/>
      <c r="AA799" s="122">
        <v>0.108</v>
      </c>
    </row>
    <row r="800" spans="1:27">
      <c r="A800" s="216"/>
      <c r="B800" s="217"/>
      <c r="F800" s="88" t="s">
        <v>10</v>
      </c>
      <c r="G800" s="112" t="s">
        <v>12</v>
      </c>
      <c r="M800" s="88" t="s">
        <v>49</v>
      </c>
      <c r="N800" s="72" t="s">
        <v>33</v>
      </c>
      <c r="O800" s="72" t="s">
        <v>43</v>
      </c>
      <c r="P800" s="72" t="s">
        <v>33</v>
      </c>
      <c r="Q800" s="89" t="s">
        <v>2210</v>
      </c>
      <c r="S800" s="90" t="s">
        <v>66</v>
      </c>
      <c r="T800" s="133" t="s">
        <v>2211</v>
      </c>
      <c r="V800" s="90" t="s">
        <v>82</v>
      </c>
      <c r="W800" s="92" t="s">
        <v>2212</v>
      </c>
    </row>
    <row r="801" spans="1:27">
      <c r="A801" s="216"/>
      <c r="B801" s="217"/>
      <c r="F801" s="88" t="s">
        <v>13</v>
      </c>
      <c r="G801" t="s">
        <v>2213</v>
      </c>
      <c r="M801" s="88" t="s">
        <v>42</v>
      </c>
      <c r="N801" s="72" t="s">
        <v>33</v>
      </c>
      <c r="O801" s="72" t="s">
        <v>43</v>
      </c>
      <c r="P801" s="72" t="s">
        <v>33</v>
      </c>
      <c r="Q801" s="89" t="s">
        <v>1784</v>
      </c>
    </row>
    <row r="802" spans="1:27">
      <c r="A802" s="216"/>
      <c r="B802" s="217"/>
      <c r="F802" s="88" t="s">
        <v>15</v>
      </c>
      <c r="G802" s="112" t="s">
        <v>2214</v>
      </c>
      <c r="M802" s="88" t="s">
        <v>1879</v>
      </c>
      <c r="N802" s="72" t="s">
        <v>33</v>
      </c>
      <c r="O802" s="72" t="s">
        <v>34</v>
      </c>
      <c r="P802" s="72" t="s">
        <v>35</v>
      </c>
      <c r="Q802" s="89" t="s">
        <v>2073</v>
      </c>
    </row>
    <row r="803" spans="1:27">
      <c r="A803" s="216"/>
      <c r="B803" s="217"/>
      <c r="F803" s="88" t="s">
        <v>17</v>
      </c>
      <c r="G803" s="113">
        <v>46126</v>
      </c>
      <c r="M803" s="88" t="s">
        <v>1972</v>
      </c>
      <c r="N803" s="72" t="s">
        <v>35</v>
      </c>
      <c r="O803" s="72" t="s">
        <v>52</v>
      </c>
      <c r="P803" s="72" t="s">
        <v>35</v>
      </c>
      <c r="Q803" s="89" t="s">
        <v>1936</v>
      </c>
    </row>
    <row r="804" spans="1:27">
      <c r="A804" s="218"/>
      <c r="B804" s="219"/>
      <c r="F804" s="90" t="s">
        <v>18</v>
      </c>
      <c r="G804" s="114" t="s">
        <v>19</v>
      </c>
      <c r="M804" s="88" t="s">
        <v>924</v>
      </c>
      <c r="N804" s="72" t="s">
        <v>35</v>
      </c>
      <c r="O804" s="72" t="s">
        <v>52</v>
      </c>
      <c r="P804" s="72" t="s">
        <v>35</v>
      </c>
      <c r="Q804" s="89" t="s">
        <v>1922</v>
      </c>
    </row>
    <row r="805" spans="1:27">
      <c r="M805" s="90" t="s">
        <v>1958</v>
      </c>
      <c r="N805" s="91" t="s">
        <v>35</v>
      </c>
      <c r="O805" s="91" t="s">
        <v>52</v>
      </c>
      <c r="P805" s="91" t="s">
        <v>35</v>
      </c>
      <c r="Q805" s="92" t="s">
        <v>2041</v>
      </c>
    </row>
    <row r="809" spans="1:27">
      <c r="A809" s="214" t="s">
        <v>348</v>
      </c>
      <c r="B809" s="215"/>
      <c r="F809" s="85" t="s">
        <v>0</v>
      </c>
      <c r="G809" s="118" t="s">
        <v>1</v>
      </c>
      <c r="I809" s="85" t="s">
        <v>20</v>
      </c>
      <c r="J809" s="86" t="s">
        <v>21</v>
      </c>
      <c r="K809" s="87" t="s">
        <v>23</v>
      </c>
      <c r="M809" s="85" t="s">
        <v>27</v>
      </c>
      <c r="N809" s="86" t="s">
        <v>28</v>
      </c>
      <c r="O809" s="86" t="s">
        <v>29</v>
      </c>
      <c r="P809" s="86" t="s">
        <v>30</v>
      </c>
      <c r="Q809" s="87" t="s">
        <v>31</v>
      </c>
      <c r="S809" s="85" t="s">
        <v>56</v>
      </c>
      <c r="T809" s="87" t="s">
        <v>57</v>
      </c>
      <c r="U809" s="79"/>
      <c r="V809" s="85" t="s">
        <v>68</v>
      </c>
      <c r="W809" s="87" t="s">
        <v>69</v>
      </c>
      <c r="Y809" s="85" t="s">
        <v>85</v>
      </c>
      <c r="Z809" s="86" t="s">
        <v>88</v>
      </c>
      <c r="AA809" s="87" t="s">
        <v>89</v>
      </c>
    </row>
    <row r="810" spans="1:27">
      <c r="A810" s="216"/>
      <c r="B810" s="217"/>
      <c r="F810" s="88" t="s">
        <v>2</v>
      </c>
      <c r="G810" s="134" t="s">
        <v>2215</v>
      </c>
      <c r="I810" s="88" t="s">
        <v>24</v>
      </c>
      <c r="J810" s="72">
        <v>4</v>
      </c>
      <c r="K810" s="89">
        <v>270</v>
      </c>
      <c r="M810" s="88" t="s">
        <v>2216</v>
      </c>
      <c r="N810" s="72" t="s">
        <v>33</v>
      </c>
      <c r="O810" s="72" t="s">
        <v>34</v>
      </c>
      <c r="P810" s="72" t="s">
        <v>35</v>
      </c>
      <c r="Q810" s="89" t="s">
        <v>1906</v>
      </c>
      <c r="S810" s="88" t="s">
        <v>58</v>
      </c>
      <c r="T810" s="89" t="s">
        <v>2217</v>
      </c>
      <c r="V810" s="138" t="s">
        <v>70</v>
      </c>
      <c r="W810" s="139" t="s">
        <v>2218</v>
      </c>
      <c r="Y810" s="138" t="s">
        <v>90</v>
      </c>
      <c r="Z810" s="137">
        <v>270</v>
      </c>
      <c r="AA810" s="139">
        <v>150</v>
      </c>
    </row>
    <row r="811" spans="1:27">
      <c r="A811" s="216"/>
      <c r="B811" s="217"/>
      <c r="F811" s="88" t="s">
        <v>4</v>
      </c>
      <c r="G811" s="112" t="s">
        <v>894</v>
      </c>
      <c r="I811" s="88" t="s">
        <v>25</v>
      </c>
      <c r="J811" s="80">
        <v>6</v>
      </c>
      <c r="K811" s="89">
        <v>350</v>
      </c>
      <c r="M811" s="88" t="s">
        <v>1638</v>
      </c>
      <c r="N811" s="72" t="s">
        <v>33</v>
      </c>
      <c r="O811" s="72" t="s">
        <v>34</v>
      </c>
      <c r="P811" s="72" t="s">
        <v>35</v>
      </c>
      <c r="Q811" s="89" t="s">
        <v>1778</v>
      </c>
      <c r="S811" s="88" t="s">
        <v>60</v>
      </c>
      <c r="T811" s="89" t="s">
        <v>2219</v>
      </c>
      <c r="V811" s="135" t="s">
        <v>73</v>
      </c>
      <c r="W811" s="136" t="s">
        <v>2050</v>
      </c>
      <c r="Y811" s="88" t="s">
        <v>91</v>
      </c>
      <c r="Z811" s="72">
        <v>350</v>
      </c>
      <c r="AA811" s="89">
        <v>420</v>
      </c>
    </row>
    <row r="812" spans="1:27">
      <c r="A812" s="216"/>
      <c r="B812" s="217"/>
      <c r="F812" s="88" t="s">
        <v>6</v>
      </c>
      <c r="G812" s="112" t="s">
        <v>1484</v>
      </c>
      <c r="I812" s="90" t="s">
        <v>26</v>
      </c>
      <c r="J812" s="91"/>
      <c r="K812" s="92">
        <v>620</v>
      </c>
      <c r="M812" s="88" t="s">
        <v>1877</v>
      </c>
      <c r="N812" s="72" t="s">
        <v>33</v>
      </c>
      <c r="O812" s="72" t="s">
        <v>43</v>
      </c>
      <c r="P812" s="72" t="s">
        <v>33</v>
      </c>
      <c r="Q812" s="89" t="s">
        <v>1641</v>
      </c>
      <c r="S812" s="88" t="s">
        <v>62</v>
      </c>
      <c r="T812" s="89" t="s">
        <v>2016</v>
      </c>
      <c r="V812" s="88" t="s">
        <v>76</v>
      </c>
      <c r="W812" s="89" t="s">
        <v>2017</v>
      </c>
      <c r="Y812" s="88" t="s">
        <v>26</v>
      </c>
      <c r="Z812" s="72">
        <v>620</v>
      </c>
      <c r="AA812" s="89">
        <v>570</v>
      </c>
    </row>
    <row r="813" spans="1:27">
      <c r="A813" s="216"/>
      <c r="B813" s="217"/>
      <c r="F813" s="88" t="s">
        <v>8</v>
      </c>
      <c r="G813" s="112" t="s">
        <v>2220</v>
      </c>
      <c r="M813" s="88" t="s">
        <v>49</v>
      </c>
      <c r="N813" s="72" t="s">
        <v>33</v>
      </c>
      <c r="O813" s="72" t="s">
        <v>43</v>
      </c>
      <c r="P813" s="72" t="s">
        <v>33</v>
      </c>
      <c r="Q813" s="89" t="s">
        <v>2101</v>
      </c>
      <c r="S813" s="119" t="s">
        <v>64</v>
      </c>
      <c r="T813" s="120" t="s">
        <v>2221</v>
      </c>
      <c r="V813" s="88" t="s">
        <v>79</v>
      </c>
      <c r="W813" s="89" t="s">
        <v>1584</v>
      </c>
      <c r="Y813" s="90" t="s">
        <v>92</v>
      </c>
      <c r="Z813" s="91"/>
      <c r="AA813" s="122">
        <v>8.1000000000000003E-2</v>
      </c>
    </row>
    <row r="814" spans="1:27">
      <c r="A814" s="216"/>
      <c r="B814" s="217"/>
      <c r="F814" s="88" t="s">
        <v>10</v>
      </c>
      <c r="G814" s="112" t="s">
        <v>12</v>
      </c>
      <c r="M814" s="88" t="s">
        <v>1972</v>
      </c>
      <c r="N814" s="72" t="s">
        <v>35</v>
      </c>
      <c r="O814" s="72" t="s">
        <v>52</v>
      </c>
      <c r="P814" s="72" t="s">
        <v>35</v>
      </c>
      <c r="Q814" s="89" t="s">
        <v>1936</v>
      </c>
      <c r="S814" s="90" t="s">
        <v>66</v>
      </c>
      <c r="T814" s="133" t="s">
        <v>1815</v>
      </c>
      <c r="V814" s="90" t="s">
        <v>82</v>
      </c>
      <c r="W814" s="92" t="s">
        <v>2103</v>
      </c>
    </row>
    <row r="815" spans="1:27">
      <c r="A815" s="216"/>
      <c r="B815" s="217"/>
      <c r="F815" s="88" t="s">
        <v>13</v>
      </c>
      <c r="G815" t="s">
        <v>2222</v>
      </c>
      <c r="M815" s="88" t="s">
        <v>924</v>
      </c>
      <c r="N815" s="72" t="s">
        <v>35</v>
      </c>
      <c r="O815" s="72" t="s">
        <v>52</v>
      </c>
      <c r="P815" s="72" t="s">
        <v>35</v>
      </c>
      <c r="Q815" s="89" t="s">
        <v>1922</v>
      </c>
    </row>
    <row r="816" spans="1:27">
      <c r="A816" s="216"/>
      <c r="B816" s="217"/>
      <c r="F816" s="88" t="s">
        <v>15</v>
      </c>
      <c r="G816" s="112" t="s">
        <v>2223</v>
      </c>
      <c r="M816" s="88" t="s">
        <v>1923</v>
      </c>
      <c r="N816" s="72" t="s">
        <v>35</v>
      </c>
      <c r="O816" s="72" t="s">
        <v>52</v>
      </c>
      <c r="P816" s="72" t="s">
        <v>35</v>
      </c>
      <c r="Q816" s="89" t="s">
        <v>2224</v>
      </c>
    </row>
    <row r="817" spans="1:27">
      <c r="A817" s="216"/>
      <c r="B817" s="217"/>
      <c r="F817" s="88" t="s">
        <v>17</v>
      </c>
      <c r="G817" s="144">
        <v>46126</v>
      </c>
      <c r="M817" s="88" t="s">
        <v>1958</v>
      </c>
      <c r="N817" s="72" t="s">
        <v>35</v>
      </c>
      <c r="O817" s="72" t="s">
        <v>52</v>
      </c>
      <c r="P817" s="72" t="s">
        <v>35</v>
      </c>
      <c r="Q817" s="89" t="s">
        <v>2041</v>
      </c>
    </row>
    <row r="818" spans="1:27">
      <c r="A818" s="218"/>
      <c r="B818" s="219"/>
      <c r="F818" s="108" t="s">
        <v>18</v>
      </c>
      <c r="G818" s="143" t="s">
        <v>19</v>
      </c>
      <c r="M818" s="88" t="s">
        <v>1975</v>
      </c>
      <c r="N818" s="72" t="s">
        <v>35</v>
      </c>
      <c r="O818" s="72" t="s">
        <v>52</v>
      </c>
      <c r="P818" s="72" t="s">
        <v>35</v>
      </c>
      <c r="Q818" s="89" t="s">
        <v>1826</v>
      </c>
    </row>
    <row r="819" spans="1:27">
      <c r="M819" s="140" t="s">
        <v>1799</v>
      </c>
      <c r="N819" s="141" t="s">
        <v>35</v>
      </c>
      <c r="O819" s="141" t="s">
        <v>52</v>
      </c>
      <c r="P819" s="141" t="s">
        <v>35</v>
      </c>
      <c r="Q819" s="142" t="s">
        <v>1976</v>
      </c>
    </row>
    <row r="822" spans="1:27">
      <c r="A822" s="214" t="s">
        <v>350</v>
      </c>
      <c r="B822" s="215"/>
      <c r="F822" s="85" t="s">
        <v>0</v>
      </c>
      <c r="G822" s="118" t="s">
        <v>1</v>
      </c>
      <c r="I822" s="85" t="s">
        <v>20</v>
      </c>
      <c r="J822" s="86" t="s">
        <v>21</v>
      </c>
      <c r="K822" s="87" t="s">
        <v>23</v>
      </c>
      <c r="M822" s="85" t="s">
        <v>27</v>
      </c>
      <c r="N822" s="86" t="s">
        <v>28</v>
      </c>
      <c r="O822" s="86" t="s">
        <v>29</v>
      </c>
      <c r="P822" s="86" t="s">
        <v>30</v>
      </c>
      <c r="Q822" s="87" t="s">
        <v>31</v>
      </c>
      <c r="S822" s="85" t="s">
        <v>56</v>
      </c>
      <c r="T822" s="87" t="s">
        <v>57</v>
      </c>
      <c r="U822" s="79"/>
      <c r="V822" s="85" t="s">
        <v>68</v>
      </c>
      <c r="W822" s="87" t="s">
        <v>69</v>
      </c>
      <c r="Y822" s="85" t="s">
        <v>85</v>
      </c>
      <c r="Z822" s="86" t="s">
        <v>88</v>
      </c>
      <c r="AA822" s="87" t="s">
        <v>89</v>
      </c>
    </row>
    <row r="823" spans="1:27">
      <c r="A823" s="216"/>
      <c r="B823" s="217"/>
      <c r="F823" s="88" t="s">
        <v>2</v>
      </c>
      <c r="G823" s="134" t="s">
        <v>2225</v>
      </c>
      <c r="I823" s="88" t="s">
        <v>24</v>
      </c>
      <c r="J823" s="72">
        <v>6</v>
      </c>
      <c r="K823" s="89">
        <v>460</v>
      </c>
      <c r="M823" s="88" t="s">
        <v>1860</v>
      </c>
      <c r="N823" s="72" t="s">
        <v>33</v>
      </c>
      <c r="O823" s="72" t="s">
        <v>34</v>
      </c>
      <c r="P823" s="72" t="s">
        <v>35</v>
      </c>
      <c r="Q823" s="89" t="s">
        <v>2226</v>
      </c>
      <c r="S823" s="88" t="s">
        <v>58</v>
      </c>
      <c r="T823" s="89" t="s">
        <v>2227</v>
      </c>
      <c r="V823" s="138" t="s">
        <v>70</v>
      </c>
      <c r="W823" s="139" t="s">
        <v>2228</v>
      </c>
      <c r="Y823" s="138" t="s">
        <v>90</v>
      </c>
      <c r="Z823" s="137">
        <v>460</v>
      </c>
      <c r="AA823" s="139">
        <v>280</v>
      </c>
    </row>
    <row r="824" spans="1:27">
      <c r="A824" s="216"/>
      <c r="B824" s="217"/>
      <c r="F824" s="88" t="s">
        <v>4</v>
      </c>
      <c r="G824" s="112" t="s">
        <v>894</v>
      </c>
      <c r="I824" s="88" t="s">
        <v>25</v>
      </c>
      <c r="J824" s="80">
        <v>3</v>
      </c>
      <c r="K824" s="89">
        <v>200</v>
      </c>
      <c r="M824" s="88" t="s">
        <v>1723</v>
      </c>
      <c r="N824" s="72" t="s">
        <v>33</v>
      </c>
      <c r="O824" s="72" t="s">
        <v>43</v>
      </c>
      <c r="P824" s="72" t="s">
        <v>33</v>
      </c>
      <c r="Q824" s="89" t="s">
        <v>1984</v>
      </c>
      <c r="S824" s="88" t="s">
        <v>60</v>
      </c>
      <c r="T824" s="89" t="s">
        <v>2229</v>
      </c>
      <c r="V824" s="135" t="s">
        <v>73</v>
      </c>
      <c r="W824" s="136" t="s">
        <v>2167</v>
      </c>
      <c r="Y824" s="88" t="s">
        <v>91</v>
      </c>
      <c r="Z824" s="72">
        <v>200</v>
      </c>
      <c r="AA824" s="89">
        <v>310</v>
      </c>
    </row>
    <row r="825" spans="1:27">
      <c r="A825" s="216"/>
      <c r="B825" s="217"/>
      <c r="F825" s="88" t="s">
        <v>6</v>
      </c>
      <c r="G825" s="112" t="s">
        <v>1484</v>
      </c>
      <c r="I825" s="90" t="s">
        <v>26</v>
      </c>
      <c r="J825" s="91"/>
      <c r="K825" s="92">
        <v>660</v>
      </c>
      <c r="M825" s="88" t="s">
        <v>1638</v>
      </c>
      <c r="N825" s="72" t="s">
        <v>33</v>
      </c>
      <c r="O825" s="72" t="s">
        <v>34</v>
      </c>
      <c r="P825" s="72" t="s">
        <v>35</v>
      </c>
      <c r="Q825" s="89" t="s">
        <v>1778</v>
      </c>
      <c r="S825" s="88" t="s">
        <v>62</v>
      </c>
      <c r="T825" s="89" t="s">
        <v>2230</v>
      </c>
      <c r="V825" s="88" t="s">
        <v>76</v>
      </c>
      <c r="W825" s="89" t="s">
        <v>2231</v>
      </c>
      <c r="Y825" s="88" t="s">
        <v>26</v>
      </c>
      <c r="Z825" s="72">
        <v>660</v>
      </c>
      <c r="AA825" s="89">
        <v>590</v>
      </c>
    </row>
    <row r="826" spans="1:27">
      <c r="A826" s="216"/>
      <c r="B826" s="217"/>
      <c r="F826" s="88" t="s">
        <v>8</v>
      </c>
      <c r="G826" s="112" t="s">
        <v>2232</v>
      </c>
      <c r="M826" s="88" t="s">
        <v>1553</v>
      </c>
      <c r="N826" s="72" t="s">
        <v>33</v>
      </c>
      <c r="O826" s="72" t="s">
        <v>43</v>
      </c>
      <c r="P826" s="72" t="s">
        <v>33</v>
      </c>
      <c r="Q826" s="89" t="s">
        <v>1811</v>
      </c>
      <c r="S826" s="119" t="s">
        <v>64</v>
      </c>
      <c r="T826" s="120" t="s">
        <v>2233</v>
      </c>
      <c r="V826" s="88" t="s">
        <v>79</v>
      </c>
      <c r="W826" s="89" t="s">
        <v>1726</v>
      </c>
      <c r="Y826" s="90" t="s">
        <v>92</v>
      </c>
      <c r="Z826" s="91"/>
      <c r="AA826" s="122">
        <v>0.106</v>
      </c>
    </row>
    <row r="827" spans="1:27">
      <c r="A827" s="216"/>
      <c r="B827" s="217"/>
      <c r="F827" s="88" t="s">
        <v>10</v>
      </c>
      <c r="G827" s="112" t="s">
        <v>1403</v>
      </c>
      <c r="M827" s="88" t="s">
        <v>2234</v>
      </c>
      <c r="N827" s="72" t="s">
        <v>33</v>
      </c>
      <c r="O827" s="72" t="s">
        <v>43</v>
      </c>
      <c r="P827" s="72" t="s">
        <v>33</v>
      </c>
      <c r="Q827" s="89" t="s">
        <v>2235</v>
      </c>
      <c r="S827" s="90" t="s">
        <v>66</v>
      </c>
      <c r="T827" s="133" t="s">
        <v>2070</v>
      </c>
      <c r="V827" s="90" t="s">
        <v>82</v>
      </c>
      <c r="W827" s="92" t="s">
        <v>2236</v>
      </c>
    </row>
    <row r="828" spans="1:27">
      <c r="A828" s="216"/>
      <c r="B828" s="217"/>
      <c r="F828" s="88" t="s">
        <v>13</v>
      </c>
      <c r="G828" t="s">
        <v>2222</v>
      </c>
      <c r="M828" s="88" t="s">
        <v>1990</v>
      </c>
      <c r="N828" s="72" t="s">
        <v>33</v>
      </c>
      <c r="O828" s="72" t="s">
        <v>43</v>
      </c>
      <c r="P828" s="72" t="s">
        <v>33</v>
      </c>
      <c r="Q828" s="89" t="s">
        <v>1899</v>
      </c>
    </row>
    <row r="829" spans="1:27">
      <c r="A829" s="216"/>
      <c r="B829" s="217"/>
      <c r="F829" s="88" t="s">
        <v>15</v>
      </c>
      <c r="G829" s="112" t="s">
        <v>2237</v>
      </c>
      <c r="M829" s="88" t="s">
        <v>1972</v>
      </c>
      <c r="N829" s="72" t="s">
        <v>35</v>
      </c>
      <c r="O829" s="72" t="s">
        <v>52</v>
      </c>
      <c r="P829" s="72" t="s">
        <v>35</v>
      </c>
      <c r="Q829" s="89" t="s">
        <v>2238</v>
      </c>
    </row>
    <row r="830" spans="1:27">
      <c r="A830" s="216"/>
      <c r="B830" s="217"/>
      <c r="F830" s="88" t="s">
        <v>17</v>
      </c>
      <c r="G830" s="113">
        <v>46126</v>
      </c>
      <c r="M830" s="88" t="s">
        <v>924</v>
      </c>
      <c r="N830" s="72" t="s">
        <v>35</v>
      </c>
      <c r="O830" s="72" t="s">
        <v>52</v>
      </c>
      <c r="P830" s="72" t="s">
        <v>35</v>
      </c>
      <c r="Q830" s="89" t="s">
        <v>1922</v>
      </c>
    </row>
    <row r="831" spans="1:27">
      <c r="A831" s="218"/>
      <c r="B831" s="219"/>
      <c r="F831" s="90" t="s">
        <v>18</v>
      </c>
      <c r="G831" s="114" t="s">
        <v>19</v>
      </c>
      <c r="M831" s="90" t="s">
        <v>1904</v>
      </c>
      <c r="N831" s="91" t="s">
        <v>35</v>
      </c>
      <c r="O831" s="91" t="s">
        <v>52</v>
      </c>
      <c r="P831" s="91" t="s">
        <v>35</v>
      </c>
      <c r="Q831" s="92" t="s">
        <v>2041</v>
      </c>
    </row>
    <row r="836" spans="1:27">
      <c r="A836" s="214" t="s">
        <v>352</v>
      </c>
      <c r="B836" s="215"/>
      <c r="F836" s="85" t="s">
        <v>0</v>
      </c>
      <c r="G836" s="118" t="s">
        <v>1</v>
      </c>
      <c r="I836" s="85" t="s">
        <v>20</v>
      </c>
      <c r="J836" s="86" t="s">
        <v>21</v>
      </c>
      <c r="K836" s="87" t="s">
        <v>23</v>
      </c>
      <c r="M836" s="85" t="s">
        <v>27</v>
      </c>
      <c r="N836" s="86" t="s">
        <v>28</v>
      </c>
      <c r="O836" s="86" t="s">
        <v>29</v>
      </c>
      <c r="P836" s="86" t="s">
        <v>30</v>
      </c>
      <c r="Q836" s="87" t="s">
        <v>31</v>
      </c>
      <c r="S836" s="85" t="s">
        <v>56</v>
      </c>
      <c r="T836" s="87" t="s">
        <v>57</v>
      </c>
      <c r="U836" s="79"/>
      <c r="V836" s="85" t="s">
        <v>68</v>
      </c>
      <c r="W836" s="87" t="s">
        <v>69</v>
      </c>
      <c r="Y836" s="85" t="s">
        <v>85</v>
      </c>
      <c r="Z836" s="86" t="s">
        <v>88</v>
      </c>
      <c r="AA836" s="87" t="s">
        <v>89</v>
      </c>
    </row>
    <row r="837" spans="1:27">
      <c r="A837" s="216"/>
      <c r="B837" s="217"/>
      <c r="F837" s="88" t="s">
        <v>2</v>
      </c>
      <c r="G837" s="134" t="s">
        <v>2239</v>
      </c>
      <c r="I837" s="88" t="s">
        <v>24</v>
      </c>
      <c r="J837" s="72">
        <v>8</v>
      </c>
      <c r="K837" s="89">
        <v>580</v>
      </c>
      <c r="M837" s="88" t="s">
        <v>2240</v>
      </c>
      <c r="N837" s="72" t="s">
        <v>33</v>
      </c>
      <c r="O837" s="72" t="s">
        <v>43</v>
      </c>
      <c r="P837" s="72" t="s">
        <v>33</v>
      </c>
      <c r="Q837" s="89" t="s">
        <v>2241</v>
      </c>
      <c r="S837" s="88" t="s">
        <v>58</v>
      </c>
      <c r="T837" s="89" t="s">
        <v>2242</v>
      </c>
      <c r="V837" s="138" t="s">
        <v>70</v>
      </c>
      <c r="W837" s="139" t="s">
        <v>2243</v>
      </c>
      <c r="Y837" s="138" t="s">
        <v>90</v>
      </c>
      <c r="Z837" s="137">
        <v>580</v>
      </c>
      <c r="AA837" s="139">
        <v>360</v>
      </c>
    </row>
    <row r="838" spans="1:27">
      <c r="A838" s="216"/>
      <c r="B838" s="217"/>
      <c r="F838" s="88" t="s">
        <v>4</v>
      </c>
      <c r="G838" s="112" t="s">
        <v>894</v>
      </c>
      <c r="I838" s="88" t="s">
        <v>25</v>
      </c>
      <c r="J838" s="80">
        <v>2</v>
      </c>
      <c r="K838" s="89">
        <v>150</v>
      </c>
      <c r="M838" s="88" t="s">
        <v>32</v>
      </c>
      <c r="N838" s="72" t="s">
        <v>33</v>
      </c>
      <c r="O838" s="72" t="s">
        <v>34</v>
      </c>
      <c r="P838" s="72" t="s">
        <v>35</v>
      </c>
      <c r="Q838" s="89" t="s">
        <v>1906</v>
      </c>
      <c r="S838" s="88" t="s">
        <v>60</v>
      </c>
      <c r="T838" s="89" t="s">
        <v>2244</v>
      </c>
      <c r="V838" s="135" t="s">
        <v>73</v>
      </c>
      <c r="W838" s="136" t="s">
        <v>2098</v>
      </c>
      <c r="Y838" s="88" t="s">
        <v>91</v>
      </c>
      <c r="Z838" s="72">
        <v>150</v>
      </c>
      <c r="AA838" s="89">
        <v>300</v>
      </c>
    </row>
    <row r="839" spans="1:27">
      <c r="A839" s="216"/>
      <c r="B839" s="217"/>
      <c r="F839" s="88" t="s">
        <v>6</v>
      </c>
      <c r="G839" s="112" t="s">
        <v>1484</v>
      </c>
      <c r="I839" s="90" t="s">
        <v>26</v>
      </c>
      <c r="J839" s="91"/>
      <c r="K839" s="92">
        <v>730</v>
      </c>
      <c r="M839" s="88" t="s">
        <v>1684</v>
      </c>
      <c r="N839" s="72" t="s">
        <v>33</v>
      </c>
      <c r="O839" s="72" t="s">
        <v>34</v>
      </c>
      <c r="P839" s="72" t="s">
        <v>35</v>
      </c>
      <c r="Q839" s="89" t="s">
        <v>2245</v>
      </c>
      <c r="S839" s="88" t="s">
        <v>62</v>
      </c>
      <c r="T839" s="89" t="s">
        <v>2246</v>
      </c>
      <c r="V839" s="88" t="s">
        <v>76</v>
      </c>
      <c r="W839" s="89" t="s">
        <v>2247</v>
      </c>
      <c r="Y839" s="88" t="s">
        <v>26</v>
      </c>
      <c r="Z839" s="72">
        <v>730</v>
      </c>
      <c r="AA839" s="89">
        <v>660</v>
      </c>
    </row>
    <row r="840" spans="1:27">
      <c r="A840" s="216"/>
      <c r="B840" s="217"/>
      <c r="F840" s="88" t="s">
        <v>8</v>
      </c>
      <c r="G840" s="112" t="s">
        <v>2248</v>
      </c>
      <c r="M840" s="88" t="s">
        <v>1864</v>
      </c>
      <c r="N840" s="72" t="s">
        <v>33</v>
      </c>
      <c r="O840" s="72" t="s">
        <v>43</v>
      </c>
      <c r="P840" s="72" t="s">
        <v>33</v>
      </c>
      <c r="Q840" s="89" t="s">
        <v>1609</v>
      </c>
      <c r="S840" s="119" t="s">
        <v>64</v>
      </c>
      <c r="T840" s="120" t="s">
        <v>2192</v>
      </c>
      <c r="V840" s="88" t="s">
        <v>79</v>
      </c>
      <c r="W840" s="89" t="s">
        <v>1759</v>
      </c>
      <c r="Y840" s="90" t="s">
        <v>92</v>
      </c>
      <c r="Z840" s="91"/>
      <c r="AA840" s="122">
        <v>9.6000000000000002E-2</v>
      </c>
    </row>
    <row r="841" spans="1:27">
      <c r="A841" s="216"/>
      <c r="B841" s="217"/>
      <c r="F841" s="88" t="s">
        <v>10</v>
      </c>
      <c r="G841" s="112" t="s">
        <v>1494</v>
      </c>
      <c r="M841" s="88" t="s">
        <v>49</v>
      </c>
      <c r="N841" s="72" t="s">
        <v>33</v>
      </c>
      <c r="O841" s="72" t="s">
        <v>43</v>
      </c>
      <c r="P841" s="72" t="s">
        <v>33</v>
      </c>
      <c r="Q841" s="89" t="s">
        <v>2249</v>
      </c>
      <c r="S841" s="90" t="s">
        <v>66</v>
      </c>
      <c r="T841" s="133" t="s">
        <v>2250</v>
      </c>
      <c r="V841" s="90" t="s">
        <v>82</v>
      </c>
      <c r="W841" s="92" t="s">
        <v>2251</v>
      </c>
    </row>
    <row r="842" spans="1:27" ht="30.75">
      <c r="A842" s="216"/>
      <c r="B842" s="217"/>
      <c r="F842" s="88" t="s">
        <v>13</v>
      </c>
      <c r="G842" s="200" t="s">
        <v>2252</v>
      </c>
      <c r="M842" s="88" t="s">
        <v>42</v>
      </c>
      <c r="N842" s="72" t="s">
        <v>33</v>
      </c>
      <c r="O842" s="72" t="s">
        <v>43</v>
      </c>
      <c r="P842" s="72" t="s">
        <v>33</v>
      </c>
      <c r="Q842" s="89" t="s">
        <v>1784</v>
      </c>
    </row>
    <row r="843" spans="1:27">
      <c r="A843" s="216"/>
      <c r="B843" s="217"/>
      <c r="F843" s="88" t="s">
        <v>15</v>
      </c>
      <c r="G843" s="112" t="s">
        <v>2253</v>
      </c>
      <c r="M843" s="88" t="s">
        <v>1956</v>
      </c>
      <c r="N843" s="72" t="s">
        <v>33</v>
      </c>
      <c r="O843" s="72" t="s">
        <v>34</v>
      </c>
      <c r="P843" s="72" t="s">
        <v>35</v>
      </c>
      <c r="Q843" s="89" t="s">
        <v>2073</v>
      </c>
    </row>
    <row r="844" spans="1:27">
      <c r="A844" s="216"/>
      <c r="B844" s="217"/>
      <c r="F844" s="88" t="s">
        <v>17</v>
      </c>
      <c r="G844" s="144">
        <v>46126</v>
      </c>
      <c r="M844" s="88" t="s">
        <v>1553</v>
      </c>
      <c r="N844" s="72" t="s">
        <v>33</v>
      </c>
      <c r="O844" s="72" t="s">
        <v>43</v>
      </c>
      <c r="P844" s="72" t="s">
        <v>33</v>
      </c>
      <c r="Q844" s="89" t="s">
        <v>1811</v>
      </c>
    </row>
    <row r="845" spans="1:27">
      <c r="A845" s="218"/>
      <c r="B845" s="219"/>
      <c r="F845" s="108" t="s">
        <v>18</v>
      </c>
      <c r="G845" s="143" t="s">
        <v>19</v>
      </c>
      <c r="M845" s="88" t="s">
        <v>1972</v>
      </c>
      <c r="N845" s="72" t="s">
        <v>35</v>
      </c>
      <c r="O845" s="72" t="s">
        <v>52</v>
      </c>
      <c r="P845" s="72" t="s">
        <v>35</v>
      </c>
      <c r="Q845" s="89" t="s">
        <v>1936</v>
      </c>
    </row>
    <row r="846" spans="1:27">
      <c r="M846" s="90" t="s">
        <v>924</v>
      </c>
      <c r="N846" s="91" t="s">
        <v>35</v>
      </c>
      <c r="O846" s="91" t="s">
        <v>52</v>
      </c>
      <c r="P846" s="91" t="s">
        <v>35</v>
      </c>
      <c r="Q846" s="92" t="s">
        <v>1922</v>
      </c>
    </row>
    <row r="850" spans="1:27">
      <c r="A850" s="214" t="s">
        <v>354</v>
      </c>
      <c r="B850" s="215"/>
      <c r="F850" s="85" t="s">
        <v>0</v>
      </c>
      <c r="G850" s="118" t="s">
        <v>1</v>
      </c>
      <c r="I850" s="85" t="s">
        <v>20</v>
      </c>
      <c r="J850" s="86" t="s">
        <v>21</v>
      </c>
      <c r="K850" s="87" t="s">
        <v>23</v>
      </c>
      <c r="M850" s="85" t="s">
        <v>27</v>
      </c>
      <c r="N850" s="86" t="s">
        <v>28</v>
      </c>
      <c r="O850" s="86" t="s">
        <v>29</v>
      </c>
      <c r="P850" s="86" t="s">
        <v>30</v>
      </c>
      <c r="Q850" s="87" t="s">
        <v>31</v>
      </c>
      <c r="S850" s="85" t="s">
        <v>56</v>
      </c>
      <c r="T850" s="87" t="s">
        <v>57</v>
      </c>
      <c r="U850" s="79"/>
      <c r="V850" s="85" t="s">
        <v>68</v>
      </c>
      <c r="W850" s="87" t="s">
        <v>69</v>
      </c>
      <c r="Y850" s="85" t="s">
        <v>85</v>
      </c>
      <c r="Z850" s="86" t="s">
        <v>88</v>
      </c>
      <c r="AA850" s="87" t="s">
        <v>89</v>
      </c>
    </row>
    <row r="851" spans="1:27">
      <c r="A851" s="216"/>
      <c r="B851" s="217"/>
      <c r="F851" s="88" t="s">
        <v>2</v>
      </c>
      <c r="G851" s="134" t="s">
        <v>2254</v>
      </c>
      <c r="I851" s="88" t="s">
        <v>24</v>
      </c>
      <c r="J851" s="72">
        <v>5</v>
      </c>
      <c r="K851" s="89">
        <v>300</v>
      </c>
      <c r="M851" s="88" t="s">
        <v>1102</v>
      </c>
      <c r="N851" s="72" t="s">
        <v>33</v>
      </c>
      <c r="O851" s="72" t="s">
        <v>34</v>
      </c>
      <c r="P851" s="72" t="s">
        <v>35</v>
      </c>
      <c r="Q851" s="89" t="s">
        <v>2255</v>
      </c>
      <c r="S851" s="88" t="s">
        <v>58</v>
      </c>
      <c r="T851" s="89" t="s">
        <v>2256</v>
      </c>
      <c r="V851" s="138" t="s">
        <v>70</v>
      </c>
      <c r="W851" s="139" t="s">
        <v>2257</v>
      </c>
      <c r="Y851" s="138" t="s">
        <v>90</v>
      </c>
      <c r="Z851" s="137">
        <v>300</v>
      </c>
      <c r="AA851" s="139">
        <v>170</v>
      </c>
    </row>
    <row r="852" spans="1:27">
      <c r="A852" s="216"/>
      <c r="B852" s="217"/>
      <c r="F852" s="88" t="s">
        <v>4</v>
      </c>
      <c r="G852" s="112" t="s">
        <v>894</v>
      </c>
      <c r="I852" s="88" t="s">
        <v>25</v>
      </c>
      <c r="J852" s="80">
        <v>5</v>
      </c>
      <c r="K852" s="89">
        <v>340</v>
      </c>
      <c r="M852" s="88" t="s">
        <v>1638</v>
      </c>
      <c r="N852" s="72" t="s">
        <v>33</v>
      </c>
      <c r="O852" s="72" t="s">
        <v>34</v>
      </c>
      <c r="P852" s="72" t="s">
        <v>35</v>
      </c>
      <c r="Q852" s="89" t="s">
        <v>1778</v>
      </c>
      <c r="S852" s="88" t="s">
        <v>60</v>
      </c>
      <c r="T852" s="89" t="s">
        <v>2258</v>
      </c>
      <c r="V852" s="135" t="s">
        <v>73</v>
      </c>
      <c r="W852" s="136" t="s">
        <v>2113</v>
      </c>
      <c r="Y852" s="88" t="s">
        <v>91</v>
      </c>
      <c r="Z852" s="72">
        <v>340</v>
      </c>
      <c r="AA852" s="89">
        <v>420</v>
      </c>
    </row>
    <row r="853" spans="1:27">
      <c r="A853" s="216"/>
      <c r="B853" s="217"/>
      <c r="F853" s="88" t="s">
        <v>6</v>
      </c>
      <c r="G853" s="112" t="s">
        <v>1484</v>
      </c>
      <c r="I853" s="90" t="s">
        <v>26</v>
      </c>
      <c r="J853" s="91"/>
      <c r="K853" s="92">
        <v>640</v>
      </c>
      <c r="M853" s="88" t="s">
        <v>1553</v>
      </c>
      <c r="N853" s="72" t="s">
        <v>33</v>
      </c>
      <c r="O853" s="72" t="s">
        <v>43</v>
      </c>
      <c r="P853" s="72" t="s">
        <v>33</v>
      </c>
      <c r="Q853" s="89" t="s">
        <v>1811</v>
      </c>
      <c r="S853" s="88" t="s">
        <v>62</v>
      </c>
      <c r="T853" s="89" t="s">
        <v>2259</v>
      </c>
      <c r="V853" s="88" t="s">
        <v>76</v>
      </c>
      <c r="W853" s="89" t="s">
        <v>2260</v>
      </c>
      <c r="Y853" s="88" t="s">
        <v>26</v>
      </c>
      <c r="Z853" s="72">
        <v>640</v>
      </c>
      <c r="AA853" s="89">
        <v>590</v>
      </c>
    </row>
    <row r="854" spans="1:27">
      <c r="A854" s="216"/>
      <c r="B854" s="217"/>
      <c r="F854" s="88" t="s">
        <v>8</v>
      </c>
      <c r="G854" s="112" t="s">
        <v>2261</v>
      </c>
      <c r="M854" s="88" t="s">
        <v>49</v>
      </c>
      <c r="N854" s="72" t="s">
        <v>33</v>
      </c>
      <c r="O854" s="72" t="s">
        <v>43</v>
      </c>
      <c r="P854" s="72" t="s">
        <v>33</v>
      </c>
      <c r="Q854" s="89" t="s">
        <v>2262</v>
      </c>
      <c r="S854" s="119" t="s">
        <v>64</v>
      </c>
      <c r="T854" s="120" t="s">
        <v>2263</v>
      </c>
      <c r="V854" s="88" t="s">
        <v>79</v>
      </c>
      <c r="W854" s="89" t="s">
        <v>1584</v>
      </c>
      <c r="Y854" s="90" t="s">
        <v>92</v>
      </c>
      <c r="Z854" s="91"/>
      <c r="AA854" s="122">
        <v>7.8E-2</v>
      </c>
    </row>
    <row r="855" spans="1:27">
      <c r="A855" s="216"/>
      <c r="B855" s="217"/>
      <c r="F855" s="88" t="s">
        <v>10</v>
      </c>
      <c r="G855" s="112" t="s">
        <v>12</v>
      </c>
      <c r="M855" s="88" t="s">
        <v>42</v>
      </c>
      <c r="N855" s="72" t="s">
        <v>33</v>
      </c>
      <c r="O855" s="72" t="s">
        <v>43</v>
      </c>
      <c r="P855" s="72" t="s">
        <v>33</v>
      </c>
      <c r="Q855" s="89" t="s">
        <v>1784</v>
      </c>
      <c r="S855" s="90" t="s">
        <v>66</v>
      </c>
      <c r="T855" s="133" t="s">
        <v>1917</v>
      </c>
      <c r="V855" s="90" t="s">
        <v>82</v>
      </c>
      <c r="W855" s="92" t="s">
        <v>2264</v>
      </c>
    </row>
    <row r="856" spans="1:27">
      <c r="A856" s="216"/>
      <c r="B856" s="217"/>
      <c r="F856" s="88" t="s">
        <v>13</v>
      </c>
      <c r="G856" t="s">
        <v>2265</v>
      </c>
      <c r="M856" s="88" t="s">
        <v>2266</v>
      </c>
      <c r="N856" s="72" t="s">
        <v>35</v>
      </c>
      <c r="O856" s="72" t="s">
        <v>52</v>
      </c>
      <c r="P856" s="72" t="s">
        <v>35</v>
      </c>
      <c r="Q856" s="89" t="s">
        <v>1769</v>
      </c>
    </row>
    <row r="857" spans="1:27">
      <c r="A857" s="216"/>
      <c r="B857" s="217"/>
      <c r="F857" s="88" t="s">
        <v>15</v>
      </c>
      <c r="G857" s="112" t="s">
        <v>2267</v>
      </c>
      <c r="M857" s="88" t="s">
        <v>1648</v>
      </c>
      <c r="N857" s="72" t="s">
        <v>35</v>
      </c>
      <c r="O857" s="72" t="s">
        <v>52</v>
      </c>
      <c r="P857" s="72" t="s">
        <v>35</v>
      </c>
      <c r="Q857" s="89" t="s">
        <v>2162</v>
      </c>
    </row>
    <row r="858" spans="1:27">
      <c r="A858" s="216"/>
      <c r="B858" s="217"/>
      <c r="F858" s="88" t="s">
        <v>17</v>
      </c>
      <c r="G858" s="144">
        <v>46126</v>
      </c>
      <c r="M858" s="88" t="s">
        <v>924</v>
      </c>
      <c r="N858" s="72" t="s">
        <v>35</v>
      </c>
      <c r="O858" s="72" t="s">
        <v>52</v>
      </c>
      <c r="P858" s="72" t="s">
        <v>35</v>
      </c>
      <c r="Q858" s="89" t="s">
        <v>1922</v>
      </c>
    </row>
    <row r="859" spans="1:27">
      <c r="A859" s="218"/>
      <c r="B859" s="219"/>
      <c r="F859" s="108" t="s">
        <v>18</v>
      </c>
      <c r="G859" s="143" t="s">
        <v>19</v>
      </c>
      <c r="M859" s="88" t="s">
        <v>1958</v>
      </c>
      <c r="N859" s="72" t="s">
        <v>35</v>
      </c>
      <c r="O859" s="72" t="s">
        <v>52</v>
      </c>
      <c r="P859" s="72" t="s">
        <v>35</v>
      </c>
      <c r="Q859" s="89" t="s">
        <v>2041</v>
      </c>
    </row>
    <row r="860" spans="1:27">
      <c r="M860" s="90" t="s">
        <v>1975</v>
      </c>
      <c r="N860" s="91" t="s">
        <v>35</v>
      </c>
      <c r="O860" s="91" t="s">
        <v>52</v>
      </c>
      <c r="P860" s="91" t="s">
        <v>35</v>
      </c>
      <c r="Q860" s="92" t="s">
        <v>1826</v>
      </c>
    </row>
    <row r="864" spans="1:27">
      <c r="A864" s="214" t="s">
        <v>356</v>
      </c>
      <c r="B864" s="215"/>
      <c r="F864" s="85" t="s">
        <v>0</v>
      </c>
      <c r="G864" s="118" t="s">
        <v>1</v>
      </c>
      <c r="I864" s="85" t="s">
        <v>20</v>
      </c>
      <c r="J864" s="86" t="s">
        <v>21</v>
      </c>
      <c r="K864" s="87" t="s">
        <v>23</v>
      </c>
      <c r="M864" s="85" t="s">
        <v>27</v>
      </c>
      <c r="N864" s="86" t="s">
        <v>28</v>
      </c>
      <c r="O864" s="86" t="s">
        <v>29</v>
      </c>
      <c r="P864" s="86" t="s">
        <v>30</v>
      </c>
      <c r="Q864" s="87" t="s">
        <v>31</v>
      </c>
      <c r="S864" s="85" t="s">
        <v>56</v>
      </c>
      <c r="T864" s="87" t="s">
        <v>57</v>
      </c>
      <c r="U864" s="79"/>
      <c r="V864" s="85" t="s">
        <v>68</v>
      </c>
      <c r="W864" s="87" t="s">
        <v>69</v>
      </c>
      <c r="Y864" s="85" t="s">
        <v>85</v>
      </c>
      <c r="Z864" s="86" t="s">
        <v>88</v>
      </c>
      <c r="AA864" s="87" t="s">
        <v>89</v>
      </c>
    </row>
    <row r="865" spans="1:27">
      <c r="A865" s="216"/>
      <c r="B865" s="217"/>
      <c r="F865" s="88" t="s">
        <v>2</v>
      </c>
      <c r="G865" s="134" t="s">
        <v>2268</v>
      </c>
      <c r="I865" s="88" t="s">
        <v>24</v>
      </c>
      <c r="J865" s="72">
        <v>6</v>
      </c>
      <c r="K865" s="89">
        <v>455</v>
      </c>
      <c r="M865" s="88" t="s">
        <v>2269</v>
      </c>
      <c r="N865" s="72" t="s">
        <v>33</v>
      </c>
      <c r="O865" s="72" t="s">
        <v>34</v>
      </c>
      <c r="P865" s="72" t="s">
        <v>35</v>
      </c>
      <c r="Q865" s="89" t="s">
        <v>2270</v>
      </c>
      <c r="S865" s="88" t="s">
        <v>58</v>
      </c>
      <c r="T865" s="89" t="s">
        <v>2271</v>
      </c>
      <c r="V865" s="138" t="s">
        <v>70</v>
      </c>
      <c r="W865" s="139" t="s">
        <v>2272</v>
      </c>
      <c r="Y865" s="138" t="s">
        <v>90</v>
      </c>
      <c r="Z865" s="137">
        <v>455</v>
      </c>
      <c r="AA865" s="139">
        <v>275</v>
      </c>
    </row>
    <row r="866" spans="1:27">
      <c r="A866" s="216"/>
      <c r="B866" s="217"/>
      <c r="F866" s="88" t="s">
        <v>4</v>
      </c>
      <c r="G866" s="112" t="s">
        <v>894</v>
      </c>
      <c r="I866" s="88" t="s">
        <v>25</v>
      </c>
      <c r="J866" s="80">
        <v>4</v>
      </c>
      <c r="K866" s="89">
        <v>275</v>
      </c>
      <c r="M866" s="88" t="s">
        <v>2273</v>
      </c>
      <c r="N866" s="72" t="s">
        <v>33</v>
      </c>
      <c r="O866" s="72" t="s">
        <v>43</v>
      </c>
      <c r="P866" s="72" t="s">
        <v>33</v>
      </c>
      <c r="Q866" s="89" t="s">
        <v>2274</v>
      </c>
      <c r="S866" s="88" t="s">
        <v>60</v>
      </c>
      <c r="T866" s="89" t="s">
        <v>2275</v>
      </c>
      <c r="V866" s="135" t="s">
        <v>73</v>
      </c>
      <c r="W866" s="136" t="s">
        <v>2276</v>
      </c>
      <c r="Y866" s="88" t="s">
        <v>91</v>
      </c>
      <c r="Z866" s="72">
        <v>275</v>
      </c>
      <c r="AA866" s="89">
        <v>360</v>
      </c>
    </row>
    <row r="867" spans="1:27">
      <c r="A867" s="216"/>
      <c r="B867" s="217"/>
      <c r="F867" s="88" t="s">
        <v>6</v>
      </c>
      <c r="G867" s="112" t="s">
        <v>895</v>
      </c>
      <c r="I867" s="90" t="s">
        <v>26</v>
      </c>
      <c r="J867" s="91"/>
      <c r="K867" s="92">
        <v>730</v>
      </c>
      <c r="M867" s="88" t="s">
        <v>1430</v>
      </c>
      <c r="N867" s="72" t="s">
        <v>33</v>
      </c>
      <c r="O867" s="72" t="s">
        <v>34</v>
      </c>
      <c r="P867" s="72" t="s">
        <v>35</v>
      </c>
      <c r="Q867" s="89" t="s">
        <v>2277</v>
      </c>
      <c r="S867" s="88" t="s">
        <v>62</v>
      </c>
      <c r="T867" s="89" t="s">
        <v>2278</v>
      </c>
      <c r="V867" s="88" t="s">
        <v>76</v>
      </c>
      <c r="W867" s="89" t="s">
        <v>2279</v>
      </c>
      <c r="Y867" s="88" t="s">
        <v>26</v>
      </c>
      <c r="Z867" s="72">
        <v>730</v>
      </c>
      <c r="AA867" s="89">
        <v>635</v>
      </c>
    </row>
    <row r="868" spans="1:27">
      <c r="A868" s="216"/>
      <c r="B868" s="217"/>
      <c r="F868" s="88" t="s">
        <v>8</v>
      </c>
      <c r="G868" s="112" t="s">
        <v>2280</v>
      </c>
      <c r="M868" s="88" t="s">
        <v>1668</v>
      </c>
      <c r="N868" s="72" t="s">
        <v>33</v>
      </c>
      <c r="O868" s="72" t="s">
        <v>43</v>
      </c>
      <c r="P868" s="72" t="s">
        <v>33</v>
      </c>
      <c r="Q868" s="89" t="s">
        <v>2281</v>
      </c>
      <c r="S868" s="119" t="s">
        <v>64</v>
      </c>
      <c r="T868" s="120" t="s">
        <v>2282</v>
      </c>
      <c r="V868" s="88" t="s">
        <v>79</v>
      </c>
      <c r="W868" s="89" t="s">
        <v>1759</v>
      </c>
      <c r="Y868" s="90" t="s">
        <v>92</v>
      </c>
      <c r="Z868" s="91"/>
      <c r="AA868" s="122">
        <v>0.13</v>
      </c>
    </row>
    <row r="869" spans="1:27">
      <c r="A869" s="216"/>
      <c r="B869" s="217"/>
      <c r="F869" s="88" t="s">
        <v>10</v>
      </c>
      <c r="G869" s="112" t="s">
        <v>1106</v>
      </c>
      <c r="M869" s="88" t="s">
        <v>1700</v>
      </c>
      <c r="N869" s="72" t="s">
        <v>33</v>
      </c>
      <c r="O869" s="72" t="s">
        <v>43</v>
      </c>
      <c r="P869" s="72" t="s">
        <v>33</v>
      </c>
      <c r="Q869" s="89" t="s">
        <v>1818</v>
      </c>
      <c r="S869" s="90" t="s">
        <v>66</v>
      </c>
      <c r="T869" s="133" t="s">
        <v>2070</v>
      </c>
      <c r="V869" s="90" t="s">
        <v>82</v>
      </c>
      <c r="W869" s="92" t="s">
        <v>2283</v>
      </c>
    </row>
    <row r="870" spans="1:27">
      <c r="A870" s="216"/>
      <c r="B870" s="217"/>
      <c r="F870" s="88" t="s">
        <v>13</v>
      </c>
      <c r="G870" t="s">
        <v>974</v>
      </c>
      <c r="M870" s="88" t="s">
        <v>1728</v>
      </c>
      <c r="N870" s="72" t="s">
        <v>33</v>
      </c>
      <c r="O870" s="72" t="s">
        <v>43</v>
      </c>
      <c r="P870" s="72" t="s">
        <v>33</v>
      </c>
      <c r="Q870" s="89" t="s">
        <v>2284</v>
      </c>
    </row>
    <row r="871" spans="1:27">
      <c r="A871" s="216"/>
      <c r="B871" s="217"/>
      <c r="F871" s="88" t="s">
        <v>15</v>
      </c>
      <c r="G871" s="112" t="s">
        <v>2285</v>
      </c>
      <c r="M871" s="88" t="s">
        <v>1972</v>
      </c>
      <c r="N871" s="72" t="s">
        <v>35</v>
      </c>
      <c r="O871" s="72" t="s">
        <v>52</v>
      </c>
      <c r="P871" s="72" t="s">
        <v>35</v>
      </c>
      <c r="Q871" s="89" t="s">
        <v>1936</v>
      </c>
    </row>
    <row r="872" spans="1:27">
      <c r="A872" s="216"/>
      <c r="B872" s="217"/>
      <c r="F872" s="88" t="s">
        <v>17</v>
      </c>
      <c r="G872" s="144">
        <v>46126</v>
      </c>
      <c r="M872" s="88" t="s">
        <v>1794</v>
      </c>
      <c r="N872" s="72" t="s">
        <v>35</v>
      </c>
      <c r="O872" s="72" t="s">
        <v>52</v>
      </c>
      <c r="P872" s="72" t="s">
        <v>35</v>
      </c>
      <c r="Q872" s="89" t="s">
        <v>2286</v>
      </c>
    </row>
    <row r="873" spans="1:27">
      <c r="A873" s="218"/>
      <c r="B873" s="219"/>
      <c r="F873" s="108" t="s">
        <v>18</v>
      </c>
      <c r="G873" s="143" t="s">
        <v>19</v>
      </c>
      <c r="M873" s="88" t="s">
        <v>1938</v>
      </c>
      <c r="N873" s="72" t="s">
        <v>35</v>
      </c>
      <c r="O873" s="72" t="s">
        <v>52</v>
      </c>
      <c r="P873" s="72" t="s">
        <v>35</v>
      </c>
      <c r="Q873" s="89" t="s">
        <v>1974</v>
      </c>
    </row>
    <row r="874" spans="1:27">
      <c r="M874" s="90" t="s">
        <v>1958</v>
      </c>
      <c r="N874" s="91" t="s">
        <v>35</v>
      </c>
      <c r="O874" s="91" t="s">
        <v>52</v>
      </c>
      <c r="P874" s="91" t="s">
        <v>35</v>
      </c>
      <c r="Q874" s="92" t="s">
        <v>2041</v>
      </c>
    </row>
    <row r="878" spans="1:27">
      <c r="A878" s="214" t="s">
        <v>358</v>
      </c>
      <c r="B878" s="215"/>
      <c r="F878" s="85" t="s">
        <v>0</v>
      </c>
      <c r="G878" s="118" t="s">
        <v>1</v>
      </c>
      <c r="I878" s="85" t="s">
        <v>20</v>
      </c>
      <c r="J878" s="86" t="s">
        <v>21</v>
      </c>
      <c r="K878" s="87" t="s">
        <v>23</v>
      </c>
      <c r="M878" s="85" t="s">
        <v>27</v>
      </c>
      <c r="N878" s="86" t="s">
        <v>28</v>
      </c>
      <c r="O878" s="86" t="s">
        <v>29</v>
      </c>
      <c r="P878" s="86" t="s">
        <v>30</v>
      </c>
      <c r="Q878" s="87" t="s">
        <v>31</v>
      </c>
      <c r="S878" s="85" t="s">
        <v>56</v>
      </c>
      <c r="T878" s="87" t="s">
        <v>57</v>
      </c>
      <c r="U878" s="79"/>
      <c r="V878" s="85" t="s">
        <v>68</v>
      </c>
      <c r="W878" s="87" t="s">
        <v>69</v>
      </c>
      <c r="Y878" s="85" t="s">
        <v>85</v>
      </c>
      <c r="Z878" s="86" t="s">
        <v>88</v>
      </c>
      <c r="AA878" s="87" t="s">
        <v>89</v>
      </c>
    </row>
    <row r="879" spans="1:27">
      <c r="A879" s="216"/>
      <c r="B879" s="217"/>
      <c r="F879" s="88" t="s">
        <v>2</v>
      </c>
      <c r="G879" s="134" t="s">
        <v>2287</v>
      </c>
      <c r="I879" s="88" t="s">
        <v>24</v>
      </c>
      <c r="J879" s="72">
        <v>7</v>
      </c>
      <c r="K879" s="89">
        <v>520</v>
      </c>
      <c r="M879" s="88" t="s">
        <v>2288</v>
      </c>
      <c r="N879" s="72" t="s">
        <v>33</v>
      </c>
      <c r="O879" s="72" t="s">
        <v>34</v>
      </c>
      <c r="P879" s="72" t="s">
        <v>35</v>
      </c>
      <c r="Q879" s="89" t="s">
        <v>2289</v>
      </c>
      <c r="S879" s="88" t="s">
        <v>58</v>
      </c>
      <c r="T879" s="89" t="s">
        <v>2290</v>
      </c>
      <c r="V879" s="138" t="s">
        <v>70</v>
      </c>
      <c r="W879" s="139" t="s">
        <v>2291</v>
      </c>
      <c r="Y879" s="138" t="s">
        <v>90</v>
      </c>
      <c r="Z879" s="137">
        <v>520</v>
      </c>
      <c r="AA879" s="139">
        <v>310</v>
      </c>
    </row>
    <row r="880" spans="1:27">
      <c r="A880" s="216"/>
      <c r="B880" s="217"/>
      <c r="F880" s="88" t="s">
        <v>4</v>
      </c>
      <c r="G880" s="112" t="s">
        <v>894</v>
      </c>
      <c r="I880" s="88" t="s">
        <v>25</v>
      </c>
      <c r="J880" s="80">
        <v>3</v>
      </c>
      <c r="K880" s="89">
        <v>230</v>
      </c>
      <c r="M880" s="88" t="s">
        <v>1107</v>
      </c>
      <c r="N880" s="72" t="s">
        <v>33</v>
      </c>
      <c r="O880" s="72" t="s">
        <v>43</v>
      </c>
      <c r="P880" s="72" t="s">
        <v>33</v>
      </c>
      <c r="Q880" s="89" t="s">
        <v>1805</v>
      </c>
      <c r="S880" s="88" t="s">
        <v>60</v>
      </c>
      <c r="T880" s="89" t="s">
        <v>2292</v>
      </c>
      <c r="V880" s="135" t="s">
        <v>73</v>
      </c>
      <c r="W880" s="136" t="s">
        <v>2050</v>
      </c>
      <c r="Y880" s="88" t="s">
        <v>91</v>
      </c>
      <c r="Z880" s="72">
        <v>230</v>
      </c>
      <c r="AA880" s="89">
        <v>340</v>
      </c>
    </row>
    <row r="881" spans="1:27">
      <c r="A881" s="216"/>
      <c r="B881" s="217"/>
      <c r="F881" s="88" t="s">
        <v>6</v>
      </c>
      <c r="G881" s="112" t="s">
        <v>895</v>
      </c>
      <c r="I881" s="90" t="s">
        <v>26</v>
      </c>
      <c r="J881" s="91"/>
      <c r="K881" s="92">
        <v>750</v>
      </c>
      <c r="M881" s="88" t="s">
        <v>1638</v>
      </c>
      <c r="N881" s="72" t="s">
        <v>33</v>
      </c>
      <c r="O881" s="72" t="s">
        <v>34</v>
      </c>
      <c r="P881" s="72" t="s">
        <v>35</v>
      </c>
      <c r="Q881" s="89" t="s">
        <v>1778</v>
      </c>
      <c r="S881" s="88" t="s">
        <v>62</v>
      </c>
      <c r="T881" s="89" t="s">
        <v>2293</v>
      </c>
      <c r="V881" s="88" t="s">
        <v>76</v>
      </c>
      <c r="W881" s="89" t="s">
        <v>2294</v>
      </c>
      <c r="Y881" s="88" t="s">
        <v>26</v>
      </c>
      <c r="Z881" s="72">
        <v>750</v>
      </c>
      <c r="AA881" s="89">
        <v>650</v>
      </c>
    </row>
    <row r="882" spans="1:27">
      <c r="A882" s="216"/>
      <c r="B882" s="217"/>
      <c r="F882" s="88" t="s">
        <v>8</v>
      </c>
      <c r="G882" s="112" t="s">
        <v>2295</v>
      </c>
      <c r="M882" s="88" t="s">
        <v>1135</v>
      </c>
      <c r="N882" s="72" t="s">
        <v>33</v>
      </c>
      <c r="O882" s="72" t="s">
        <v>43</v>
      </c>
      <c r="P882" s="72" t="s">
        <v>33</v>
      </c>
      <c r="Q882" s="89" t="s">
        <v>1811</v>
      </c>
      <c r="S882" s="119" t="s">
        <v>64</v>
      </c>
      <c r="T882" s="120" t="s">
        <v>2296</v>
      </c>
      <c r="V882" s="88" t="s">
        <v>79</v>
      </c>
      <c r="W882" s="89" t="s">
        <v>1759</v>
      </c>
      <c r="Y882" s="90" t="s">
        <v>92</v>
      </c>
      <c r="Z882" s="91"/>
      <c r="AA882" s="122">
        <v>0.13300000000000001</v>
      </c>
    </row>
    <row r="883" spans="1:27">
      <c r="A883" s="216"/>
      <c r="B883" s="217"/>
      <c r="F883" s="88" t="s">
        <v>10</v>
      </c>
      <c r="G883" s="112" t="s">
        <v>12</v>
      </c>
      <c r="M883" s="88" t="s">
        <v>2297</v>
      </c>
      <c r="N883" s="72" t="s">
        <v>33</v>
      </c>
      <c r="O883" s="72" t="s">
        <v>43</v>
      </c>
      <c r="P883" s="72" t="s">
        <v>33</v>
      </c>
      <c r="Q883" s="89" t="s">
        <v>2069</v>
      </c>
      <c r="S883" s="90" t="s">
        <v>66</v>
      </c>
      <c r="T883" s="133" t="s">
        <v>2183</v>
      </c>
      <c r="V883" s="90" t="s">
        <v>82</v>
      </c>
      <c r="W883" s="92" t="s">
        <v>2298</v>
      </c>
    </row>
    <row r="884" spans="1:27">
      <c r="A884" s="216"/>
      <c r="B884" s="217"/>
      <c r="F884" s="88" t="s">
        <v>13</v>
      </c>
      <c r="G884" t="s">
        <v>1847</v>
      </c>
      <c r="M884" s="88" t="s">
        <v>42</v>
      </c>
      <c r="N884" s="72" t="s">
        <v>33</v>
      </c>
      <c r="O884" s="72" t="s">
        <v>43</v>
      </c>
      <c r="P884" s="72" t="s">
        <v>33</v>
      </c>
      <c r="Q884" s="89" t="s">
        <v>1784</v>
      </c>
    </row>
    <row r="885" spans="1:27">
      <c r="A885" s="216"/>
      <c r="B885" s="217"/>
      <c r="F885" s="88" t="s">
        <v>15</v>
      </c>
      <c r="G885" s="112" t="s">
        <v>2299</v>
      </c>
      <c r="M885" s="88" t="s">
        <v>1879</v>
      </c>
      <c r="N885" s="72" t="s">
        <v>33</v>
      </c>
      <c r="O885" s="72" t="s">
        <v>34</v>
      </c>
      <c r="P885" s="72" t="s">
        <v>35</v>
      </c>
      <c r="Q885" s="89" t="s">
        <v>2073</v>
      </c>
    </row>
    <row r="886" spans="1:27">
      <c r="A886" s="216"/>
      <c r="B886" s="217"/>
      <c r="F886" s="88" t="s">
        <v>17</v>
      </c>
      <c r="G886" s="144">
        <v>46126</v>
      </c>
      <c r="M886" s="88" t="s">
        <v>1972</v>
      </c>
      <c r="N886" s="72" t="s">
        <v>35</v>
      </c>
      <c r="O886" s="72" t="s">
        <v>52</v>
      </c>
      <c r="P886" s="72" t="s">
        <v>35</v>
      </c>
      <c r="Q886" s="89" t="s">
        <v>2162</v>
      </c>
    </row>
    <row r="887" spans="1:27">
      <c r="A887" s="218"/>
      <c r="B887" s="219"/>
      <c r="F887" s="108" t="s">
        <v>18</v>
      </c>
      <c r="G887" s="143" t="s">
        <v>19</v>
      </c>
      <c r="M887" s="88" t="s">
        <v>924</v>
      </c>
      <c r="N887" s="72" t="s">
        <v>35</v>
      </c>
      <c r="O887" s="72" t="s">
        <v>52</v>
      </c>
      <c r="P887" s="72" t="s">
        <v>35</v>
      </c>
      <c r="Q887" s="89" t="s">
        <v>1922</v>
      </c>
    </row>
    <row r="888" spans="1:27">
      <c r="M888" s="90" t="s">
        <v>2300</v>
      </c>
      <c r="N888" s="91" t="s">
        <v>35</v>
      </c>
      <c r="O888" s="91" t="s">
        <v>52</v>
      </c>
      <c r="P888" s="91" t="s">
        <v>35</v>
      </c>
      <c r="Q888" s="92" t="s">
        <v>2301</v>
      </c>
    </row>
    <row r="892" spans="1:27">
      <c r="A892" s="214" t="s">
        <v>360</v>
      </c>
      <c r="B892" s="215"/>
      <c r="F892" s="85" t="s">
        <v>0</v>
      </c>
      <c r="G892" s="118" t="s">
        <v>1</v>
      </c>
      <c r="I892" s="85" t="s">
        <v>20</v>
      </c>
      <c r="J892" s="86" t="s">
        <v>21</v>
      </c>
      <c r="K892" s="87" t="s">
        <v>23</v>
      </c>
      <c r="M892" s="85" t="s">
        <v>27</v>
      </c>
      <c r="N892" s="86" t="s">
        <v>28</v>
      </c>
      <c r="O892" s="86" t="s">
        <v>29</v>
      </c>
      <c r="P892" s="86" t="s">
        <v>30</v>
      </c>
      <c r="Q892" s="87" t="s">
        <v>31</v>
      </c>
      <c r="S892" s="85" t="s">
        <v>56</v>
      </c>
      <c r="T892" s="87" t="s">
        <v>57</v>
      </c>
      <c r="U892" s="79"/>
      <c r="V892" s="85" t="s">
        <v>68</v>
      </c>
      <c r="W892" s="87" t="s">
        <v>69</v>
      </c>
      <c r="Y892" s="85" t="s">
        <v>85</v>
      </c>
      <c r="Z892" s="86" t="s">
        <v>88</v>
      </c>
      <c r="AA892" s="87" t="s">
        <v>89</v>
      </c>
    </row>
    <row r="893" spans="1:27">
      <c r="A893" s="216"/>
      <c r="B893" s="217"/>
      <c r="F893" s="88" t="s">
        <v>2</v>
      </c>
      <c r="G893" s="134" t="s">
        <v>2302</v>
      </c>
      <c r="I893" s="88" t="s">
        <v>24</v>
      </c>
      <c r="J893" s="72">
        <v>5</v>
      </c>
      <c r="K893" s="89">
        <v>360</v>
      </c>
      <c r="M893" s="88" t="s">
        <v>2303</v>
      </c>
      <c r="N893" s="72" t="s">
        <v>33</v>
      </c>
      <c r="O893" s="72" t="s">
        <v>34</v>
      </c>
      <c r="P893" s="72" t="s">
        <v>35</v>
      </c>
      <c r="Q893" s="89" t="s">
        <v>2304</v>
      </c>
      <c r="S893" s="88" t="s">
        <v>58</v>
      </c>
      <c r="T893" s="89" t="s">
        <v>2046</v>
      </c>
      <c r="V893" s="138" t="s">
        <v>70</v>
      </c>
      <c r="W893" s="139" t="s">
        <v>2305</v>
      </c>
      <c r="Y893" s="138" t="s">
        <v>90</v>
      </c>
      <c r="Z893" s="137">
        <v>360</v>
      </c>
      <c r="AA893" s="139">
        <v>210</v>
      </c>
    </row>
    <row r="894" spans="1:27">
      <c r="A894" s="216"/>
      <c r="B894" s="217"/>
      <c r="F894" s="88" t="s">
        <v>4</v>
      </c>
      <c r="G894" s="112" t="s">
        <v>894</v>
      </c>
      <c r="I894" s="88" t="s">
        <v>25</v>
      </c>
      <c r="J894" s="80">
        <v>5</v>
      </c>
      <c r="K894" s="89">
        <v>310</v>
      </c>
      <c r="M894" s="88" t="s">
        <v>1684</v>
      </c>
      <c r="N894" s="72" t="s">
        <v>33</v>
      </c>
      <c r="O894" s="72" t="s">
        <v>34</v>
      </c>
      <c r="P894" s="72" t="s">
        <v>35</v>
      </c>
      <c r="Q894" s="89" t="s">
        <v>2245</v>
      </c>
      <c r="S894" s="88" t="s">
        <v>60</v>
      </c>
      <c r="T894" s="89" t="s">
        <v>2306</v>
      </c>
      <c r="V894" s="135" t="s">
        <v>73</v>
      </c>
      <c r="W894" s="136" t="s">
        <v>2307</v>
      </c>
      <c r="Y894" s="88" t="s">
        <v>91</v>
      </c>
      <c r="Z894" s="72">
        <v>310</v>
      </c>
      <c r="AA894" s="89">
        <v>400</v>
      </c>
    </row>
    <row r="895" spans="1:27">
      <c r="A895" s="216"/>
      <c r="B895" s="217"/>
      <c r="F895" s="88" t="s">
        <v>6</v>
      </c>
      <c r="G895" s="112" t="s">
        <v>1484</v>
      </c>
      <c r="I895" s="90" t="s">
        <v>26</v>
      </c>
      <c r="J895" s="91"/>
      <c r="K895" s="92">
        <v>670</v>
      </c>
      <c r="M895" s="88" t="s">
        <v>1864</v>
      </c>
      <c r="N895" s="72" t="s">
        <v>33</v>
      </c>
      <c r="O895" s="72" t="s">
        <v>43</v>
      </c>
      <c r="P895" s="72" t="s">
        <v>33</v>
      </c>
      <c r="Q895" s="89" t="s">
        <v>1609</v>
      </c>
      <c r="S895" s="88" t="s">
        <v>62</v>
      </c>
      <c r="T895" s="89" t="s">
        <v>2308</v>
      </c>
      <c r="V895" s="88" t="s">
        <v>76</v>
      </c>
      <c r="W895" s="89" t="s">
        <v>2140</v>
      </c>
      <c r="Y895" s="88" t="s">
        <v>26</v>
      </c>
      <c r="Z895" s="72">
        <v>670</v>
      </c>
      <c r="AA895" s="89">
        <v>610</v>
      </c>
    </row>
    <row r="896" spans="1:27">
      <c r="A896" s="216"/>
      <c r="B896" s="217"/>
      <c r="F896" s="88" t="s">
        <v>8</v>
      </c>
      <c r="G896" s="112" t="s">
        <v>2309</v>
      </c>
      <c r="M896" s="88" t="s">
        <v>2310</v>
      </c>
      <c r="N896" s="72" t="s">
        <v>33</v>
      </c>
      <c r="O896" s="72" t="s">
        <v>43</v>
      </c>
      <c r="P896" s="72" t="s">
        <v>33</v>
      </c>
      <c r="Q896" s="89" t="s">
        <v>2142</v>
      </c>
      <c r="S896" s="119" t="s">
        <v>64</v>
      </c>
      <c r="T896" s="120" t="s">
        <v>2143</v>
      </c>
      <c r="V896" s="88" t="s">
        <v>79</v>
      </c>
      <c r="W896" s="89" t="s">
        <v>1584</v>
      </c>
      <c r="Y896" s="90" t="s">
        <v>92</v>
      </c>
      <c r="Z896" s="91"/>
      <c r="AA896" s="122">
        <v>0.09</v>
      </c>
    </row>
    <row r="897" spans="1:27">
      <c r="A897" s="216"/>
      <c r="B897" s="217"/>
      <c r="F897" s="88" t="s">
        <v>10</v>
      </c>
      <c r="G897" s="112" t="s">
        <v>1494</v>
      </c>
      <c r="M897" s="88" t="s">
        <v>42</v>
      </c>
      <c r="N897" s="72" t="s">
        <v>33</v>
      </c>
      <c r="O897" s="72" t="s">
        <v>43</v>
      </c>
      <c r="P897" s="72" t="s">
        <v>33</v>
      </c>
      <c r="Q897" s="89" t="s">
        <v>1914</v>
      </c>
      <c r="S897" s="90" t="s">
        <v>66</v>
      </c>
      <c r="T897" s="133" t="s">
        <v>2311</v>
      </c>
      <c r="V897" s="90" t="s">
        <v>82</v>
      </c>
      <c r="W897" s="92" t="s">
        <v>2312</v>
      </c>
    </row>
    <row r="898" spans="1:27">
      <c r="A898" s="216"/>
      <c r="B898" s="217"/>
      <c r="F898" s="88" t="s">
        <v>13</v>
      </c>
      <c r="G898" s="112" t="s">
        <v>2313</v>
      </c>
      <c r="M898" s="88" t="s">
        <v>1972</v>
      </c>
      <c r="N898" s="72" t="s">
        <v>35</v>
      </c>
      <c r="O898" s="72" t="s">
        <v>52</v>
      </c>
      <c r="P898" s="72" t="s">
        <v>35</v>
      </c>
      <c r="Q898" s="89" t="s">
        <v>1936</v>
      </c>
    </row>
    <row r="899" spans="1:27">
      <c r="A899" s="216"/>
      <c r="B899" s="217"/>
      <c r="F899" s="88" t="s">
        <v>15</v>
      </c>
      <c r="G899" s="112" t="s">
        <v>2314</v>
      </c>
      <c r="M899" s="88" t="s">
        <v>924</v>
      </c>
      <c r="N899" s="72" t="s">
        <v>35</v>
      </c>
      <c r="O899" s="72" t="s">
        <v>52</v>
      </c>
      <c r="P899" s="72" t="s">
        <v>35</v>
      </c>
      <c r="Q899" s="89" t="s">
        <v>1922</v>
      </c>
    </row>
    <row r="900" spans="1:27">
      <c r="A900" s="216"/>
      <c r="B900" s="217"/>
      <c r="F900" s="88" t="s">
        <v>17</v>
      </c>
      <c r="G900" s="144">
        <v>46126</v>
      </c>
      <c r="M900" s="88" t="s">
        <v>1958</v>
      </c>
      <c r="N900" s="72" t="s">
        <v>35</v>
      </c>
      <c r="O900" s="72" t="s">
        <v>52</v>
      </c>
      <c r="P900" s="72" t="s">
        <v>35</v>
      </c>
      <c r="Q900" s="89" t="s">
        <v>2041</v>
      </c>
    </row>
    <row r="901" spans="1:27">
      <c r="A901" s="218"/>
      <c r="B901" s="219"/>
      <c r="F901" s="108" t="s">
        <v>18</v>
      </c>
      <c r="G901" s="143" t="s">
        <v>19</v>
      </c>
      <c r="M901" s="88" t="s">
        <v>1799</v>
      </c>
      <c r="N901" s="72" t="s">
        <v>35</v>
      </c>
      <c r="O901" s="72" t="s">
        <v>52</v>
      </c>
      <c r="P901" s="72" t="s">
        <v>35</v>
      </c>
      <c r="Q901" s="89" t="s">
        <v>1976</v>
      </c>
    </row>
    <row r="902" spans="1:27">
      <c r="M902" s="90" t="s">
        <v>1975</v>
      </c>
      <c r="N902" s="91" t="s">
        <v>35</v>
      </c>
      <c r="O902" s="91" t="s">
        <v>52</v>
      </c>
      <c r="P902" s="91" t="s">
        <v>35</v>
      </c>
      <c r="Q902" s="92" t="s">
        <v>1826</v>
      </c>
    </row>
    <row r="906" spans="1:27">
      <c r="A906" s="214" t="s">
        <v>362</v>
      </c>
      <c r="B906" s="215"/>
      <c r="F906" s="85" t="s">
        <v>0</v>
      </c>
      <c r="G906" s="118" t="s">
        <v>1</v>
      </c>
      <c r="I906" s="85" t="s">
        <v>20</v>
      </c>
      <c r="J906" s="86" t="s">
        <v>21</v>
      </c>
      <c r="K906" s="87" t="s">
        <v>23</v>
      </c>
      <c r="M906" s="85" t="s">
        <v>27</v>
      </c>
      <c r="N906" s="86" t="s">
        <v>28</v>
      </c>
      <c r="O906" s="86" t="s">
        <v>29</v>
      </c>
      <c r="P906" s="86" t="s">
        <v>30</v>
      </c>
      <c r="Q906" s="87" t="s">
        <v>31</v>
      </c>
      <c r="S906" s="85" t="s">
        <v>56</v>
      </c>
      <c r="T906" s="87" t="s">
        <v>57</v>
      </c>
      <c r="U906" s="79"/>
      <c r="V906" s="85" t="s">
        <v>68</v>
      </c>
      <c r="W906" s="87" t="s">
        <v>69</v>
      </c>
      <c r="Y906" s="85" t="s">
        <v>85</v>
      </c>
      <c r="Z906" s="86" t="s">
        <v>88</v>
      </c>
      <c r="AA906" s="87" t="s">
        <v>89</v>
      </c>
    </row>
    <row r="907" spans="1:27">
      <c r="A907" s="216"/>
      <c r="B907" s="217"/>
      <c r="F907" s="88" t="s">
        <v>2</v>
      </c>
      <c r="G907" s="134" t="s">
        <v>2315</v>
      </c>
      <c r="I907" s="88" t="s">
        <v>24</v>
      </c>
      <c r="J907" s="72">
        <v>8</v>
      </c>
      <c r="K907" s="89">
        <v>590</v>
      </c>
      <c r="M907" s="88" t="s">
        <v>2316</v>
      </c>
      <c r="N907" s="72" t="s">
        <v>33</v>
      </c>
      <c r="O907" s="72" t="s">
        <v>43</v>
      </c>
      <c r="P907" s="72" t="s">
        <v>33</v>
      </c>
      <c r="Q907" s="89" t="s">
        <v>1805</v>
      </c>
      <c r="S907" s="88" t="s">
        <v>58</v>
      </c>
      <c r="T907" s="89" t="s">
        <v>2046</v>
      </c>
      <c r="V907" s="138" t="s">
        <v>70</v>
      </c>
      <c r="W907" s="139" t="s">
        <v>2317</v>
      </c>
      <c r="Y907" s="138" t="s">
        <v>90</v>
      </c>
      <c r="Z907" s="137">
        <v>590</v>
      </c>
      <c r="AA907" s="139">
        <v>360</v>
      </c>
    </row>
    <row r="908" spans="1:27">
      <c r="A908" s="216"/>
      <c r="B908" s="217"/>
      <c r="F908" s="88" t="s">
        <v>4</v>
      </c>
      <c r="G908" s="112" t="s">
        <v>894</v>
      </c>
      <c r="I908" s="88" t="s">
        <v>25</v>
      </c>
      <c r="J908" s="80">
        <v>2</v>
      </c>
      <c r="K908" s="89">
        <v>160</v>
      </c>
      <c r="M908" s="88" t="s">
        <v>1037</v>
      </c>
      <c r="N908" s="72" t="s">
        <v>33</v>
      </c>
      <c r="O908" s="72" t="s">
        <v>34</v>
      </c>
      <c r="P908" s="72" t="s">
        <v>35</v>
      </c>
      <c r="Q908" s="89" t="s">
        <v>1906</v>
      </c>
      <c r="S908" s="88" t="s">
        <v>60</v>
      </c>
      <c r="T908" s="89" t="s">
        <v>2318</v>
      </c>
      <c r="V908" s="135" t="s">
        <v>73</v>
      </c>
      <c r="W908" s="136" t="s">
        <v>2113</v>
      </c>
      <c r="Y908" s="88" t="s">
        <v>91</v>
      </c>
      <c r="Z908" s="72">
        <v>160</v>
      </c>
      <c r="AA908" s="89">
        <v>300</v>
      </c>
    </row>
    <row r="909" spans="1:27">
      <c r="A909" s="216"/>
      <c r="B909" s="217"/>
      <c r="F909" s="88" t="s">
        <v>6</v>
      </c>
      <c r="G909" s="112" t="s">
        <v>1484</v>
      </c>
      <c r="I909" s="90" t="s">
        <v>26</v>
      </c>
      <c r="J909" s="91"/>
      <c r="K909" s="92">
        <v>750</v>
      </c>
      <c r="M909" s="88" t="s">
        <v>1638</v>
      </c>
      <c r="N909" s="72" t="s">
        <v>33</v>
      </c>
      <c r="O909" s="72" t="s">
        <v>34</v>
      </c>
      <c r="P909" s="72" t="s">
        <v>35</v>
      </c>
      <c r="Q909" s="89" t="s">
        <v>1778</v>
      </c>
      <c r="S909" s="88" t="s">
        <v>62</v>
      </c>
      <c r="T909" s="89" t="s">
        <v>2319</v>
      </c>
      <c r="V909" s="88" t="s">
        <v>76</v>
      </c>
      <c r="W909" s="89" t="s">
        <v>2052</v>
      </c>
      <c r="Y909" s="88" t="s">
        <v>26</v>
      </c>
      <c r="Z909" s="72">
        <v>750</v>
      </c>
      <c r="AA909" s="89">
        <v>660</v>
      </c>
    </row>
    <row r="910" spans="1:27">
      <c r="A910" s="216"/>
      <c r="B910" s="217"/>
      <c r="F910" s="88" t="s">
        <v>8</v>
      </c>
      <c r="G910" s="112" t="s">
        <v>2320</v>
      </c>
      <c r="M910" s="88" t="s">
        <v>1553</v>
      </c>
      <c r="N910" s="72" t="s">
        <v>33</v>
      </c>
      <c r="O910" s="72" t="s">
        <v>43</v>
      </c>
      <c r="P910" s="72" t="s">
        <v>33</v>
      </c>
      <c r="Q910" s="89" t="s">
        <v>1811</v>
      </c>
      <c r="S910" s="119" t="s">
        <v>64</v>
      </c>
      <c r="T910" s="120" t="s">
        <v>2321</v>
      </c>
      <c r="V910" s="88" t="s">
        <v>79</v>
      </c>
      <c r="W910" s="89" t="s">
        <v>1759</v>
      </c>
      <c r="Y910" s="90" t="s">
        <v>92</v>
      </c>
      <c r="Z910" s="91"/>
      <c r="AA910" s="122">
        <v>0.12</v>
      </c>
    </row>
    <row r="911" spans="1:27">
      <c r="A911" s="216"/>
      <c r="B911" s="217"/>
      <c r="F911" s="88" t="s">
        <v>10</v>
      </c>
      <c r="G911" s="112" t="s">
        <v>12</v>
      </c>
      <c r="M911" s="88" t="s">
        <v>49</v>
      </c>
      <c r="N911" s="72" t="s">
        <v>33</v>
      </c>
      <c r="O911" s="72" t="s">
        <v>43</v>
      </c>
      <c r="P911" s="72" t="s">
        <v>33</v>
      </c>
      <c r="Q911" s="89" t="s">
        <v>2249</v>
      </c>
      <c r="S911" s="90" t="s">
        <v>66</v>
      </c>
      <c r="T911" s="133" t="s">
        <v>1988</v>
      </c>
      <c r="V911" s="90" t="s">
        <v>82</v>
      </c>
      <c r="W911" s="92" t="s">
        <v>2322</v>
      </c>
    </row>
    <row r="912" spans="1:27" ht="30.75">
      <c r="A912" s="216"/>
      <c r="B912" s="217"/>
      <c r="F912" s="88" t="s">
        <v>13</v>
      </c>
      <c r="G912" s="200" t="s">
        <v>2323</v>
      </c>
      <c r="M912" s="88" t="s">
        <v>42</v>
      </c>
      <c r="N912" s="72" t="s">
        <v>33</v>
      </c>
      <c r="O912" s="72" t="s">
        <v>43</v>
      </c>
      <c r="P912" s="72" t="s">
        <v>33</v>
      </c>
      <c r="Q912" s="89" t="s">
        <v>1784</v>
      </c>
    </row>
    <row r="913" spans="1:27">
      <c r="A913" s="216"/>
      <c r="B913" s="217"/>
      <c r="F913" s="88" t="s">
        <v>15</v>
      </c>
      <c r="G913" s="112" t="s">
        <v>2324</v>
      </c>
      <c r="M913" s="88" t="s">
        <v>1879</v>
      </c>
      <c r="N913" s="72" t="s">
        <v>33</v>
      </c>
      <c r="O913" s="72" t="s">
        <v>34</v>
      </c>
      <c r="P913" s="72" t="s">
        <v>35</v>
      </c>
      <c r="Q913" s="89" t="s">
        <v>2073</v>
      </c>
    </row>
    <row r="914" spans="1:27">
      <c r="A914" s="216"/>
      <c r="B914" s="217"/>
      <c r="F914" s="88" t="s">
        <v>17</v>
      </c>
      <c r="G914" s="144">
        <v>46126</v>
      </c>
      <c r="M914" s="88" t="s">
        <v>2197</v>
      </c>
      <c r="N914" s="72" t="s">
        <v>33</v>
      </c>
      <c r="O914" s="72" t="s">
        <v>43</v>
      </c>
      <c r="P914" s="72" t="s">
        <v>33</v>
      </c>
      <c r="Q914" s="89" t="s">
        <v>2325</v>
      </c>
    </row>
    <row r="915" spans="1:27">
      <c r="A915" s="218"/>
      <c r="B915" s="219"/>
      <c r="F915" s="108" t="s">
        <v>18</v>
      </c>
      <c r="G915" s="143" t="s">
        <v>19</v>
      </c>
      <c r="M915" s="88" t="s">
        <v>1972</v>
      </c>
      <c r="N915" s="72" t="s">
        <v>35</v>
      </c>
      <c r="O915" s="72" t="s">
        <v>52</v>
      </c>
      <c r="P915" s="72" t="s">
        <v>35</v>
      </c>
      <c r="Q915" s="89" t="s">
        <v>1936</v>
      </c>
    </row>
    <row r="916" spans="1:27">
      <c r="M916" s="90" t="s">
        <v>924</v>
      </c>
      <c r="N916" s="91" t="s">
        <v>35</v>
      </c>
      <c r="O916" s="91" t="s">
        <v>52</v>
      </c>
      <c r="P916" s="91" t="s">
        <v>35</v>
      </c>
      <c r="Q916" s="92" t="s">
        <v>1922</v>
      </c>
    </row>
    <row r="920" spans="1:27">
      <c r="A920" s="214" t="s">
        <v>364</v>
      </c>
      <c r="B920" s="215"/>
      <c r="F920" s="85" t="s">
        <v>0</v>
      </c>
      <c r="G920" s="118" t="s">
        <v>1</v>
      </c>
      <c r="I920" s="85" t="s">
        <v>20</v>
      </c>
      <c r="J920" s="86" t="s">
        <v>21</v>
      </c>
      <c r="K920" s="87" t="s">
        <v>23</v>
      </c>
      <c r="M920" s="85" t="s">
        <v>27</v>
      </c>
      <c r="N920" s="86" t="s">
        <v>28</v>
      </c>
      <c r="O920" s="86" t="s">
        <v>29</v>
      </c>
      <c r="P920" s="86" t="s">
        <v>30</v>
      </c>
      <c r="Q920" s="87" t="s">
        <v>31</v>
      </c>
      <c r="S920" s="85" t="s">
        <v>56</v>
      </c>
      <c r="T920" s="87" t="s">
        <v>57</v>
      </c>
      <c r="U920" s="79"/>
      <c r="V920" s="85" t="s">
        <v>68</v>
      </c>
      <c r="W920" s="87" t="s">
        <v>69</v>
      </c>
      <c r="Y920" s="85" t="s">
        <v>85</v>
      </c>
      <c r="Z920" s="86" t="s">
        <v>88</v>
      </c>
      <c r="AA920" s="87" t="s">
        <v>89</v>
      </c>
    </row>
    <row r="921" spans="1:27">
      <c r="A921" s="216"/>
      <c r="B921" s="217"/>
      <c r="F921" s="88" t="s">
        <v>2</v>
      </c>
      <c r="G921" s="134" t="s">
        <v>2326</v>
      </c>
      <c r="I921" s="88" t="s">
        <v>24</v>
      </c>
      <c r="J921" s="72">
        <v>6</v>
      </c>
      <c r="K921" s="89">
        <v>430</v>
      </c>
      <c r="M921" s="88" t="s">
        <v>2327</v>
      </c>
      <c r="N921" s="72" t="s">
        <v>33</v>
      </c>
      <c r="O921" s="72" t="s">
        <v>43</v>
      </c>
      <c r="P921" s="72" t="s">
        <v>33</v>
      </c>
      <c r="Q921" s="89" t="s">
        <v>1805</v>
      </c>
      <c r="S921" s="88" t="s">
        <v>58</v>
      </c>
      <c r="T921" s="89" t="s">
        <v>2046</v>
      </c>
      <c r="V921" s="138" t="s">
        <v>70</v>
      </c>
      <c r="W921" s="139" t="s">
        <v>2328</v>
      </c>
      <c r="Y921" s="138" t="s">
        <v>90</v>
      </c>
      <c r="Z921" s="137">
        <v>430</v>
      </c>
      <c r="AA921" s="139">
        <v>250</v>
      </c>
    </row>
    <row r="922" spans="1:27">
      <c r="A922" s="216"/>
      <c r="B922" s="217"/>
      <c r="F922" s="88" t="s">
        <v>4</v>
      </c>
      <c r="G922" s="112" t="s">
        <v>894</v>
      </c>
      <c r="I922" s="88" t="s">
        <v>25</v>
      </c>
      <c r="J922" s="80">
        <v>4</v>
      </c>
      <c r="K922" s="89">
        <v>290</v>
      </c>
      <c r="M922" s="88" t="s">
        <v>1107</v>
      </c>
      <c r="N922" s="72" t="s">
        <v>33</v>
      </c>
      <c r="O922" s="72" t="s">
        <v>34</v>
      </c>
      <c r="P922" s="72" t="s">
        <v>35</v>
      </c>
      <c r="Q922" s="89" t="s">
        <v>1906</v>
      </c>
      <c r="S922" s="88" t="s">
        <v>60</v>
      </c>
      <c r="T922" s="89" t="s">
        <v>2318</v>
      </c>
      <c r="V922" s="135" t="s">
        <v>73</v>
      </c>
      <c r="W922" s="136" t="s">
        <v>2065</v>
      </c>
      <c r="Y922" s="88" t="s">
        <v>91</v>
      </c>
      <c r="Z922" s="72">
        <v>290</v>
      </c>
      <c r="AA922" s="89">
        <v>380</v>
      </c>
    </row>
    <row r="923" spans="1:27">
      <c r="A923" s="216"/>
      <c r="B923" s="217"/>
      <c r="F923" s="88" t="s">
        <v>6</v>
      </c>
      <c r="G923" s="112" t="s">
        <v>895</v>
      </c>
      <c r="I923" s="90" t="s">
        <v>26</v>
      </c>
      <c r="J923" s="91"/>
      <c r="K923" s="92">
        <v>720</v>
      </c>
      <c r="M923" s="88" t="s">
        <v>1638</v>
      </c>
      <c r="N923" s="72" t="s">
        <v>33</v>
      </c>
      <c r="O923" s="72" t="s">
        <v>34</v>
      </c>
      <c r="P923" s="72" t="s">
        <v>35</v>
      </c>
      <c r="Q923" s="89" t="s">
        <v>1778</v>
      </c>
      <c r="S923" s="88" t="s">
        <v>62</v>
      </c>
      <c r="T923" s="89" t="s">
        <v>2016</v>
      </c>
      <c r="V923" s="88" t="s">
        <v>76</v>
      </c>
      <c r="W923" s="89" t="s">
        <v>2329</v>
      </c>
      <c r="Y923" s="88" t="s">
        <v>26</v>
      </c>
      <c r="Z923" s="72">
        <v>720</v>
      </c>
      <c r="AA923" s="89">
        <v>630</v>
      </c>
    </row>
    <row r="924" spans="1:27">
      <c r="A924" s="216"/>
      <c r="B924" s="217"/>
      <c r="F924" s="88" t="s">
        <v>8</v>
      </c>
      <c r="G924" s="112" t="s">
        <v>2330</v>
      </c>
      <c r="M924" s="88" t="s">
        <v>1553</v>
      </c>
      <c r="N924" s="72" t="s">
        <v>33</v>
      </c>
      <c r="O924" s="72" t="s">
        <v>43</v>
      </c>
      <c r="P924" s="72" t="s">
        <v>33</v>
      </c>
      <c r="Q924" s="89" t="s">
        <v>1811</v>
      </c>
      <c r="S924" s="119" t="s">
        <v>64</v>
      </c>
      <c r="T924" s="120" t="s">
        <v>2331</v>
      </c>
      <c r="V924" s="88" t="s">
        <v>79</v>
      </c>
      <c r="W924" s="89" t="s">
        <v>1584</v>
      </c>
      <c r="Y924" s="90" t="s">
        <v>92</v>
      </c>
      <c r="Z924" s="91"/>
      <c r="AA924" s="122">
        <v>0.125</v>
      </c>
    </row>
    <row r="925" spans="1:27">
      <c r="A925" s="216"/>
      <c r="B925" s="217"/>
      <c r="F925" s="88" t="s">
        <v>10</v>
      </c>
      <c r="G925" s="112" t="s">
        <v>12</v>
      </c>
      <c r="M925" s="88" t="s">
        <v>49</v>
      </c>
      <c r="N925" s="72" t="s">
        <v>33</v>
      </c>
      <c r="O925" s="72" t="s">
        <v>43</v>
      </c>
      <c r="P925" s="72" t="s">
        <v>33</v>
      </c>
      <c r="Q925" s="89" t="s">
        <v>2142</v>
      </c>
      <c r="S925" s="90" t="s">
        <v>66</v>
      </c>
      <c r="T925" s="133" t="s">
        <v>2183</v>
      </c>
      <c r="V925" s="90" t="s">
        <v>82</v>
      </c>
      <c r="W925" s="92" t="s">
        <v>2332</v>
      </c>
    </row>
    <row r="926" spans="1:27">
      <c r="A926" s="216"/>
      <c r="B926" s="217"/>
      <c r="F926" s="88" t="s">
        <v>13</v>
      </c>
      <c r="G926" t="s">
        <v>1408</v>
      </c>
      <c r="M926" s="88" t="s">
        <v>2333</v>
      </c>
      <c r="N926" s="72" t="s">
        <v>33</v>
      </c>
      <c r="O926" s="72" t="s">
        <v>34</v>
      </c>
      <c r="P926" s="72" t="s">
        <v>35</v>
      </c>
      <c r="Q926" s="89" t="s">
        <v>2073</v>
      </c>
    </row>
    <row r="927" spans="1:27">
      <c r="A927" s="216"/>
      <c r="B927" s="217"/>
      <c r="F927" s="88" t="s">
        <v>15</v>
      </c>
      <c r="G927" s="112" t="s">
        <v>2334</v>
      </c>
      <c r="M927" s="88" t="s">
        <v>1972</v>
      </c>
      <c r="N927" s="72" t="s">
        <v>35</v>
      </c>
      <c r="O927" s="72" t="s">
        <v>52</v>
      </c>
      <c r="P927" s="72" t="s">
        <v>35</v>
      </c>
      <c r="Q927" s="89" t="s">
        <v>2162</v>
      </c>
    </row>
    <row r="928" spans="1:27">
      <c r="A928" s="216"/>
      <c r="B928" s="217"/>
      <c r="F928" s="88" t="s">
        <v>17</v>
      </c>
      <c r="G928" s="144">
        <v>46126</v>
      </c>
      <c r="M928" s="88" t="s">
        <v>924</v>
      </c>
      <c r="N928" s="72" t="s">
        <v>35</v>
      </c>
      <c r="O928" s="72" t="s">
        <v>52</v>
      </c>
      <c r="P928" s="72" t="s">
        <v>35</v>
      </c>
      <c r="Q928" s="89" t="s">
        <v>1922</v>
      </c>
    </row>
    <row r="929" spans="1:27">
      <c r="A929" s="218"/>
      <c r="B929" s="219"/>
      <c r="F929" s="108" t="s">
        <v>18</v>
      </c>
      <c r="G929" s="143" t="s">
        <v>19</v>
      </c>
      <c r="M929" s="88" t="s">
        <v>1958</v>
      </c>
      <c r="N929" s="72" t="s">
        <v>35</v>
      </c>
      <c r="O929" s="72" t="s">
        <v>52</v>
      </c>
      <c r="P929" s="72" t="s">
        <v>35</v>
      </c>
      <c r="Q929" s="89" t="s">
        <v>2041</v>
      </c>
    </row>
    <row r="930" spans="1:27">
      <c r="M930" s="90" t="s">
        <v>1975</v>
      </c>
      <c r="N930" s="91" t="s">
        <v>35</v>
      </c>
      <c r="O930" s="91" t="s">
        <v>52</v>
      </c>
      <c r="P930" s="91" t="s">
        <v>35</v>
      </c>
      <c r="Q930" s="92" t="s">
        <v>1826</v>
      </c>
    </row>
    <row r="934" spans="1:27">
      <c r="A934" s="214" t="s">
        <v>366</v>
      </c>
      <c r="B934" s="215"/>
      <c r="F934" s="85" t="s">
        <v>0</v>
      </c>
      <c r="G934" s="118" t="s">
        <v>1</v>
      </c>
      <c r="I934" s="85" t="s">
        <v>20</v>
      </c>
      <c r="J934" s="86" t="s">
        <v>21</v>
      </c>
      <c r="K934" s="87" t="s">
        <v>23</v>
      </c>
      <c r="M934" s="85" t="s">
        <v>27</v>
      </c>
      <c r="N934" s="86" t="s">
        <v>28</v>
      </c>
      <c r="O934" s="86" t="s">
        <v>29</v>
      </c>
      <c r="P934" s="86" t="s">
        <v>30</v>
      </c>
      <c r="Q934" s="87" t="s">
        <v>31</v>
      </c>
      <c r="S934" s="85" t="s">
        <v>56</v>
      </c>
      <c r="T934" s="87" t="s">
        <v>57</v>
      </c>
      <c r="U934" s="79"/>
      <c r="V934" s="85" t="s">
        <v>68</v>
      </c>
      <c r="W934" s="87" t="s">
        <v>69</v>
      </c>
      <c r="Y934" s="85" t="s">
        <v>85</v>
      </c>
      <c r="Z934" s="86" t="s">
        <v>88</v>
      </c>
      <c r="AA934" s="87" t="s">
        <v>89</v>
      </c>
    </row>
    <row r="935" spans="1:27">
      <c r="A935" s="216"/>
      <c r="B935" s="217"/>
      <c r="F935" s="88" t="s">
        <v>2</v>
      </c>
      <c r="G935" s="134" t="s">
        <v>2335</v>
      </c>
      <c r="I935" s="88" t="s">
        <v>24</v>
      </c>
      <c r="J935" s="72">
        <v>5</v>
      </c>
      <c r="K935" s="89">
        <v>345</v>
      </c>
      <c r="M935" s="88" t="s">
        <v>2336</v>
      </c>
      <c r="N935" s="72" t="s">
        <v>33</v>
      </c>
      <c r="O935" s="72" t="s">
        <v>34</v>
      </c>
      <c r="P935" s="72" t="s">
        <v>35</v>
      </c>
      <c r="Q935" s="89" t="s">
        <v>2337</v>
      </c>
      <c r="S935" s="88" t="s">
        <v>58</v>
      </c>
      <c r="T935" s="89" t="s">
        <v>2046</v>
      </c>
      <c r="V935" s="138" t="s">
        <v>70</v>
      </c>
      <c r="W935" s="139" t="s">
        <v>2338</v>
      </c>
      <c r="Y935" s="138" t="s">
        <v>90</v>
      </c>
      <c r="Z935" s="137">
        <v>345</v>
      </c>
      <c r="AA935" s="139">
        <v>210</v>
      </c>
    </row>
    <row r="936" spans="1:27">
      <c r="A936" s="216"/>
      <c r="B936" s="217"/>
      <c r="F936" s="88" t="s">
        <v>4</v>
      </c>
      <c r="G936" s="112" t="s">
        <v>894</v>
      </c>
      <c r="I936" s="88" t="s">
        <v>25</v>
      </c>
      <c r="J936" s="80">
        <v>5</v>
      </c>
      <c r="K936" s="89">
        <v>315</v>
      </c>
      <c r="M936" s="88" t="s">
        <v>1340</v>
      </c>
      <c r="N936" s="72" t="s">
        <v>33</v>
      </c>
      <c r="O936" s="72" t="s">
        <v>43</v>
      </c>
      <c r="P936" s="72" t="s">
        <v>33</v>
      </c>
      <c r="Q936" s="89" t="s">
        <v>1984</v>
      </c>
      <c r="S936" s="88" t="s">
        <v>60</v>
      </c>
      <c r="T936" s="89" t="s">
        <v>2064</v>
      </c>
      <c r="V936" s="135" t="s">
        <v>73</v>
      </c>
      <c r="W936" s="136" t="s">
        <v>2113</v>
      </c>
      <c r="Y936" s="88" t="s">
        <v>91</v>
      </c>
      <c r="Z936" s="72">
        <v>315</v>
      </c>
      <c r="AA936" s="89">
        <v>400</v>
      </c>
    </row>
    <row r="937" spans="1:27">
      <c r="A937" s="216"/>
      <c r="B937" s="217"/>
      <c r="F937" s="88" t="s">
        <v>6</v>
      </c>
      <c r="G937" s="112" t="s">
        <v>1484</v>
      </c>
      <c r="I937" s="90" t="s">
        <v>26</v>
      </c>
      <c r="J937" s="91"/>
      <c r="K937" s="92">
        <v>660</v>
      </c>
      <c r="M937" s="88" t="s">
        <v>1638</v>
      </c>
      <c r="N937" s="72" t="s">
        <v>33</v>
      </c>
      <c r="O937" s="72" t="s">
        <v>34</v>
      </c>
      <c r="P937" s="72" t="s">
        <v>35</v>
      </c>
      <c r="Q937" s="89" t="s">
        <v>1833</v>
      </c>
      <c r="S937" s="88" t="s">
        <v>62</v>
      </c>
      <c r="T937" s="89" t="s">
        <v>2339</v>
      </c>
      <c r="V937" s="88" t="s">
        <v>76</v>
      </c>
      <c r="W937" s="89" t="s">
        <v>2340</v>
      </c>
      <c r="Y937" s="88" t="s">
        <v>26</v>
      </c>
      <c r="Z937" s="72">
        <v>660</v>
      </c>
      <c r="AA937" s="89">
        <v>610</v>
      </c>
    </row>
    <row r="938" spans="1:27">
      <c r="A938" s="216"/>
      <c r="B938" s="217"/>
      <c r="F938" s="88" t="s">
        <v>8</v>
      </c>
      <c r="G938" s="112" t="s">
        <v>2341</v>
      </c>
      <c r="M938" s="88" t="s">
        <v>1553</v>
      </c>
      <c r="N938" s="72" t="s">
        <v>33</v>
      </c>
      <c r="O938" s="72" t="s">
        <v>43</v>
      </c>
      <c r="P938" s="72" t="s">
        <v>33</v>
      </c>
      <c r="Q938" s="89" t="s">
        <v>1811</v>
      </c>
      <c r="S938" s="119" t="s">
        <v>64</v>
      </c>
      <c r="T938" s="120" t="s">
        <v>2342</v>
      </c>
      <c r="V938" s="88" t="s">
        <v>79</v>
      </c>
      <c r="W938" s="89" t="s">
        <v>1584</v>
      </c>
      <c r="Y938" s="90" t="s">
        <v>92</v>
      </c>
      <c r="Z938" s="91"/>
      <c r="AA938" s="122">
        <v>7.5999999999999998E-2</v>
      </c>
    </row>
    <row r="939" spans="1:27">
      <c r="A939" s="216"/>
      <c r="B939" s="217"/>
      <c r="F939" s="88" t="s">
        <v>10</v>
      </c>
      <c r="G939" s="112" t="s">
        <v>12</v>
      </c>
      <c r="M939" s="88" t="s">
        <v>49</v>
      </c>
      <c r="N939" s="72" t="s">
        <v>33</v>
      </c>
      <c r="O939" s="72" t="s">
        <v>43</v>
      </c>
      <c r="P939" s="72" t="s">
        <v>33</v>
      </c>
      <c r="Q939" s="89" t="s">
        <v>2343</v>
      </c>
      <c r="S939" s="90" t="s">
        <v>66</v>
      </c>
      <c r="T939" s="133" t="s">
        <v>2344</v>
      </c>
      <c r="V939" s="90" t="s">
        <v>82</v>
      </c>
      <c r="W939" s="92" t="s">
        <v>2345</v>
      </c>
    </row>
    <row r="940" spans="1:27">
      <c r="A940" s="216"/>
      <c r="B940" s="217"/>
      <c r="F940" s="88" t="s">
        <v>13</v>
      </c>
      <c r="G940" s="112" t="s">
        <v>2346</v>
      </c>
      <c r="M940" s="88" t="s">
        <v>1972</v>
      </c>
      <c r="N940" s="72" t="s">
        <v>35</v>
      </c>
      <c r="O940" s="72" t="s">
        <v>52</v>
      </c>
      <c r="P940" s="72" t="s">
        <v>35</v>
      </c>
      <c r="Q940" s="89" t="s">
        <v>1936</v>
      </c>
    </row>
    <row r="941" spans="1:27">
      <c r="A941" s="216"/>
      <c r="B941" s="217"/>
      <c r="F941" s="88" t="s">
        <v>15</v>
      </c>
      <c r="G941" s="112" t="s">
        <v>2347</v>
      </c>
      <c r="M941" s="88" t="s">
        <v>924</v>
      </c>
      <c r="N941" s="72" t="s">
        <v>35</v>
      </c>
      <c r="O941" s="72" t="s">
        <v>52</v>
      </c>
      <c r="P941" s="72" t="s">
        <v>35</v>
      </c>
      <c r="Q941" s="89" t="s">
        <v>1922</v>
      </c>
    </row>
    <row r="942" spans="1:27">
      <c r="A942" s="216"/>
      <c r="B942" s="217"/>
      <c r="F942" s="119" t="s">
        <v>17</v>
      </c>
      <c r="G942" s="144">
        <v>46126</v>
      </c>
      <c r="M942" s="88" t="s">
        <v>1958</v>
      </c>
      <c r="N942" s="72" t="s">
        <v>35</v>
      </c>
      <c r="O942" s="72" t="s">
        <v>52</v>
      </c>
      <c r="P942" s="72" t="s">
        <v>35</v>
      </c>
      <c r="Q942" s="89" t="s">
        <v>2041</v>
      </c>
    </row>
    <row r="943" spans="1:27">
      <c r="A943" s="218"/>
      <c r="B943" s="219"/>
      <c r="F943" s="90" t="s">
        <v>18</v>
      </c>
      <c r="G943" s="114" t="s">
        <v>19</v>
      </c>
      <c r="M943" s="88" t="s">
        <v>1857</v>
      </c>
      <c r="N943" s="72" t="s">
        <v>35</v>
      </c>
      <c r="O943" s="72" t="s">
        <v>52</v>
      </c>
      <c r="P943" s="72" t="s">
        <v>35</v>
      </c>
      <c r="Q943" s="89" t="s">
        <v>1858</v>
      </c>
    </row>
    <row r="944" spans="1:27">
      <c r="M944" s="90" t="s">
        <v>1975</v>
      </c>
      <c r="N944" s="91" t="s">
        <v>35</v>
      </c>
      <c r="O944" s="91" t="s">
        <v>52</v>
      </c>
      <c r="P944" s="91" t="s">
        <v>35</v>
      </c>
      <c r="Q944" s="92" t="s">
        <v>1826</v>
      </c>
    </row>
    <row r="948" spans="1:27">
      <c r="A948" s="214" t="s">
        <v>368</v>
      </c>
      <c r="B948" s="215"/>
      <c r="F948" s="85" t="s">
        <v>0</v>
      </c>
      <c r="G948" s="118" t="s">
        <v>1</v>
      </c>
      <c r="I948" s="85" t="s">
        <v>20</v>
      </c>
      <c r="J948" s="86" t="s">
        <v>21</v>
      </c>
      <c r="K948" s="87" t="s">
        <v>23</v>
      </c>
      <c r="M948" s="85" t="s">
        <v>27</v>
      </c>
      <c r="N948" s="86" t="s">
        <v>28</v>
      </c>
      <c r="O948" s="86" t="s">
        <v>29</v>
      </c>
      <c r="P948" s="86" t="s">
        <v>30</v>
      </c>
      <c r="Q948" s="87" t="s">
        <v>31</v>
      </c>
      <c r="S948" s="85" t="s">
        <v>56</v>
      </c>
      <c r="T948" s="87" t="s">
        <v>57</v>
      </c>
      <c r="U948" s="79"/>
      <c r="V948" s="85" t="s">
        <v>68</v>
      </c>
      <c r="W948" s="87" t="s">
        <v>69</v>
      </c>
      <c r="Y948" s="85" t="s">
        <v>85</v>
      </c>
      <c r="Z948" s="86" t="s">
        <v>88</v>
      </c>
      <c r="AA948" s="87" t="s">
        <v>89</v>
      </c>
    </row>
    <row r="949" spans="1:27">
      <c r="A949" s="216"/>
      <c r="B949" s="217"/>
      <c r="F949" s="88" t="s">
        <v>2</v>
      </c>
      <c r="G949" s="134" t="s">
        <v>2348</v>
      </c>
      <c r="I949" s="88" t="s">
        <v>24</v>
      </c>
      <c r="J949" s="72">
        <v>7</v>
      </c>
      <c r="K949" s="89">
        <v>515</v>
      </c>
      <c r="M949" s="88" t="s">
        <v>2349</v>
      </c>
      <c r="N949" s="72" t="s">
        <v>33</v>
      </c>
      <c r="O949" s="72" t="s">
        <v>43</v>
      </c>
      <c r="P949" s="72" t="s">
        <v>33</v>
      </c>
      <c r="Q949" s="89" t="s">
        <v>2350</v>
      </c>
      <c r="S949" s="88" t="s">
        <v>58</v>
      </c>
      <c r="T949" s="89" t="s">
        <v>2046</v>
      </c>
      <c r="V949" s="138" t="s">
        <v>70</v>
      </c>
      <c r="W949" s="139" t="s">
        <v>2351</v>
      </c>
      <c r="Y949" s="138" t="s">
        <v>90</v>
      </c>
      <c r="Z949" s="137">
        <v>515</v>
      </c>
      <c r="AA949" s="139">
        <v>320</v>
      </c>
    </row>
    <row r="950" spans="1:27">
      <c r="A950" s="216"/>
      <c r="B950" s="217"/>
      <c r="F950" s="88" t="s">
        <v>4</v>
      </c>
      <c r="G950" s="112" t="s">
        <v>894</v>
      </c>
      <c r="I950" s="88" t="s">
        <v>25</v>
      </c>
      <c r="J950" s="80">
        <v>2</v>
      </c>
      <c r="K950" s="89">
        <v>180</v>
      </c>
      <c r="M950" s="88" t="s">
        <v>1430</v>
      </c>
      <c r="N950" s="72" t="s">
        <v>33</v>
      </c>
      <c r="O950" s="72" t="s">
        <v>34</v>
      </c>
      <c r="P950" s="72" t="s">
        <v>35</v>
      </c>
      <c r="Q950" s="89" t="s">
        <v>2352</v>
      </c>
      <c r="S950" s="88" t="s">
        <v>60</v>
      </c>
      <c r="T950" s="89" t="s">
        <v>2353</v>
      </c>
      <c r="V950" s="135" t="s">
        <v>73</v>
      </c>
      <c r="W950" s="136" t="s">
        <v>2307</v>
      </c>
      <c r="Y950" s="88" t="s">
        <v>91</v>
      </c>
      <c r="Z950" s="72">
        <v>180</v>
      </c>
      <c r="AA950" s="89">
        <v>300</v>
      </c>
    </row>
    <row r="951" spans="1:27">
      <c r="A951" s="216"/>
      <c r="B951" s="217"/>
      <c r="F951" s="88" t="s">
        <v>6</v>
      </c>
      <c r="G951" s="112" t="s">
        <v>1484</v>
      </c>
      <c r="I951" s="90" t="s">
        <v>26</v>
      </c>
      <c r="J951" s="91"/>
      <c r="K951" s="92">
        <v>695</v>
      </c>
      <c r="M951" s="88" t="s">
        <v>1864</v>
      </c>
      <c r="N951" s="72" t="s">
        <v>33</v>
      </c>
      <c r="O951" s="72" t="s">
        <v>43</v>
      </c>
      <c r="P951" s="72" t="s">
        <v>33</v>
      </c>
      <c r="Q951" s="89" t="s">
        <v>1609</v>
      </c>
      <c r="S951" s="88" t="s">
        <v>62</v>
      </c>
      <c r="T951" s="89" t="s">
        <v>2354</v>
      </c>
      <c r="V951" s="88" t="s">
        <v>76</v>
      </c>
      <c r="W951" s="89" t="s">
        <v>2080</v>
      </c>
      <c r="Y951" s="88" t="s">
        <v>26</v>
      </c>
      <c r="Z951" s="72">
        <v>695</v>
      </c>
      <c r="AA951" s="89">
        <v>620</v>
      </c>
    </row>
    <row r="952" spans="1:27">
      <c r="A952" s="216"/>
      <c r="B952" s="217"/>
      <c r="F952" s="88" t="s">
        <v>8</v>
      </c>
      <c r="G952" s="112" t="s">
        <v>2355</v>
      </c>
      <c r="M952" s="88" t="s">
        <v>1638</v>
      </c>
      <c r="N952" s="72" t="s">
        <v>33</v>
      </c>
      <c r="O952" s="72" t="s">
        <v>34</v>
      </c>
      <c r="P952" s="72" t="s">
        <v>35</v>
      </c>
      <c r="Q952" s="89" t="s">
        <v>1967</v>
      </c>
      <c r="S952" s="119" t="s">
        <v>64</v>
      </c>
      <c r="T952" s="120" t="s">
        <v>2356</v>
      </c>
      <c r="V952" s="88" t="s">
        <v>79</v>
      </c>
      <c r="W952" s="89" t="s">
        <v>1759</v>
      </c>
      <c r="Y952" s="90" t="s">
        <v>92</v>
      </c>
      <c r="Z952" s="91"/>
      <c r="AA952" s="122">
        <v>0.108</v>
      </c>
    </row>
    <row r="953" spans="1:27">
      <c r="A953" s="216"/>
      <c r="B953" s="217"/>
      <c r="F953" s="88" t="s">
        <v>10</v>
      </c>
      <c r="G953" s="112" t="s">
        <v>1494</v>
      </c>
      <c r="M953" s="88" t="s">
        <v>1786</v>
      </c>
      <c r="N953" s="72" t="s">
        <v>33</v>
      </c>
      <c r="O953" s="72" t="s">
        <v>43</v>
      </c>
      <c r="P953" s="72" t="s">
        <v>33</v>
      </c>
      <c r="Q953" s="89" t="s">
        <v>2357</v>
      </c>
      <c r="S953" s="90" t="s">
        <v>66</v>
      </c>
      <c r="T953" s="133" t="s">
        <v>1988</v>
      </c>
      <c r="V953" s="90" t="s">
        <v>82</v>
      </c>
      <c r="W953" s="92" t="s">
        <v>2358</v>
      </c>
    </row>
    <row r="954" spans="1:27">
      <c r="A954" s="216"/>
      <c r="B954" s="217"/>
      <c r="F954" s="88" t="s">
        <v>13</v>
      </c>
      <c r="G954" t="s">
        <v>2359</v>
      </c>
      <c r="M954" s="88" t="s">
        <v>42</v>
      </c>
      <c r="N954" s="72" t="s">
        <v>33</v>
      </c>
      <c r="O954" s="72" t="s">
        <v>43</v>
      </c>
      <c r="P954" s="72" t="s">
        <v>33</v>
      </c>
      <c r="Q954" s="89" t="s">
        <v>1784</v>
      </c>
    </row>
    <row r="955" spans="1:27">
      <c r="A955" s="216"/>
      <c r="B955" s="217"/>
      <c r="F955" s="88" t="s">
        <v>15</v>
      </c>
      <c r="G955" s="112" t="s">
        <v>2360</v>
      </c>
      <c r="M955" s="88" t="s">
        <v>2333</v>
      </c>
      <c r="N955" s="72" t="s">
        <v>33</v>
      </c>
      <c r="O955" s="72" t="s">
        <v>34</v>
      </c>
      <c r="P955" s="72" t="s">
        <v>35</v>
      </c>
      <c r="Q955" s="89" t="s">
        <v>2073</v>
      </c>
    </row>
    <row r="956" spans="1:27">
      <c r="A956" s="216"/>
      <c r="B956" s="217"/>
      <c r="F956" s="119" t="s">
        <v>17</v>
      </c>
      <c r="G956" s="144">
        <v>46126</v>
      </c>
      <c r="M956" s="88" t="s">
        <v>1972</v>
      </c>
      <c r="N956" s="72" t="s">
        <v>35</v>
      </c>
      <c r="O956" s="72" t="s">
        <v>52</v>
      </c>
      <c r="P956" s="72" t="s">
        <v>35</v>
      </c>
      <c r="Q956" s="89" t="s">
        <v>2162</v>
      </c>
    </row>
    <row r="957" spans="1:27">
      <c r="A957" s="218"/>
      <c r="B957" s="219"/>
      <c r="F957" s="90" t="s">
        <v>18</v>
      </c>
      <c r="G957" s="114" t="s">
        <v>19</v>
      </c>
      <c r="M957" s="90" t="s">
        <v>924</v>
      </c>
      <c r="N957" s="91" t="s">
        <v>35</v>
      </c>
      <c r="O957" s="91" t="s">
        <v>52</v>
      </c>
      <c r="P957" s="91" t="s">
        <v>35</v>
      </c>
      <c r="Q957" s="92" t="s">
        <v>1922</v>
      </c>
    </row>
    <row r="962" spans="1:27">
      <c r="A962" s="214" t="s">
        <v>370</v>
      </c>
      <c r="B962" s="215"/>
      <c r="F962" s="85" t="s">
        <v>0</v>
      </c>
      <c r="G962" s="118" t="s">
        <v>1</v>
      </c>
      <c r="I962" s="85" t="s">
        <v>20</v>
      </c>
      <c r="J962" s="86" t="s">
        <v>21</v>
      </c>
      <c r="K962" s="87" t="s">
        <v>23</v>
      </c>
      <c r="M962" s="85" t="s">
        <v>27</v>
      </c>
      <c r="N962" s="86" t="s">
        <v>28</v>
      </c>
      <c r="O962" s="86" t="s">
        <v>29</v>
      </c>
      <c r="P962" s="86" t="s">
        <v>30</v>
      </c>
      <c r="Q962" s="87" t="s">
        <v>31</v>
      </c>
      <c r="S962" s="85" t="s">
        <v>56</v>
      </c>
      <c r="T962" s="87" t="s">
        <v>57</v>
      </c>
      <c r="U962" s="79"/>
      <c r="V962" s="85" t="s">
        <v>68</v>
      </c>
      <c r="W962" s="87" t="s">
        <v>69</v>
      </c>
      <c r="Y962" s="85" t="s">
        <v>85</v>
      </c>
      <c r="Z962" s="86" t="s">
        <v>88</v>
      </c>
      <c r="AA962" s="87" t="s">
        <v>89</v>
      </c>
    </row>
    <row r="963" spans="1:27">
      <c r="A963" s="216"/>
      <c r="B963" s="217"/>
      <c r="F963" s="88" t="s">
        <v>2</v>
      </c>
      <c r="G963" s="134" t="s">
        <v>2361</v>
      </c>
      <c r="I963" s="88" t="s">
        <v>24</v>
      </c>
      <c r="J963" s="72">
        <v>6</v>
      </c>
      <c r="K963" s="89">
        <v>390</v>
      </c>
      <c r="M963" s="88" t="s">
        <v>2362</v>
      </c>
      <c r="N963" s="72" t="s">
        <v>33</v>
      </c>
      <c r="O963" s="72" t="s">
        <v>34</v>
      </c>
      <c r="P963" s="72" t="s">
        <v>35</v>
      </c>
      <c r="Q963" s="89" t="s">
        <v>2255</v>
      </c>
      <c r="S963" s="88" t="s">
        <v>58</v>
      </c>
      <c r="T963" s="89" t="s">
        <v>2363</v>
      </c>
      <c r="V963" s="138" t="s">
        <v>70</v>
      </c>
      <c r="W963" s="139" t="s">
        <v>2364</v>
      </c>
      <c r="Y963" s="138" t="s">
        <v>90</v>
      </c>
      <c r="Z963" s="137">
        <v>390</v>
      </c>
      <c r="AA963" s="139">
        <v>240</v>
      </c>
    </row>
    <row r="964" spans="1:27">
      <c r="A964" s="216"/>
      <c r="B964" s="217"/>
      <c r="F964" s="88" t="s">
        <v>4</v>
      </c>
      <c r="G964" s="112" t="s">
        <v>894</v>
      </c>
      <c r="I964" s="88" t="s">
        <v>25</v>
      </c>
      <c r="J964" s="80">
        <v>4</v>
      </c>
      <c r="K964" s="89">
        <v>330</v>
      </c>
      <c r="M964" s="88" t="s">
        <v>1638</v>
      </c>
      <c r="N964" s="72" t="s">
        <v>33</v>
      </c>
      <c r="O964" s="72" t="s">
        <v>34</v>
      </c>
      <c r="P964" s="72" t="s">
        <v>35</v>
      </c>
      <c r="Q964" s="89" t="s">
        <v>1778</v>
      </c>
      <c r="S964" s="88" t="s">
        <v>60</v>
      </c>
      <c r="T964" s="89" t="s">
        <v>2365</v>
      </c>
      <c r="V964" s="135" t="s">
        <v>73</v>
      </c>
      <c r="W964" s="136" t="s">
        <v>2065</v>
      </c>
      <c r="Y964" s="88" t="s">
        <v>91</v>
      </c>
      <c r="Z964" s="72">
        <v>330</v>
      </c>
      <c r="AA964" s="89">
        <v>420</v>
      </c>
    </row>
    <row r="965" spans="1:27">
      <c r="A965" s="216"/>
      <c r="B965" s="217"/>
      <c r="F965" s="88" t="s">
        <v>6</v>
      </c>
      <c r="G965" s="112" t="s">
        <v>1484</v>
      </c>
      <c r="I965" s="90" t="s">
        <v>26</v>
      </c>
      <c r="J965" s="91"/>
      <c r="K965" s="92">
        <v>720</v>
      </c>
      <c r="M965" s="88" t="s">
        <v>1877</v>
      </c>
      <c r="N965" s="72" t="s">
        <v>33</v>
      </c>
      <c r="O965" s="72" t="s">
        <v>43</v>
      </c>
      <c r="P965" s="72" t="s">
        <v>33</v>
      </c>
      <c r="Q965" s="89" t="s">
        <v>1641</v>
      </c>
      <c r="S965" s="88" t="s">
        <v>62</v>
      </c>
      <c r="T965" s="89" t="s">
        <v>2366</v>
      </c>
      <c r="V965" s="88" t="s">
        <v>76</v>
      </c>
      <c r="W965" s="89" t="s">
        <v>2260</v>
      </c>
      <c r="Y965" s="88" t="s">
        <v>26</v>
      </c>
      <c r="Z965" s="72">
        <v>720</v>
      </c>
      <c r="AA965" s="89">
        <v>660</v>
      </c>
    </row>
    <row r="966" spans="1:27">
      <c r="A966" s="216"/>
      <c r="B966" s="217"/>
      <c r="F966" s="88" t="s">
        <v>8</v>
      </c>
      <c r="G966" s="112" t="s">
        <v>2367</v>
      </c>
      <c r="M966" s="88" t="s">
        <v>2368</v>
      </c>
      <c r="N966" s="72" t="s">
        <v>33</v>
      </c>
      <c r="O966" s="72" t="s">
        <v>43</v>
      </c>
      <c r="P966" s="72" t="s">
        <v>33</v>
      </c>
      <c r="Q966" s="89" t="s">
        <v>2369</v>
      </c>
      <c r="S966" s="119" t="s">
        <v>64</v>
      </c>
      <c r="T966" s="120" t="s">
        <v>2370</v>
      </c>
      <c r="V966" s="88" t="s">
        <v>79</v>
      </c>
      <c r="W966" s="89" t="s">
        <v>1584</v>
      </c>
      <c r="Y966" s="90" t="s">
        <v>92</v>
      </c>
      <c r="Z966" s="91"/>
      <c r="AA966" s="122">
        <v>8.3000000000000004E-2</v>
      </c>
    </row>
    <row r="967" spans="1:27">
      <c r="A967" s="216"/>
      <c r="B967" s="217"/>
      <c r="F967" s="88" t="s">
        <v>10</v>
      </c>
      <c r="G967" s="112" t="s">
        <v>12</v>
      </c>
      <c r="M967" s="88" t="s">
        <v>42</v>
      </c>
      <c r="N967" s="72" t="s">
        <v>33</v>
      </c>
      <c r="O967" s="72" t="s">
        <v>43</v>
      </c>
      <c r="P967" s="72" t="s">
        <v>33</v>
      </c>
      <c r="Q967" s="89" t="s">
        <v>1914</v>
      </c>
      <c r="S967" s="90" t="s">
        <v>66</v>
      </c>
      <c r="T967" s="133" t="s">
        <v>2183</v>
      </c>
      <c r="V967" s="90" t="s">
        <v>82</v>
      </c>
      <c r="W967" s="92" t="s">
        <v>2371</v>
      </c>
    </row>
    <row r="968" spans="1:27">
      <c r="A968" s="216"/>
      <c r="B968" s="217"/>
      <c r="F968" s="88" t="s">
        <v>13</v>
      </c>
      <c r="G968" t="s">
        <v>2372</v>
      </c>
      <c r="M968" s="88" t="s">
        <v>1879</v>
      </c>
      <c r="N968" s="72" t="s">
        <v>33</v>
      </c>
      <c r="O968" s="72" t="s">
        <v>34</v>
      </c>
      <c r="P968" s="72" t="s">
        <v>35</v>
      </c>
      <c r="Q968" s="89" t="s">
        <v>2073</v>
      </c>
    </row>
    <row r="969" spans="1:27">
      <c r="A969" s="216"/>
      <c r="B969" s="217"/>
      <c r="F969" s="88" t="s">
        <v>15</v>
      </c>
      <c r="G969" s="112" t="s">
        <v>2373</v>
      </c>
      <c r="M969" s="88" t="s">
        <v>2266</v>
      </c>
      <c r="N969" s="72" t="s">
        <v>35</v>
      </c>
      <c r="O969" s="72" t="s">
        <v>52</v>
      </c>
      <c r="P969" s="72" t="s">
        <v>35</v>
      </c>
      <c r="Q969" s="89" t="s">
        <v>2374</v>
      </c>
    </row>
    <row r="970" spans="1:27">
      <c r="A970" s="216"/>
      <c r="B970" s="217"/>
      <c r="F970" s="119" t="s">
        <v>17</v>
      </c>
      <c r="G970" s="144">
        <v>46126</v>
      </c>
      <c r="M970" s="88" t="s">
        <v>1972</v>
      </c>
      <c r="N970" s="72" t="s">
        <v>35</v>
      </c>
      <c r="O970" s="72" t="s">
        <v>52</v>
      </c>
      <c r="P970" s="72" t="s">
        <v>35</v>
      </c>
      <c r="Q970" s="89" t="s">
        <v>1936</v>
      </c>
    </row>
    <row r="971" spans="1:27">
      <c r="A971" s="218"/>
      <c r="B971" s="219"/>
      <c r="F971" s="90" t="s">
        <v>18</v>
      </c>
      <c r="G971" s="114" t="s">
        <v>19</v>
      </c>
      <c r="M971" s="88" t="s">
        <v>924</v>
      </c>
      <c r="N971" s="72" t="s">
        <v>35</v>
      </c>
      <c r="O971" s="72" t="s">
        <v>52</v>
      </c>
      <c r="P971" s="72" t="s">
        <v>35</v>
      </c>
      <c r="Q971" s="89" t="s">
        <v>1922</v>
      </c>
    </row>
    <row r="972" spans="1:27">
      <c r="M972" s="90" t="s">
        <v>1958</v>
      </c>
      <c r="N972" s="91" t="s">
        <v>35</v>
      </c>
      <c r="O972" s="91" t="s">
        <v>52</v>
      </c>
      <c r="P972" s="91" t="s">
        <v>35</v>
      </c>
      <c r="Q972" s="92" t="s">
        <v>2041</v>
      </c>
    </row>
    <row r="975" spans="1:27">
      <c r="A975" s="214" t="s">
        <v>372</v>
      </c>
      <c r="B975" s="215"/>
      <c r="F975" s="85" t="s">
        <v>0</v>
      </c>
      <c r="G975" s="118" t="s">
        <v>1</v>
      </c>
      <c r="I975" s="85" t="s">
        <v>20</v>
      </c>
      <c r="J975" s="86" t="s">
        <v>21</v>
      </c>
      <c r="K975" s="87" t="s">
        <v>23</v>
      </c>
      <c r="M975" s="85" t="s">
        <v>27</v>
      </c>
      <c r="N975" s="86" t="s">
        <v>28</v>
      </c>
      <c r="O975" s="86" t="s">
        <v>29</v>
      </c>
      <c r="P975" s="86" t="s">
        <v>30</v>
      </c>
      <c r="Q975" s="87" t="s">
        <v>31</v>
      </c>
      <c r="S975" s="85" t="s">
        <v>56</v>
      </c>
      <c r="T975" s="87" t="s">
        <v>57</v>
      </c>
      <c r="U975" s="79"/>
      <c r="V975" s="85" t="s">
        <v>68</v>
      </c>
      <c r="W975" s="87" t="s">
        <v>69</v>
      </c>
      <c r="Y975" s="85" t="s">
        <v>85</v>
      </c>
      <c r="Z975" s="86" t="s">
        <v>88</v>
      </c>
      <c r="AA975" s="87" t="s">
        <v>89</v>
      </c>
    </row>
    <row r="976" spans="1:27">
      <c r="A976" s="216"/>
      <c r="B976" s="217"/>
      <c r="F976" s="88" t="s">
        <v>2</v>
      </c>
      <c r="G976" s="134" t="s">
        <v>2375</v>
      </c>
      <c r="I976" s="88" t="s">
        <v>24</v>
      </c>
      <c r="J976" s="72">
        <v>4</v>
      </c>
      <c r="K976" s="89">
        <v>260</v>
      </c>
      <c r="M976" s="88" t="s">
        <v>2376</v>
      </c>
      <c r="N976" s="72" t="s">
        <v>33</v>
      </c>
      <c r="O976" s="72" t="s">
        <v>34</v>
      </c>
      <c r="P976" s="72" t="s">
        <v>35</v>
      </c>
      <c r="Q976" s="89" t="s">
        <v>2255</v>
      </c>
      <c r="S976" s="88" t="s">
        <v>58</v>
      </c>
      <c r="T976" s="89" t="s">
        <v>2377</v>
      </c>
      <c r="V976" s="138" t="s">
        <v>70</v>
      </c>
      <c r="W976" s="139" t="s">
        <v>2378</v>
      </c>
      <c r="Y976" s="138" t="s">
        <v>90</v>
      </c>
      <c r="Z976" s="137">
        <v>260</v>
      </c>
      <c r="AA976" s="139">
        <v>150</v>
      </c>
    </row>
    <row r="977" spans="1:27">
      <c r="A977" s="216"/>
      <c r="B977" s="217"/>
      <c r="F977" s="88" t="s">
        <v>4</v>
      </c>
      <c r="G977" s="112" t="s">
        <v>894</v>
      </c>
      <c r="I977" s="88" t="s">
        <v>25</v>
      </c>
      <c r="J977" s="80">
        <v>6</v>
      </c>
      <c r="K977" s="89">
        <v>360</v>
      </c>
      <c r="M977" s="88" t="s">
        <v>1638</v>
      </c>
      <c r="N977" s="72" t="s">
        <v>33</v>
      </c>
      <c r="O977" s="72" t="s">
        <v>34</v>
      </c>
      <c r="P977" s="72" t="s">
        <v>35</v>
      </c>
      <c r="Q977" s="89" t="s">
        <v>1778</v>
      </c>
      <c r="S977" s="88" t="s">
        <v>60</v>
      </c>
      <c r="T977" s="89" t="s">
        <v>2258</v>
      </c>
      <c r="V977" s="135" t="s">
        <v>73</v>
      </c>
      <c r="W977" s="136" t="s">
        <v>2113</v>
      </c>
      <c r="Y977" s="88" t="s">
        <v>91</v>
      </c>
      <c r="Z977" s="72">
        <v>360</v>
      </c>
      <c r="AA977" s="89">
        <v>430</v>
      </c>
    </row>
    <row r="978" spans="1:27">
      <c r="A978" s="216"/>
      <c r="B978" s="217"/>
      <c r="F978" s="88" t="s">
        <v>6</v>
      </c>
      <c r="G978" s="112" t="s">
        <v>1484</v>
      </c>
      <c r="I978" s="90" t="s">
        <v>26</v>
      </c>
      <c r="J978" s="91"/>
      <c r="K978" s="92">
        <v>620</v>
      </c>
      <c r="M978" s="88" t="s">
        <v>1553</v>
      </c>
      <c r="N978" s="72" t="s">
        <v>33</v>
      </c>
      <c r="O978" s="72" t="s">
        <v>43</v>
      </c>
      <c r="P978" s="72" t="s">
        <v>33</v>
      </c>
      <c r="Q978" s="89" t="s">
        <v>1811</v>
      </c>
      <c r="S978" s="88" t="s">
        <v>62</v>
      </c>
      <c r="T978" s="89" t="s">
        <v>2379</v>
      </c>
      <c r="V978" s="88" t="s">
        <v>76</v>
      </c>
      <c r="W978" s="89" t="s">
        <v>2260</v>
      </c>
      <c r="Y978" s="88" t="s">
        <v>26</v>
      </c>
      <c r="Z978" s="72">
        <v>620</v>
      </c>
      <c r="AA978" s="89">
        <v>580</v>
      </c>
    </row>
    <row r="979" spans="1:27">
      <c r="A979" s="216"/>
      <c r="B979" s="217"/>
      <c r="F979" s="88" t="s">
        <v>8</v>
      </c>
      <c r="G979" s="112" t="s">
        <v>2380</v>
      </c>
      <c r="M979" s="88" t="s">
        <v>49</v>
      </c>
      <c r="N979" s="72" t="s">
        <v>33</v>
      </c>
      <c r="O979" s="72" t="s">
        <v>43</v>
      </c>
      <c r="P979" s="72" t="s">
        <v>33</v>
      </c>
      <c r="Q979" s="89" t="s">
        <v>2069</v>
      </c>
      <c r="S979" s="119" t="s">
        <v>64</v>
      </c>
      <c r="T979" s="120" t="s">
        <v>2381</v>
      </c>
      <c r="V979" s="88" t="s">
        <v>79</v>
      </c>
      <c r="W979" s="89" t="s">
        <v>1584</v>
      </c>
      <c r="Y979" s="90" t="s">
        <v>92</v>
      </c>
      <c r="Z979" s="91"/>
      <c r="AA979" s="122">
        <v>6.4000000000000001E-2</v>
      </c>
    </row>
    <row r="980" spans="1:27">
      <c r="A980" s="216"/>
      <c r="B980" s="217"/>
      <c r="F980" s="88" t="s">
        <v>10</v>
      </c>
      <c r="G980" s="112" t="s">
        <v>12</v>
      </c>
      <c r="M980" s="88" t="s">
        <v>2266</v>
      </c>
      <c r="N980" s="72" t="s">
        <v>35</v>
      </c>
      <c r="O980" s="72" t="s">
        <v>52</v>
      </c>
      <c r="P980" s="72" t="s">
        <v>35</v>
      </c>
      <c r="Q980" s="89" t="s">
        <v>1769</v>
      </c>
      <c r="S980" s="90" t="s">
        <v>66</v>
      </c>
      <c r="T980" s="133" t="s">
        <v>1917</v>
      </c>
      <c r="V980" s="90" t="s">
        <v>82</v>
      </c>
      <c r="W980" s="92" t="s">
        <v>2382</v>
      </c>
    </row>
    <row r="981" spans="1:27">
      <c r="A981" s="216"/>
      <c r="B981" s="217"/>
      <c r="F981" s="88" t="s">
        <v>13</v>
      </c>
      <c r="G981" t="s">
        <v>2383</v>
      </c>
      <c r="M981" s="88" t="s">
        <v>1972</v>
      </c>
      <c r="N981" s="72" t="s">
        <v>35</v>
      </c>
      <c r="O981" s="72" t="s">
        <v>52</v>
      </c>
      <c r="P981" s="72" t="s">
        <v>35</v>
      </c>
      <c r="Q981" s="89" t="s">
        <v>2162</v>
      </c>
    </row>
    <row r="982" spans="1:27">
      <c r="A982" s="216"/>
      <c r="B982" s="217"/>
      <c r="F982" s="88" t="s">
        <v>15</v>
      </c>
      <c r="G982" s="112" t="s">
        <v>2384</v>
      </c>
      <c r="M982" s="88" t="s">
        <v>924</v>
      </c>
      <c r="N982" s="72" t="s">
        <v>35</v>
      </c>
      <c r="O982" s="72" t="s">
        <v>52</v>
      </c>
      <c r="P982" s="72" t="s">
        <v>35</v>
      </c>
      <c r="Q982" s="89" t="s">
        <v>1922</v>
      </c>
    </row>
    <row r="983" spans="1:27">
      <c r="A983" s="216"/>
      <c r="B983" s="217"/>
      <c r="F983" s="119" t="s">
        <v>17</v>
      </c>
      <c r="G983" s="144">
        <v>46126</v>
      </c>
      <c r="M983" s="88" t="s">
        <v>1958</v>
      </c>
      <c r="N983" s="72" t="s">
        <v>35</v>
      </c>
      <c r="O983" s="72" t="s">
        <v>52</v>
      </c>
      <c r="P983" s="72" t="s">
        <v>35</v>
      </c>
      <c r="Q983" s="89" t="s">
        <v>2041</v>
      </c>
    </row>
    <row r="984" spans="1:27">
      <c r="A984" s="218"/>
      <c r="B984" s="219"/>
      <c r="F984" s="90" t="s">
        <v>18</v>
      </c>
      <c r="G984" s="114" t="s">
        <v>19</v>
      </c>
      <c r="M984" s="88" t="s">
        <v>1975</v>
      </c>
      <c r="N984" s="72" t="s">
        <v>35</v>
      </c>
      <c r="O984" s="72" t="s">
        <v>52</v>
      </c>
      <c r="P984" s="72" t="s">
        <v>35</v>
      </c>
      <c r="Q984" s="89" t="s">
        <v>1826</v>
      </c>
    </row>
    <row r="985" spans="1:27">
      <c r="M985" s="90" t="s">
        <v>1799</v>
      </c>
      <c r="N985" s="91" t="s">
        <v>35</v>
      </c>
      <c r="O985" s="91" t="s">
        <v>52</v>
      </c>
      <c r="P985" s="91" t="s">
        <v>35</v>
      </c>
      <c r="Q985" s="92" t="s">
        <v>1976</v>
      </c>
    </row>
    <row r="989" spans="1:27">
      <c r="A989" s="214" t="s">
        <v>374</v>
      </c>
      <c r="B989" s="215"/>
      <c r="F989" s="85" t="s">
        <v>0</v>
      </c>
      <c r="G989" s="118" t="s">
        <v>1</v>
      </c>
      <c r="I989" s="85" t="s">
        <v>20</v>
      </c>
      <c r="J989" s="86" t="s">
        <v>21</v>
      </c>
      <c r="K989" s="87" t="s">
        <v>23</v>
      </c>
      <c r="M989" s="85" t="s">
        <v>27</v>
      </c>
      <c r="N989" s="86" t="s">
        <v>28</v>
      </c>
      <c r="O989" s="86" t="s">
        <v>29</v>
      </c>
      <c r="P989" s="86" t="s">
        <v>30</v>
      </c>
      <c r="Q989" s="87" t="s">
        <v>31</v>
      </c>
      <c r="S989" s="85" t="s">
        <v>56</v>
      </c>
      <c r="T989" s="87" t="s">
        <v>57</v>
      </c>
      <c r="U989" s="79"/>
      <c r="V989" s="85" t="s">
        <v>68</v>
      </c>
      <c r="W989" s="87" t="s">
        <v>69</v>
      </c>
      <c r="Y989" s="85" t="s">
        <v>85</v>
      </c>
      <c r="Z989" s="86" t="s">
        <v>88</v>
      </c>
      <c r="AA989" s="87" t="s">
        <v>89</v>
      </c>
    </row>
    <row r="990" spans="1:27">
      <c r="A990" s="216"/>
      <c r="B990" s="217"/>
      <c r="F990" s="88" t="s">
        <v>2</v>
      </c>
      <c r="G990" s="134" t="s">
        <v>2385</v>
      </c>
      <c r="I990" s="88" t="s">
        <v>24</v>
      </c>
      <c r="J990" s="72">
        <v>6</v>
      </c>
      <c r="K990" s="89">
        <v>430</v>
      </c>
      <c r="M990" s="88" t="s">
        <v>2061</v>
      </c>
      <c r="N990" s="72" t="s">
        <v>33</v>
      </c>
      <c r="O990" s="72" t="s">
        <v>43</v>
      </c>
      <c r="P990" s="72" t="s">
        <v>33</v>
      </c>
      <c r="Q990" s="89" t="s">
        <v>1805</v>
      </c>
      <c r="S990" s="88" t="s">
        <v>58</v>
      </c>
      <c r="T990" s="89" t="s">
        <v>2386</v>
      </c>
      <c r="V990" s="138" t="s">
        <v>70</v>
      </c>
      <c r="W990" s="139" t="s">
        <v>2063</v>
      </c>
      <c r="Y990" s="138" t="s">
        <v>90</v>
      </c>
      <c r="Z990" s="137">
        <v>430</v>
      </c>
      <c r="AA990" s="139">
        <v>260</v>
      </c>
    </row>
    <row r="991" spans="1:27">
      <c r="A991" s="216"/>
      <c r="B991" s="217"/>
      <c r="F991" s="88" t="s">
        <v>4</v>
      </c>
      <c r="G991" s="112" t="s">
        <v>894</v>
      </c>
      <c r="I991" s="88" t="s">
        <v>25</v>
      </c>
      <c r="J991" s="80">
        <v>3</v>
      </c>
      <c r="K991" s="89">
        <v>240</v>
      </c>
      <c r="M991" s="88" t="s">
        <v>32</v>
      </c>
      <c r="N991" s="72" t="s">
        <v>33</v>
      </c>
      <c r="O991" s="72" t="s">
        <v>34</v>
      </c>
      <c r="P991" s="72" t="s">
        <v>35</v>
      </c>
      <c r="Q991" s="89" t="s">
        <v>1906</v>
      </c>
      <c r="S991" s="88" t="s">
        <v>60</v>
      </c>
      <c r="T991" s="89" t="s">
        <v>2064</v>
      </c>
      <c r="V991" s="135" t="s">
        <v>73</v>
      </c>
      <c r="W991" s="136" t="s">
        <v>2065</v>
      </c>
      <c r="Y991" s="88" t="s">
        <v>91</v>
      </c>
      <c r="Z991" s="72">
        <v>240</v>
      </c>
      <c r="AA991" s="89">
        <v>360</v>
      </c>
    </row>
    <row r="992" spans="1:27">
      <c r="A992" s="216"/>
      <c r="B992" s="217"/>
      <c r="F992" s="88" t="s">
        <v>6</v>
      </c>
      <c r="G992" s="112" t="s">
        <v>1484</v>
      </c>
      <c r="I992" s="90" t="s">
        <v>26</v>
      </c>
      <c r="J992" s="91"/>
      <c r="K992" s="92">
        <v>670</v>
      </c>
      <c r="M992" s="88" t="s">
        <v>1638</v>
      </c>
      <c r="N992" s="72" t="s">
        <v>33</v>
      </c>
      <c r="O992" s="72" t="s">
        <v>34</v>
      </c>
      <c r="P992" s="72" t="s">
        <v>35</v>
      </c>
      <c r="Q992" s="89" t="s">
        <v>1778</v>
      </c>
      <c r="S992" s="88" t="s">
        <v>62</v>
      </c>
      <c r="T992" s="89" t="s">
        <v>2387</v>
      </c>
      <c r="V992" s="88" t="s">
        <v>76</v>
      </c>
      <c r="W992" s="89" t="s">
        <v>2067</v>
      </c>
      <c r="Y992" s="88" t="s">
        <v>26</v>
      </c>
      <c r="Z992" s="72">
        <v>670</v>
      </c>
      <c r="AA992" s="89">
        <v>620</v>
      </c>
    </row>
    <row r="993" spans="1:27">
      <c r="A993" s="216"/>
      <c r="B993" s="217"/>
      <c r="F993" s="88" t="s">
        <v>8</v>
      </c>
      <c r="G993" s="112" t="s">
        <v>2388</v>
      </c>
      <c r="M993" s="88" t="s">
        <v>1553</v>
      </c>
      <c r="N993" s="72" t="s">
        <v>33</v>
      </c>
      <c r="O993" s="72" t="s">
        <v>43</v>
      </c>
      <c r="P993" s="72" t="s">
        <v>33</v>
      </c>
      <c r="Q993" s="89" t="s">
        <v>1811</v>
      </c>
      <c r="S993" s="119" t="s">
        <v>64</v>
      </c>
      <c r="T993" s="120" t="s">
        <v>2381</v>
      </c>
      <c r="V993" s="88" t="s">
        <v>79</v>
      </c>
      <c r="W993" s="89" t="s">
        <v>1759</v>
      </c>
      <c r="Y993" s="90" t="s">
        <v>92</v>
      </c>
      <c r="Z993" s="91"/>
      <c r="AA993" s="122">
        <v>7.4999999999999997E-2</v>
      </c>
    </row>
    <row r="994" spans="1:27">
      <c r="A994" s="216"/>
      <c r="B994" s="217"/>
      <c r="F994" s="88" t="s">
        <v>10</v>
      </c>
      <c r="G994" s="112" t="s">
        <v>12</v>
      </c>
      <c r="M994" s="88" t="s">
        <v>49</v>
      </c>
      <c r="N994" s="72" t="s">
        <v>33</v>
      </c>
      <c r="O994" s="72" t="s">
        <v>43</v>
      </c>
      <c r="P994" s="72" t="s">
        <v>33</v>
      </c>
      <c r="Q994" s="89" t="s">
        <v>2389</v>
      </c>
      <c r="S994" s="90" t="s">
        <v>66</v>
      </c>
      <c r="T994" s="133" t="s">
        <v>2390</v>
      </c>
      <c r="V994" s="90" t="s">
        <v>82</v>
      </c>
      <c r="W994" s="92" t="s">
        <v>2391</v>
      </c>
    </row>
    <row r="995" spans="1:27" ht="30.75">
      <c r="A995" s="216"/>
      <c r="B995" s="217"/>
      <c r="F995" s="88" t="s">
        <v>13</v>
      </c>
      <c r="G995" s="200" t="s">
        <v>2252</v>
      </c>
      <c r="M995" s="88" t="s">
        <v>1879</v>
      </c>
      <c r="N995" s="72" t="s">
        <v>33</v>
      </c>
      <c r="O995" s="72" t="s">
        <v>34</v>
      </c>
      <c r="P995" s="72" t="s">
        <v>35</v>
      </c>
      <c r="Q995" s="89" t="s">
        <v>2073</v>
      </c>
    </row>
    <row r="996" spans="1:27">
      <c r="A996" s="216"/>
      <c r="B996" s="217"/>
      <c r="F996" s="88" t="s">
        <v>15</v>
      </c>
      <c r="G996" s="112" t="s">
        <v>2392</v>
      </c>
      <c r="M996" s="88" t="s">
        <v>2074</v>
      </c>
      <c r="N996" s="72" t="s">
        <v>35</v>
      </c>
      <c r="O996" s="72" t="s">
        <v>52</v>
      </c>
      <c r="P996" s="72" t="s">
        <v>35</v>
      </c>
      <c r="Q996" s="89" t="s">
        <v>2393</v>
      </c>
    </row>
    <row r="997" spans="1:27">
      <c r="A997" s="216"/>
      <c r="B997" s="217"/>
      <c r="F997" s="119" t="s">
        <v>17</v>
      </c>
      <c r="G997" s="144">
        <v>46126</v>
      </c>
      <c r="M997" s="88" t="s">
        <v>924</v>
      </c>
      <c r="N997" s="72" t="s">
        <v>35</v>
      </c>
      <c r="O997" s="72" t="s">
        <v>52</v>
      </c>
      <c r="P997" s="72" t="s">
        <v>35</v>
      </c>
      <c r="Q997" s="89" t="s">
        <v>1922</v>
      </c>
    </row>
    <row r="998" spans="1:27">
      <c r="A998" s="218"/>
      <c r="B998" s="219"/>
      <c r="F998" s="90" t="s">
        <v>18</v>
      </c>
      <c r="G998" s="114" t="s">
        <v>19</v>
      </c>
      <c r="M998" s="90" t="s">
        <v>1958</v>
      </c>
      <c r="N998" s="91" t="s">
        <v>35</v>
      </c>
      <c r="O998" s="91" t="s">
        <v>52</v>
      </c>
      <c r="P998" s="91" t="s">
        <v>35</v>
      </c>
      <c r="Q998" s="92" t="s">
        <v>2041</v>
      </c>
    </row>
    <row r="1003" spans="1:27">
      <c r="A1003" s="214" t="s">
        <v>378</v>
      </c>
      <c r="B1003" s="215"/>
      <c r="F1003" s="85" t="s">
        <v>0</v>
      </c>
      <c r="G1003" s="118" t="s">
        <v>1</v>
      </c>
      <c r="I1003" s="85" t="s">
        <v>20</v>
      </c>
      <c r="J1003" s="86" t="s">
        <v>21</v>
      </c>
      <c r="K1003" s="87" t="s">
        <v>23</v>
      </c>
      <c r="M1003" s="85" t="s">
        <v>27</v>
      </c>
      <c r="N1003" s="86" t="s">
        <v>28</v>
      </c>
      <c r="O1003" s="86" t="s">
        <v>29</v>
      </c>
      <c r="P1003" s="86" t="s">
        <v>30</v>
      </c>
      <c r="Q1003" s="87" t="s">
        <v>31</v>
      </c>
      <c r="S1003" s="85" t="s">
        <v>56</v>
      </c>
      <c r="T1003" s="87" t="s">
        <v>57</v>
      </c>
      <c r="U1003" s="79"/>
      <c r="V1003" s="85" t="s">
        <v>68</v>
      </c>
      <c r="W1003" s="87" t="s">
        <v>69</v>
      </c>
      <c r="Y1003" s="85" t="s">
        <v>85</v>
      </c>
      <c r="Z1003" s="86" t="s">
        <v>88</v>
      </c>
      <c r="AA1003" s="87" t="s">
        <v>89</v>
      </c>
    </row>
    <row r="1004" spans="1:27">
      <c r="A1004" s="216"/>
      <c r="B1004" s="217"/>
      <c r="F1004" s="88" t="s">
        <v>2</v>
      </c>
      <c r="G1004" s="134" t="s">
        <v>2394</v>
      </c>
      <c r="I1004" s="88" t="s">
        <v>24</v>
      </c>
      <c r="J1004" s="72">
        <v>7</v>
      </c>
      <c r="K1004" s="89">
        <v>505</v>
      </c>
      <c r="M1004" s="88" t="s">
        <v>1430</v>
      </c>
      <c r="N1004" s="72" t="s">
        <v>33</v>
      </c>
      <c r="O1004" s="72" t="s">
        <v>34</v>
      </c>
      <c r="P1004" s="72" t="s">
        <v>35</v>
      </c>
      <c r="Q1004" s="89" t="s">
        <v>2395</v>
      </c>
      <c r="S1004" s="88" t="s">
        <v>58</v>
      </c>
      <c r="T1004" s="89" t="s">
        <v>2046</v>
      </c>
      <c r="V1004" s="138" t="s">
        <v>70</v>
      </c>
      <c r="W1004" s="139" t="s">
        <v>2138</v>
      </c>
      <c r="Y1004" s="138" t="s">
        <v>90</v>
      </c>
      <c r="Z1004" s="137">
        <v>505</v>
      </c>
      <c r="AA1004" s="139">
        <v>300</v>
      </c>
    </row>
    <row r="1005" spans="1:27">
      <c r="A1005" s="216"/>
      <c r="B1005" s="217"/>
      <c r="F1005" s="88" t="s">
        <v>4</v>
      </c>
      <c r="G1005" s="112" t="s">
        <v>894</v>
      </c>
      <c r="I1005" s="88" t="s">
        <v>25</v>
      </c>
      <c r="J1005" s="80">
        <v>3</v>
      </c>
      <c r="K1005" s="89">
        <v>215</v>
      </c>
      <c r="M1005" s="88" t="s">
        <v>1841</v>
      </c>
      <c r="N1005" s="72" t="s">
        <v>33</v>
      </c>
      <c r="O1005" s="72" t="s">
        <v>43</v>
      </c>
      <c r="P1005" s="72" t="s">
        <v>33</v>
      </c>
      <c r="Q1005" s="89" t="s">
        <v>1609</v>
      </c>
      <c r="S1005" s="88" t="s">
        <v>60</v>
      </c>
      <c r="T1005" s="89" t="s">
        <v>2396</v>
      </c>
      <c r="V1005" s="135" t="s">
        <v>73</v>
      </c>
      <c r="W1005" s="136" t="s">
        <v>2307</v>
      </c>
      <c r="Y1005" s="88" t="s">
        <v>91</v>
      </c>
      <c r="Z1005" s="72">
        <v>215</v>
      </c>
      <c r="AA1005" s="89">
        <v>340</v>
      </c>
    </row>
    <row r="1006" spans="1:27">
      <c r="A1006" s="216"/>
      <c r="B1006" s="217"/>
      <c r="F1006" s="88" t="s">
        <v>6</v>
      </c>
      <c r="G1006" s="112" t="s">
        <v>895</v>
      </c>
      <c r="I1006" s="90" t="s">
        <v>26</v>
      </c>
      <c r="J1006" s="91"/>
      <c r="K1006" s="92">
        <v>720</v>
      </c>
      <c r="M1006" s="88" t="s">
        <v>2397</v>
      </c>
      <c r="N1006" s="72" t="s">
        <v>33</v>
      </c>
      <c r="O1006" s="72" t="s">
        <v>43</v>
      </c>
      <c r="P1006" s="72" t="s">
        <v>33</v>
      </c>
      <c r="Q1006" s="89" t="s">
        <v>1871</v>
      </c>
      <c r="S1006" s="88" t="s">
        <v>62</v>
      </c>
      <c r="T1006" s="89" t="s">
        <v>2016</v>
      </c>
      <c r="V1006" s="88" t="s">
        <v>76</v>
      </c>
      <c r="W1006" s="89" t="s">
        <v>2140</v>
      </c>
      <c r="Y1006" s="88" t="s">
        <v>26</v>
      </c>
      <c r="Z1006" s="72">
        <v>720</v>
      </c>
      <c r="AA1006" s="89">
        <v>640</v>
      </c>
    </row>
    <row r="1007" spans="1:27">
      <c r="A1007" s="216"/>
      <c r="B1007" s="217"/>
      <c r="F1007" s="88" t="s">
        <v>8</v>
      </c>
      <c r="G1007" s="112" t="s">
        <v>2398</v>
      </c>
      <c r="M1007" s="88" t="s">
        <v>1777</v>
      </c>
      <c r="N1007" s="72" t="s">
        <v>33</v>
      </c>
      <c r="O1007" s="72" t="s">
        <v>34</v>
      </c>
      <c r="P1007" s="72" t="s">
        <v>35</v>
      </c>
      <c r="Q1007" s="89" t="s">
        <v>1778</v>
      </c>
      <c r="S1007" s="119" t="s">
        <v>64</v>
      </c>
      <c r="T1007" s="120" t="s">
        <v>2399</v>
      </c>
      <c r="V1007" s="88" t="s">
        <v>79</v>
      </c>
      <c r="W1007" s="89" t="s">
        <v>945</v>
      </c>
      <c r="Y1007" s="90" t="s">
        <v>92</v>
      </c>
      <c r="Z1007" s="91"/>
      <c r="AA1007" s="122">
        <v>0.111</v>
      </c>
    </row>
    <row r="1008" spans="1:27">
      <c r="A1008" s="216"/>
      <c r="B1008" s="217"/>
      <c r="F1008" s="88" t="s">
        <v>10</v>
      </c>
      <c r="G1008" s="112" t="s">
        <v>1494</v>
      </c>
      <c r="M1008" s="88" t="s">
        <v>2400</v>
      </c>
      <c r="N1008" s="72" t="s">
        <v>33</v>
      </c>
      <c r="O1008" s="72" t="s">
        <v>43</v>
      </c>
      <c r="P1008" s="72" t="s">
        <v>33</v>
      </c>
      <c r="Q1008" s="89" t="s">
        <v>2142</v>
      </c>
      <c r="S1008" s="90" t="s">
        <v>66</v>
      </c>
      <c r="T1008" s="133" t="s">
        <v>1988</v>
      </c>
      <c r="V1008" s="90" t="s">
        <v>82</v>
      </c>
      <c r="W1008" s="92" t="s">
        <v>2401</v>
      </c>
    </row>
    <row r="1009" spans="1:27" ht="30.75">
      <c r="A1009" s="216"/>
      <c r="B1009" s="217"/>
      <c r="F1009" s="88" t="s">
        <v>13</v>
      </c>
      <c r="G1009" s="200" t="s">
        <v>2402</v>
      </c>
      <c r="M1009" s="88" t="s">
        <v>42</v>
      </c>
      <c r="N1009" s="72" t="s">
        <v>33</v>
      </c>
      <c r="O1009" s="72" t="s">
        <v>43</v>
      </c>
      <c r="P1009" s="72" t="s">
        <v>33</v>
      </c>
      <c r="Q1009" s="89" t="s">
        <v>1784</v>
      </c>
    </row>
    <row r="1010" spans="1:27">
      <c r="A1010" s="216"/>
      <c r="B1010" s="217"/>
      <c r="F1010" s="88" t="s">
        <v>15</v>
      </c>
      <c r="G1010" s="112" t="s">
        <v>2403</v>
      </c>
      <c r="M1010" s="88" t="s">
        <v>2333</v>
      </c>
      <c r="N1010" s="72" t="s">
        <v>33</v>
      </c>
      <c r="O1010" s="72" t="s">
        <v>34</v>
      </c>
      <c r="P1010" s="72" t="s">
        <v>35</v>
      </c>
      <c r="Q1010" s="89" t="s">
        <v>2404</v>
      </c>
    </row>
    <row r="1011" spans="1:27">
      <c r="A1011" s="216"/>
      <c r="B1011" s="217"/>
      <c r="F1011" s="119" t="s">
        <v>17</v>
      </c>
      <c r="G1011" s="144">
        <v>46126</v>
      </c>
      <c r="M1011" s="88" t="s">
        <v>1972</v>
      </c>
      <c r="N1011" s="72" t="s">
        <v>35</v>
      </c>
      <c r="O1011" s="72" t="s">
        <v>52</v>
      </c>
      <c r="P1011" s="72" t="s">
        <v>35</v>
      </c>
      <c r="Q1011" s="89" t="s">
        <v>2162</v>
      </c>
    </row>
    <row r="1012" spans="1:27">
      <c r="A1012" s="218"/>
      <c r="B1012" s="219"/>
      <c r="F1012" s="90" t="s">
        <v>18</v>
      </c>
      <c r="G1012" s="114" t="s">
        <v>19</v>
      </c>
      <c r="M1012" s="88" t="s">
        <v>2405</v>
      </c>
      <c r="N1012" s="72" t="s">
        <v>35</v>
      </c>
      <c r="O1012" s="72" t="s">
        <v>52</v>
      </c>
      <c r="P1012" s="72" t="s">
        <v>35</v>
      </c>
      <c r="Q1012" s="89" t="s">
        <v>1922</v>
      </c>
    </row>
    <row r="1013" spans="1:27">
      <c r="M1013" s="90" t="s">
        <v>1904</v>
      </c>
      <c r="N1013" s="91" t="s">
        <v>35</v>
      </c>
      <c r="O1013" s="91" t="s">
        <v>52</v>
      </c>
      <c r="P1013" s="91" t="s">
        <v>35</v>
      </c>
      <c r="Q1013" s="92" t="s">
        <v>2041</v>
      </c>
    </row>
    <row r="1017" spans="1:27">
      <c r="A1017" s="214" t="s">
        <v>380</v>
      </c>
      <c r="B1017" s="215"/>
      <c r="F1017" s="85" t="s">
        <v>0</v>
      </c>
      <c r="G1017" s="118" t="s">
        <v>1</v>
      </c>
      <c r="I1017" s="85" t="s">
        <v>20</v>
      </c>
      <c r="J1017" s="86" t="s">
        <v>21</v>
      </c>
      <c r="K1017" s="87" t="s">
        <v>23</v>
      </c>
      <c r="M1017" s="85" t="s">
        <v>27</v>
      </c>
      <c r="N1017" s="86" t="s">
        <v>28</v>
      </c>
      <c r="O1017" s="86" t="s">
        <v>29</v>
      </c>
      <c r="P1017" s="86" t="s">
        <v>30</v>
      </c>
      <c r="Q1017" s="87" t="s">
        <v>31</v>
      </c>
      <c r="S1017" s="85" t="s">
        <v>56</v>
      </c>
      <c r="T1017" s="87" t="s">
        <v>57</v>
      </c>
      <c r="U1017" s="79"/>
      <c r="V1017" s="85" t="s">
        <v>68</v>
      </c>
      <c r="W1017" s="87" t="s">
        <v>69</v>
      </c>
      <c r="Y1017" s="85" t="s">
        <v>85</v>
      </c>
      <c r="Z1017" s="86" t="s">
        <v>88</v>
      </c>
      <c r="AA1017" s="87" t="s">
        <v>89</v>
      </c>
    </row>
    <row r="1018" spans="1:27">
      <c r="A1018" s="216"/>
      <c r="B1018" s="217"/>
      <c r="F1018" s="88" t="s">
        <v>2</v>
      </c>
      <c r="G1018" s="134" t="s">
        <v>2406</v>
      </c>
      <c r="I1018" s="88" t="s">
        <v>24</v>
      </c>
      <c r="J1018" s="72">
        <v>5</v>
      </c>
      <c r="K1018" s="89">
        <v>360</v>
      </c>
      <c r="M1018" s="88" t="s">
        <v>2061</v>
      </c>
      <c r="N1018" s="72" t="s">
        <v>33</v>
      </c>
      <c r="O1018" s="72" t="s">
        <v>43</v>
      </c>
      <c r="P1018" s="72" t="s">
        <v>33</v>
      </c>
      <c r="Q1018" s="89" t="s">
        <v>2407</v>
      </c>
      <c r="S1018" s="88" t="s">
        <v>58</v>
      </c>
      <c r="T1018" s="89" t="s">
        <v>2386</v>
      </c>
      <c r="V1018" s="138" t="s">
        <v>70</v>
      </c>
      <c r="W1018" s="139" t="s">
        <v>2408</v>
      </c>
      <c r="Y1018" s="138" t="s">
        <v>90</v>
      </c>
      <c r="Z1018" s="137">
        <v>360</v>
      </c>
      <c r="AA1018" s="139">
        <v>210</v>
      </c>
    </row>
    <row r="1019" spans="1:27">
      <c r="A1019" s="216"/>
      <c r="B1019" s="217"/>
      <c r="F1019" s="88" t="s">
        <v>4</v>
      </c>
      <c r="G1019" s="112" t="s">
        <v>894</v>
      </c>
      <c r="I1019" s="88" t="s">
        <v>25</v>
      </c>
      <c r="J1019" s="80">
        <v>4</v>
      </c>
      <c r="K1019" s="89">
        <v>290</v>
      </c>
      <c r="M1019" s="88" t="s">
        <v>32</v>
      </c>
      <c r="N1019" s="72" t="s">
        <v>33</v>
      </c>
      <c r="O1019" s="72" t="s">
        <v>34</v>
      </c>
      <c r="P1019" s="72" t="s">
        <v>35</v>
      </c>
      <c r="Q1019" s="89" t="s">
        <v>1906</v>
      </c>
      <c r="S1019" s="88" t="s">
        <v>60</v>
      </c>
      <c r="T1019" s="89" t="s">
        <v>2064</v>
      </c>
      <c r="V1019" s="135" t="s">
        <v>73</v>
      </c>
      <c r="W1019" s="136" t="s">
        <v>2113</v>
      </c>
      <c r="Y1019" s="88" t="s">
        <v>91</v>
      </c>
      <c r="Z1019" s="72">
        <v>290</v>
      </c>
      <c r="AA1019" s="89">
        <v>380</v>
      </c>
    </row>
    <row r="1020" spans="1:27">
      <c r="A1020" s="216"/>
      <c r="B1020" s="217"/>
      <c r="F1020" s="88" t="s">
        <v>6</v>
      </c>
      <c r="G1020" s="112" t="s">
        <v>895</v>
      </c>
      <c r="I1020" s="90" t="s">
        <v>26</v>
      </c>
      <c r="J1020" s="91"/>
      <c r="K1020" s="92">
        <v>650</v>
      </c>
      <c r="M1020" s="88" t="s">
        <v>1638</v>
      </c>
      <c r="N1020" s="72" t="s">
        <v>33</v>
      </c>
      <c r="O1020" s="72" t="s">
        <v>34</v>
      </c>
      <c r="P1020" s="72" t="s">
        <v>35</v>
      </c>
      <c r="Q1020" s="89" t="s">
        <v>1967</v>
      </c>
      <c r="S1020" s="88" t="s">
        <v>62</v>
      </c>
      <c r="T1020" s="89" t="s">
        <v>2387</v>
      </c>
      <c r="V1020" s="88" t="s">
        <v>76</v>
      </c>
      <c r="W1020" s="89" t="s">
        <v>2067</v>
      </c>
      <c r="Y1020" s="88" t="s">
        <v>26</v>
      </c>
      <c r="Z1020" s="72">
        <v>650</v>
      </c>
      <c r="AA1020" s="89">
        <v>590</v>
      </c>
    </row>
    <row r="1021" spans="1:27">
      <c r="A1021" s="216"/>
      <c r="B1021" s="217"/>
      <c r="F1021" s="88" t="s">
        <v>8</v>
      </c>
      <c r="G1021" s="112" t="s">
        <v>2409</v>
      </c>
      <c r="M1021" s="88" t="s">
        <v>1553</v>
      </c>
      <c r="N1021" s="72" t="s">
        <v>33</v>
      </c>
      <c r="O1021" s="72" t="s">
        <v>43</v>
      </c>
      <c r="P1021" s="72" t="s">
        <v>33</v>
      </c>
      <c r="Q1021" s="89" t="s">
        <v>1811</v>
      </c>
      <c r="S1021" s="119" t="s">
        <v>64</v>
      </c>
      <c r="T1021" s="120" t="s">
        <v>2410</v>
      </c>
      <c r="V1021" s="88" t="s">
        <v>79</v>
      </c>
      <c r="W1021" s="89" t="s">
        <v>1584</v>
      </c>
      <c r="Y1021" s="90" t="s">
        <v>92</v>
      </c>
      <c r="Z1021" s="91"/>
      <c r="AA1021" s="122">
        <v>9.1999999999999998E-2</v>
      </c>
    </row>
    <row r="1022" spans="1:27">
      <c r="A1022" s="216"/>
      <c r="B1022" s="217"/>
      <c r="F1022" s="88" t="s">
        <v>10</v>
      </c>
      <c r="G1022" s="112" t="s">
        <v>12</v>
      </c>
      <c r="M1022" s="88" t="s">
        <v>49</v>
      </c>
      <c r="N1022" s="72" t="s">
        <v>33</v>
      </c>
      <c r="O1022" s="72" t="s">
        <v>43</v>
      </c>
      <c r="P1022" s="72" t="s">
        <v>33</v>
      </c>
      <c r="Q1022" s="89" t="s">
        <v>2411</v>
      </c>
      <c r="S1022" s="90" t="s">
        <v>66</v>
      </c>
      <c r="T1022" s="133" t="s">
        <v>2412</v>
      </c>
      <c r="V1022" s="90" t="s">
        <v>82</v>
      </c>
      <c r="W1022" s="92" t="s">
        <v>2391</v>
      </c>
    </row>
    <row r="1023" spans="1:27">
      <c r="A1023" s="216"/>
      <c r="B1023" s="217"/>
      <c r="F1023" s="88" t="s">
        <v>13</v>
      </c>
      <c r="G1023" t="s">
        <v>2413</v>
      </c>
      <c r="M1023" s="88" t="s">
        <v>2074</v>
      </c>
      <c r="N1023" s="72" t="s">
        <v>35</v>
      </c>
      <c r="O1023" s="72" t="s">
        <v>52</v>
      </c>
      <c r="P1023" s="72" t="s">
        <v>35</v>
      </c>
      <c r="Q1023" s="89" t="s">
        <v>2393</v>
      </c>
    </row>
    <row r="1024" spans="1:27">
      <c r="A1024" s="216"/>
      <c r="B1024" s="217"/>
      <c r="F1024" s="88" t="s">
        <v>15</v>
      </c>
      <c r="G1024" s="112" t="s">
        <v>2414</v>
      </c>
      <c r="M1024" s="88" t="s">
        <v>2405</v>
      </c>
      <c r="N1024" s="72" t="s">
        <v>35</v>
      </c>
      <c r="O1024" s="72" t="s">
        <v>52</v>
      </c>
      <c r="P1024" s="72" t="s">
        <v>35</v>
      </c>
      <c r="Q1024" s="89" t="s">
        <v>1903</v>
      </c>
    </row>
    <row r="1025" spans="1:27">
      <c r="A1025" s="216"/>
      <c r="B1025" s="217"/>
      <c r="F1025" s="119" t="s">
        <v>17</v>
      </c>
      <c r="G1025" s="144">
        <v>46126</v>
      </c>
      <c r="M1025" s="88" t="s">
        <v>1958</v>
      </c>
      <c r="N1025" s="72" t="s">
        <v>35</v>
      </c>
      <c r="O1025" s="72" t="s">
        <v>52</v>
      </c>
      <c r="P1025" s="72" t="s">
        <v>35</v>
      </c>
      <c r="Q1025" s="89" t="s">
        <v>2041</v>
      </c>
    </row>
    <row r="1026" spans="1:27">
      <c r="A1026" s="218"/>
      <c r="B1026" s="219"/>
      <c r="F1026" s="90" t="s">
        <v>18</v>
      </c>
      <c r="G1026" s="114" t="s">
        <v>19</v>
      </c>
      <c r="M1026" s="90" t="s">
        <v>1975</v>
      </c>
      <c r="N1026" s="91" t="s">
        <v>35</v>
      </c>
      <c r="O1026" s="91" t="s">
        <v>52</v>
      </c>
      <c r="P1026" s="91" t="s">
        <v>35</v>
      </c>
      <c r="Q1026" s="92" t="s">
        <v>1826</v>
      </c>
    </row>
    <row r="1031" spans="1:27">
      <c r="A1031" s="214" t="s">
        <v>382</v>
      </c>
      <c r="B1031" s="215"/>
      <c r="F1031" s="85" t="s">
        <v>0</v>
      </c>
      <c r="G1031" s="118" t="s">
        <v>1</v>
      </c>
      <c r="I1031" s="85" t="s">
        <v>20</v>
      </c>
      <c r="J1031" s="86" t="s">
        <v>21</v>
      </c>
      <c r="K1031" s="87" t="s">
        <v>23</v>
      </c>
      <c r="M1031" s="85" t="s">
        <v>27</v>
      </c>
      <c r="N1031" s="86" t="s">
        <v>28</v>
      </c>
      <c r="O1031" s="86" t="s">
        <v>29</v>
      </c>
      <c r="P1031" s="86" t="s">
        <v>30</v>
      </c>
      <c r="Q1031" s="87" t="s">
        <v>31</v>
      </c>
      <c r="S1031" s="85" t="s">
        <v>56</v>
      </c>
      <c r="T1031" s="87" t="s">
        <v>57</v>
      </c>
      <c r="U1031" s="79"/>
      <c r="V1031" s="85" t="s">
        <v>68</v>
      </c>
      <c r="W1031" s="87" t="s">
        <v>69</v>
      </c>
      <c r="Y1031" s="85" t="s">
        <v>85</v>
      </c>
      <c r="Z1031" s="86" t="s">
        <v>88</v>
      </c>
      <c r="AA1031" s="87" t="s">
        <v>89</v>
      </c>
    </row>
    <row r="1032" spans="1:27">
      <c r="A1032" s="216"/>
      <c r="B1032" s="217"/>
      <c r="F1032" s="88" t="s">
        <v>2</v>
      </c>
      <c r="G1032" s="134" t="s">
        <v>2415</v>
      </c>
      <c r="I1032" s="88" t="s">
        <v>24</v>
      </c>
      <c r="J1032" s="72">
        <v>6</v>
      </c>
      <c r="K1032" s="89">
        <v>420</v>
      </c>
      <c r="M1032" s="88" t="s">
        <v>2416</v>
      </c>
      <c r="N1032" s="72" t="s">
        <v>33</v>
      </c>
      <c r="O1032" s="72" t="s">
        <v>43</v>
      </c>
      <c r="P1032" s="72" t="s">
        <v>33</v>
      </c>
      <c r="Q1032" s="89" t="s">
        <v>2417</v>
      </c>
      <c r="S1032" s="88" t="s">
        <v>58</v>
      </c>
      <c r="T1032" s="89" t="s">
        <v>2046</v>
      </c>
      <c r="V1032" s="138" t="s">
        <v>70</v>
      </c>
      <c r="W1032" s="139" t="s">
        <v>2418</v>
      </c>
      <c r="Y1032" s="138" t="s">
        <v>90</v>
      </c>
      <c r="Z1032" s="137">
        <v>420</v>
      </c>
      <c r="AA1032" s="139">
        <v>260</v>
      </c>
    </row>
    <row r="1033" spans="1:27">
      <c r="A1033" s="216"/>
      <c r="B1033" s="217"/>
      <c r="F1033" s="88" t="s">
        <v>4</v>
      </c>
      <c r="G1033" s="112" t="s">
        <v>894</v>
      </c>
      <c r="I1033" s="88" t="s">
        <v>25</v>
      </c>
      <c r="J1033" s="80">
        <v>5</v>
      </c>
      <c r="K1033" s="89">
        <v>320</v>
      </c>
      <c r="M1033" s="88" t="s">
        <v>32</v>
      </c>
      <c r="N1033" s="72" t="s">
        <v>33</v>
      </c>
      <c r="O1033" s="72" t="s">
        <v>34</v>
      </c>
      <c r="P1033" s="72" t="s">
        <v>35</v>
      </c>
      <c r="Q1033" s="89" t="s">
        <v>1906</v>
      </c>
      <c r="S1033" s="88" t="s">
        <v>60</v>
      </c>
      <c r="T1033" s="89" t="s">
        <v>2419</v>
      </c>
      <c r="V1033" s="135" t="s">
        <v>73</v>
      </c>
      <c r="W1033" s="136" t="s">
        <v>2065</v>
      </c>
      <c r="Y1033" s="88" t="s">
        <v>91</v>
      </c>
      <c r="Z1033" s="72">
        <v>320</v>
      </c>
      <c r="AA1033" s="89">
        <v>420</v>
      </c>
    </row>
    <row r="1034" spans="1:27">
      <c r="A1034" s="216"/>
      <c r="B1034" s="217"/>
      <c r="F1034" s="88" t="s">
        <v>6</v>
      </c>
      <c r="G1034" s="112" t="s">
        <v>1484</v>
      </c>
      <c r="I1034" s="90" t="s">
        <v>26</v>
      </c>
      <c r="J1034" s="91"/>
      <c r="K1034" s="92">
        <v>740</v>
      </c>
      <c r="M1034" s="88" t="s">
        <v>1638</v>
      </c>
      <c r="N1034" s="72" t="s">
        <v>33</v>
      </c>
      <c r="O1034" s="72" t="s">
        <v>34</v>
      </c>
      <c r="P1034" s="72" t="s">
        <v>35</v>
      </c>
      <c r="Q1034" s="89" t="s">
        <v>1778</v>
      </c>
      <c r="S1034" s="88" t="s">
        <v>62</v>
      </c>
      <c r="T1034" s="89" t="s">
        <v>2420</v>
      </c>
      <c r="V1034" s="88" t="s">
        <v>76</v>
      </c>
      <c r="W1034" s="89" t="s">
        <v>2080</v>
      </c>
      <c r="Y1034" s="88" t="s">
        <v>26</v>
      </c>
      <c r="Z1034" s="72">
        <v>740</v>
      </c>
      <c r="AA1034" s="89">
        <v>680</v>
      </c>
    </row>
    <row r="1035" spans="1:27">
      <c r="A1035" s="216"/>
      <c r="B1035" s="217"/>
      <c r="F1035" s="88" t="s">
        <v>8</v>
      </c>
      <c r="G1035" s="112" t="s">
        <v>2421</v>
      </c>
      <c r="M1035" s="88" t="s">
        <v>1553</v>
      </c>
      <c r="N1035" s="72" t="s">
        <v>33</v>
      </c>
      <c r="O1035" s="72" t="s">
        <v>43</v>
      </c>
      <c r="P1035" s="72" t="s">
        <v>33</v>
      </c>
      <c r="Q1035" s="89" t="s">
        <v>1811</v>
      </c>
      <c r="S1035" s="119" t="s">
        <v>64</v>
      </c>
      <c r="T1035" s="120" t="s">
        <v>2422</v>
      </c>
      <c r="V1035" s="88" t="s">
        <v>79</v>
      </c>
      <c r="W1035" s="89" t="s">
        <v>1759</v>
      </c>
      <c r="Y1035" s="90" t="s">
        <v>92</v>
      </c>
      <c r="Z1035" s="91"/>
      <c r="AA1035" s="122">
        <v>8.1000000000000003E-2</v>
      </c>
    </row>
    <row r="1036" spans="1:27">
      <c r="A1036" s="216"/>
      <c r="B1036" s="217"/>
      <c r="F1036" s="88" t="s">
        <v>10</v>
      </c>
      <c r="G1036" s="112" t="s">
        <v>12</v>
      </c>
      <c r="M1036" s="88" t="s">
        <v>49</v>
      </c>
      <c r="N1036" s="72" t="s">
        <v>33</v>
      </c>
      <c r="O1036" s="72" t="s">
        <v>43</v>
      </c>
      <c r="P1036" s="72" t="s">
        <v>33</v>
      </c>
      <c r="Q1036" s="89" t="s">
        <v>2423</v>
      </c>
      <c r="S1036" s="90" t="s">
        <v>66</v>
      </c>
      <c r="T1036" s="133" t="s">
        <v>2424</v>
      </c>
      <c r="V1036" s="90" t="s">
        <v>82</v>
      </c>
      <c r="W1036" s="92" t="s">
        <v>2425</v>
      </c>
    </row>
    <row r="1037" spans="1:27">
      <c r="A1037" s="216"/>
      <c r="B1037" s="217"/>
      <c r="F1037" s="88" t="s">
        <v>13</v>
      </c>
      <c r="G1037" t="s">
        <v>2426</v>
      </c>
      <c r="M1037" s="88" t="s">
        <v>1879</v>
      </c>
      <c r="N1037" s="72" t="s">
        <v>33</v>
      </c>
      <c r="O1037" s="72" t="s">
        <v>34</v>
      </c>
      <c r="P1037" s="72" t="s">
        <v>35</v>
      </c>
      <c r="Q1037" s="89" t="s">
        <v>2073</v>
      </c>
    </row>
    <row r="1038" spans="1:27">
      <c r="A1038" s="216"/>
      <c r="B1038" s="217"/>
      <c r="F1038" s="88" t="s">
        <v>15</v>
      </c>
      <c r="G1038" s="112" t="s">
        <v>2427</v>
      </c>
      <c r="M1038" s="88" t="s">
        <v>1972</v>
      </c>
      <c r="N1038" s="72" t="s">
        <v>35</v>
      </c>
      <c r="O1038" s="72" t="s">
        <v>52</v>
      </c>
      <c r="P1038" s="72" t="s">
        <v>35</v>
      </c>
      <c r="Q1038" s="89" t="s">
        <v>2162</v>
      </c>
    </row>
    <row r="1039" spans="1:27">
      <c r="A1039" s="216"/>
      <c r="B1039" s="217"/>
      <c r="F1039" s="119" t="s">
        <v>17</v>
      </c>
      <c r="G1039" s="144">
        <v>46126</v>
      </c>
      <c r="M1039" s="88" t="s">
        <v>2405</v>
      </c>
      <c r="N1039" s="72" t="s">
        <v>35</v>
      </c>
      <c r="O1039" s="72" t="s">
        <v>52</v>
      </c>
      <c r="P1039" s="72" t="s">
        <v>35</v>
      </c>
      <c r="Q1039" s="89" t="s">
        <v>1922</v>
      </c>
    </row>
    <row r="1040" spans="1:27">
      <c r="A1040" s="218"/>
      <c r="B1040" s="219"/>
      <c r="F1040" s="90" t="s">
        <v>18</v>
      </c>
      <c r="G1040" s="114" t="s">
        <v>19</v>
      </c>
      <c r="M1040" s="88" t="s">
        <v>1904</v>
      </c>
      <c r="N1040" s="72" t="s">
        <v>35</v>
      </c>
      <c r="O1040" s="72" t="s">
        <v>52</v>
      </c>
      <c r="P1040" s="72" t="s">
        <v>35</v>
      </c>
      <c r="Q1040" s="89" t="s">
        <v>2041</v>
      </c>
    </row>
    <row r="1041" spans="1:27">
      <c r="M1041" s="88" t="s">
        <v>1975</v>
      </c>
      <c r="N1041" s="72" t="s">
        <v>35</v>
      </c>
      <c r="O1041" s="72" t="s">
        <v>52</v>
      </c>
      <c r="P1041" s="72" t="s">
        <v>35</v>
      </c>
      <c r="Q1041" s="89" t="s">
        <v>1826</v>
      </c>
    </row>
    <row r="1042" spans="1:27">
      <c r="M1042" s="90" t="s">
        <v>2428</v>
      </c>
      <c r="N1042" s="91" t="s">
        <v>35</v>
      </c>
      <c r="O1042" s="91" t="s">
        <v>52</v>
      </c>
      <c r="P1042" s="91" t="s">
        <v>35</v>
      </c>
      <c r="Q1042" s="92" t="s">
        <v>1976</v>
      </c>
    </row>
    <row r="1045" spans="1:27">
      <c r="A1045" s="214" t="s">
        <v>384</v>
      </c>
      <c r="B1045" s="215"/>
      <c r="F1045" s="85" t="s">
        <v>0</v>
      </c>
      <c r="G1045" s="118" t="s">
        <v>1</v>
      </c>
      <c r="I1045" s="85" t="s">
        <v>20</v>
      </c>
      <c r="J1045" s="86" t="s">
        <v>21</v>
      </c>
      <c r="K1045" s="87" t="s">
        <v>23</v>
      </c>
      <c r="M1045" s="85" t="s">
        <v>27</v>
      </c>
      <c r="N1045" s="86" t="s">
        <v>28</v>
      </c>
      <c r="O1045" s="86" t="s">
        <v>29</v>
      </c>
      <c r="P1045" s="86" t="s">
        <v>30</v>
      </c>
      <c r="Q1045" s="87" t="s">
        <v>31</v>
      </c>
      <c r="S1045" s="85" t="s">
        <v>56</v>
      </c>
      <c r="T1045" s="87" t="s">
        <v>57</v>
      </c>
      <c r="U1045" s="79"/>
      <c r="V1045" s="85" t="s">
        <v>68</v>
      </c>
      <c r="W1045" s="87" t="s">
        <v>69</v>
      </c>
      <c r="Y1045" s="85" t="s">
        <v>85</v>
      </c>
      <c r="Z1045" s="86" t="s">
        <v>88</v>
      </c>
      <c r="AA1045" s="87" t="s">
        <v>89</v>
      </c>
    </row>
    <row r="1046" spans="1:27">
      <c r="A1046" s="216"/>
      <c r="B1046" s="217"/>
      <c r="F1046" s="88" t="s">
        <v>2</v>
      </c>
      <c r="G1046" s="134" t="s">
        <v>2429</v>
      </c>
      <c r="I1046" s="88" t="s">
        <v>24</v>
      </c>
      <c r="J1046" s="72">
        <v>6</v>
      </c>
      <c r="K1046" s="89">
        <v>440</v>
      </c>
      <c r="M1046" s="88" t="s">
        <v>2430</v>
      </c>
      <c r="N1046" s="72" t="s">
        <v>33</v>
      </c>
      <c r="O1046" s="72" t="s">
        <v>34</v>
      </c>
      <c r="P1046" s="72" t="s">
        <v>35</v>
      </c>
      <c r="Q1046" s="89" t="s">
        <v>1861</v>
      </c>
      <c r="S1046" s="88" t="s">
        <v>58</v>
      </c>
      <c r="T1046" s="89" t="s">
        <v>2046</v>
      </c>
      <c r="V1046" s="138" t="s">
        <v>70</v>
      </c>
      <c r="W1046" s="139" t="s">
        <v>2431</v>
      </c>
      <c r="Y1046" s="138" t="s">
        <v>90</v>
      </c>
      <c r="Z1046" s="137">
        <v>440</v>
      </c>
      <c r="AA1046" s="139">
        <v>270</v>
      </c>
    </row>
    <row r="1047" spans="1:27">
      <c r="A1047" s="216"/>
      <c r="B1047" s="217"/>
      <c r="F1047" s="88" t="s">
        <v>4</v>
      </c>
      <c r="G1047" s="112" t="s">
        <v>894</v>
      </c>
      <c r="I1047" s="88" t="s">
        <v>25</v>
      </c>
      <c r="J1047" s="80">
        <v>3</v>
      </c>
      <c r="K1047" s="89">
        <v>210</v>
      </c>
      <c r="M1047" s="88" t="s">
        <v>1723</v>
      </c>
      <c r="N1047" s="72" t="s">
        <v>33</v>
      </c>
      <c r="O1047" s="72" t="s">
        <v>43</v>
      </c>
      <c r="P1047" s="72" t="s">
        <v>33</v>
      </c>
      <c r="Q1047" s="89" t="s">
        <v>1871</v>
      </c>
      <c r="S1047" s="88" t="s">
        <v>60</v>
      </c>
      <c r="T1047" s="89" t="s">
        <v>2229</v>
      </c>
      <c r="V1047" s="135" t="s">
        <v>73</v>
      </c>
      <c r="W1047" s="136" t="s">
        <v>2167</v>
      </c>
      <c r="Y1047" s="88" t="s">
        <v>91</v>
      </c>
      <c r="Z1047" s="72">
        <v>210</v>
      </c>
      <c r="AA1047" s="89">
        <v>320</v>
      </c>
    </row>
    <row r="1048" spans="1:27">
      <c r="A1048" s="216"/>
      <c r="B1048" s="217"/>
      <c r="F1048" s="88" t="s">
        <v>6</v>
      </c>
      <c r="G1048" s="112" t="s">
        <v>1484</v>
      </c>
      <c r="I1048" s="90" t="s">
        <v>26</v>
      </c>
      <c r="J1048" s="91"/>
      <c r="K1048" s="92">
        <v>650</v>
      </c>
      <c r="M1048" s="88" t="s">
        <v>1638</v>
      </c>
      <c r="N1048" s="72" t="s">
        <v>33</v>
      </c>
      <c r="O1048" s="72" t="s">
        <v>34</v>
      </c>
      <c r="P1048" s="72" t="s">
        <v>35</v>
      </c>
      <c r="Q1048" s="89" t="s">
        <v>1967</v>
      </c>
      <c r="S1048" s="88" t="s">
        <v>62</v>
      </c>
      <c r="T1048" s="89" t="s">
        <v>2432</v>
      </c>
      <c r="V1048" s="88" t="s">
        <v>76</v>
      </c>
      <c r="W1048" s="89" t="s">
        <v>2080</v>
      </c>
      <c r="Y1048" s="88" t="s">
        <v>26</v>
      </c>
      <c r="Z1048" s="72">
        <v>650</v>
      </c>
      <c r="AA1048" s="89">
        <v>590</v>
      </c>
    </row>
    <row r="1049" spans="1:27">
      <c r="A1049" s="216"/>
      <c r="B1049" s="217"/>
      <c r="F1049" s="88" t="s">
        <v>8</v>
      </c>
      <c r="G1049" s="112" t="s">
        <v>2433</v>
      </c>
      <c r="M1049" s="88" t="s">
        <v>2234</v>
      </c>
      <c r="N1049" s="72" t="s">
        <v>33</v>
      </c>
      <c r="O1049" s="72" t="s">
        <v>43</v>
      </c>
      <c r="P1049" s="72" t="s">
        <v>33</v>
      </c>
      <c r="Q1049" s="89" t="s">
        <v>2235</v>
      </c>
      <c r="S1049" s="119" t="s">
        <v>64</v>
      </c>
      <c r="T1049" s="120" t="s">
        <v>2434</v>
      </c>
      <c r="V1049" s="88" t="s">
        <v>79</v>
      </c>
      <c r="W1049" s="89" t="s">
        <v>1726</v>
      </c>
      <c r="Y1049" s="90" t="s">
        <v>92</v>
      </c>
      <c r="Z1049" s="91"/>
      <c r="AA1049" s="122">
        <v>9.1999999999999998E-2</v>
      </c>
    </row>
    <row r="1050" spans="1:27">
      <c r="A1050" s="216"/>
      <c r="B1050" s="217"/>
      <c r="F1050" s="88" t="s">
        <v>10</v>
      </c>
      <c r="G1050" s="112" t="s">
        <v>1403</v>
      </c>
      <c r="M1050" s="88" t="s">
        <v>1990</v>
      </c>
      <c r="N1050" s="72" t="s">
        <v>33</v>
      </c>
      <c r="O1050" s="72" t="s">
        <v>43</v>
      </c>
      <c r="P1050" s="72" t="s">
        <v>33</v>
      </c>
      <c r="Q1050" s="89" t="s">
        <v>1899</v>
      </c>
      <c r="S1050" s="90" t="s">
        <v>66</v>
      </c>
      <c r="T1050" s="133" t="s">
        <v>2435</v>
      </c>
      <c r="V1050" s="90" t="s">
        <v>82</v>
      </c>
      <c r="W1050" s="92" t="s">
        <v>2436</v>
      </c>
    </row>
    <row r="1051" spans="1:27">
      <c r="A1051" s="216"/>
      <c r="B1051" s="217"/>
      <c r="F1051" s="88" t="s">
        <v>13</v>
      </c>
      <c r="G1051" t="s">
        <v>2437</v>
      </c>
      <c r="M1051" s="88" t="s">
        <v>1879</v>
      </c>
      <c r="N1051" s="72" t="s">
        <v>33</v>
      </c>
      <c r="O1051" s="72" t="s">
        <v>34</v>
      </c>
      <c r="P1051" s="72" t="s">
        <v>35</v>
      </c>
      <c r="Q1051" s="89" t="s">
        <v>2073</v>
      </c>
    </row>
    <row r="1052" spans="1:27">
      <c r="A1052" s="216"/>
      <c r="B1052" s="217"/>
      <c r="F1052" s="88" t="s">
        <v>15</v>
      </c>
      <c r="G1052" s="112" t="s">
        <v>2438</v>
      </c>
      <c r="M1052" s="88" t="s">
        <v>1972</v>
      </c>
      <c r="N1052" s="72" t="s">
        <v>35</v>
      </c>
      <c r="O1052" s="72" t="s">
        <v>52</v>
      </c>
      <c r="P1052" s="72" t="s">
        <v>35</v>
      </c>
      <c r="Q1052" s="89" t="s">
        <v>2162</v>
      </c>
    </row>
    <row r="1053" spans="1:27">
      <c r="A1053" s="216"/>
      <c r="B1053" s="217"/>
      <c r="F1053" s="119" t="s">
        <v>17</v>
      </c>
      <c r="G1053" s="144">
        <v>46126</v>
      </c>
      <c r="M1053" s="88" t="s">
        <v>2405</v>
      </c>
      <c r="N1053" s="72" t="s">
        <v>35</v>
      </c>
      <c r="O1053" s="72" t="s">
        <v>52</v>
      </c>
      <c r="P1053" s="72" t="s">
        <v>35</v>
      </c>
      <c r="Q1053" s="89" t="s">
        <v>1922</v>
      </c>
    </row>
    <row r="1054" spans="1:27">
      <c r="A1054" s="218"/>
      <c r="B1054" s="219"/>
      <c r="F1054" s="90" t="s">
        <v>18</v>
      </c>
      <c r="G1054" s="114" t="s">
        <v>19</v>
      </c>
      <c r="M1054" s="90" t="s">
        <v>1904</v>
      </c>
      <c r="N1054" s="91" t="s">
        <v>35</v>
      </c>
      <c r="O1054" s="91" t="s">
        <v>52</v>
      </c>
      <c r="P1054" s="91" t="s">
        <v>35</v>
      </c>
      <c r="Q1054" s="92" t="s">
        <v>2041</v>
      </c>
    </row>
    <row r="1059" spans="1:27">
      <c r="A1059" s="214" t="s">
        <v>388</v>
      </c>
      <c r="B1059" s="215"/>
      <c r="F1059" s="85" t="s">
        <v>0</v>
      </c>
      <c r="G1059" s="118" t="s">
        <v>1</v>
      </c>
      <c r="I1059" s="85" t="s">
        <v>20</v>
      </c>
      <c r="J1059" s="86" t="s">
        <v>21</v>
      </c>
      <c r="K1059" s="87" t="s">
        <v>23</v>
      </c>
      <c r="M1059" s="85" t="s">
        <v>27</v>
      </c>
      <c r="N1059" s="86" t="s">
        <v>28</v>
      </c>
      <c r="O1059" s="86" t="s">
        <v>29</v>
      </c>
      <c r="P1059" s="86" t="s">
        <v>30</v>
      </c>
      <c r="Q1059" s="87" t="s">
        <v>31</v>
      </c>
      <c r="S1059" s="85" t="s">
        <v>56</v>
      </c>
      <c r="T1059" s="87" t="s">
        <v>57</v>
      </c>
      <c r="U1059" s="79"/>
      <c r="V1059" s="85" t="s">
        <v>68</v>
      </c>
      <c r="W1059" s="87" t="s">
        <v>69</v>
      </c>
      <c r="Y1059" s="85" t="s">
        <v>85</v>
      </c>
      <c r="Z1059" s="86" t="s">
        <v>88</v>
      </c>
      <c r="AA1059" s="87" t="s">
        <v>89</v>
      </c>
    </row>
    <row r="1060" spans="1:27">
      <c r="A1060" s="216"/>
      <c r="B1060" s="217"/>
      <c r="F1060" s="88" t="s">
        <v>2</v>
      </c>
      <c r="G1060" s="134" t="s">
        <v>2439</v>
      </c>
      <c r="I1060" s="88" t="s">
        <v>24</v>
      </c>
      <c r="J1060" s="72">
        <v>4</v>
      </c>
      <c r="K1060" s="89">
        <v>250</v>
      </c>
      <c r="M1060" s="88" t="s">
        <v>2440</v>
      </c>
      <c r="N1060" s="72" t="s">
        <v>33</v>
      </c>
      <c r="O1060" s="72" t="s">
        <v>34</v>
      </c>
      <c r="P1060" s="72" t="s">
        <v>35</v>
      </c>
      <c r="Q1060" s="89" t="s">
        <v>2255</v>
      </c>
      <c r="S1060" s="88" t="s">
        <v>58</v>
      </c>
      <c r="T1060" s="89" t="s">
        <v>2377</v>
      </c>
      <c r="V1060" s="138" t="s">
        <v>70</v>
      </c>
      <c r="W1060" s="139" t="s">
        <v>2378</v>
      </c>
      <c r="Y1060" s="138" t="s">
        <v>90</v>
      </c>
      <c r="Z1060" s="137">
        <v>250</v>
      </c>
      <c r="AA1060" s="139">
        <v>140</v>
      </c>
    </row>
    <row r="1061" spans="1:27">
      <c r="A1061" s="216"/>
      <c r="B1061" s="217"/>
      <c r="F1061" s="88" t="s">
        <v>4</v>
      </c>
      <c r="G1061" s="112" t="s">
        <v>894</v>
      </c>
      <c r="I1061" s="88" t="s">
        <v>25</v>
      </c>
      <c r="J1061" s="80">
        <v>6</v>
      </c>
      <c r="K1061" s="89">
        <v>360</v>
      </c>
      <c r="M1061" s="88" t="s">
        <v>1638</v>
      </c>
      <c r="N1061" s="72" t="s">
        <v>33</v>
      </c>
      <c r="O1061" s="72" t="s">
        <v>34</v>
      </c>
      <c r="P1061" s="72" t="s">
        <v>35</v>
      </c>
      <c r="Q1061" s="89" t="s">
        <v>1967</v>
      </c>
      <c r="S1061" s="88" t="s">
        <v>60</v>
      </c>
      <c r="T1061" s="89" t="s">
        <v>2441</v>
      </c>
      <c r="V1061" s="135" t="s">
        <v>73</v>
      </c>
      <c r="W1061" s="136" t="s">
        <v>2113</v>
      </c>
      <c r="Y1061" s="88" t="s">
        <v>91</v>
      </c>
      <c r="Z1061" s="72">
        <v>360</v>
      </c>
      <c r="AA1061" s="89">
        <v>430</v>
      </c>
    </row>
    <row r="1062" spans="1:27">
      <c r="A1062" s="216"/>
      <c r="B1062" s="217"/>
      <c r="F1062" s="88" t="s">
        <v>6</v>
      </c>
      <c r="G1062" s="112" t="s">
        <v>895</v>
      </c>
      <c r="I1062" s="90" t="s">
        <v>26</v>
      </c>
      <c r="J1062" s="91"/>
      <c r="K1062" s="92">
        <v>610</v>
      </c>
      <c r="M1062" s="88" t="s">
        <v>1553</v>
      </c>
      <c r="N1062" s="72" t="s">
        <v>33</v>
      </c>
      <c r="O1062" s="72" t="s">
        <v>43</v>
      </c>
      <c r="P1062" s="72" t="s">
        <v>33</v>
      </c>
      <c r="Q1062" s="89" t="s">
        <v>1811</v>
      </c>
      <c r="S1062" s="88" t="s">
        <v>62</v>
      </c>
      <c r="T1062" s="89" t="s">
        <v>2366</v>
      </c>
      <c r="V1062" s="88" t="s">
        <v>76</v>
      </c>
      <c r="W1062" s="89" t="s">
        <v>2442</v>
      </c>
      <c r="Y1062" s="88" t="s">
        <v>26</v>
      </c>
      <c r="Z1062" s="72">
        <v>610</v>
      </c>
      <c r="AA1062" s="89">
        <v>570</v>
      </c>
    </row>
    <row r="1063" spans="1:27">
      <c r="A1063" s="216"/>
      <c r="B1063" s="217"/>
      <c r="F1063" s="88" t="s">
        <v>8</v>
      </c>
      <c r="G1063" s="112" t="s">
        <v>2443</v>
      </c>
      <c r="M1063" s="88" t="s">
        <v>49</v>
      </c>
      <c r="N1063" s="72" t="s">
        <v>33</v>
      </c>
      <c r="O1063" s="72" t="s">
        <v>43</v>
      </c>
      <c r="P1063" s="72" t="s">
        <v>33</v>
      </c>
      <c r="Q1063" s="89" t="s">
        <v>2444</v>
      </c>
      <c r="S1063" s="119" t="s">
        <v>64</v>
      </c>
      <c r="T1063" s="120" t="s">
        <v>2381</v>
      </c>
      <c r="V1063" s="88" t="s">
        <v>79</v>
      </c>
      <c r="W1063" s="89" t="s">
        <v>1584</v>
      </c>
      <c r="Y1063" s="90" t="s">
        <v>92</v>
      </c>
      <c r="Z1063" s="91"/>
      <c r="AA1063" s="122">
        <v>6.6000000000000003E-2</v>
      </c>
    </row>
    <row r="1064" spans="1:27">
      <c r="A1064" s="216"/>
      <c r="B1064" s="217"/>
      <c r="F1064" s="88" t="s">
        <v>10</v>
      </c>
      <c r="G1064" s="112" t="s">
        <v>12</v>
      </c>
      <c r="M1064" s="88" t="s">
        <v>2266</v>
      </c>
      <c r="N1064" s="72" t="s">
        <v>35</v>
      </c>
      <c r="O1064" s="72" t="s">
        <v>52</v>
      </c>
      <c r="P1064" s="72" t="s">
        <v>35</v>
      </c>
      <c r="Q1064" s="89" t="s">
        <v>2374</v>
      </c>
      <c r="S1064" s="90" t="s">
        <v>66</v>
      </c>
      <c r="T1064" s="133" t="s">
        <v>2445</v>
      </c>
      <c r="V1064" s="90" t="s">
        <v>82</v>
      </c>
      <c r="W1064" s="92" t="s">
        <v>2371</v>
      </c>
    </row>
    <row r="1065" spans="1:27" ht="30.75">
      <c r="A1065" s="216"/>
      <c r="B1065" s="217"/>
      <c r="F1065" s="88" t="s">
        <v>13</v>
      </c>
      <c r="G1065" s="200" t="s">
        <v>2446</v>
      </c>
      <c r="M1065" s="88" t="s">
        <v>1972</v>
      </c>
      <c r="N1065" s="72" t="s">
        <v>35</v>
      </c>
      <c r="O1065" s="72" t="s">
        <v>52</v>
      </c>
      <c r="P1065" s="72" t="s">
        <v>35</v>
      </c>
      <c r="Q1065" s="89" t="s">
        <v>2162</v>
      </c>
    </row>
    <row r="1066" spans="1:27">
      <c r="A1066" s="216"/>
      <c r="B1066" s="217"/>
      <c r="F1066" s="88" t="s">
        <v>15</v>
      </c>
      <c r="G1066" s="112" t="s">
        <v>2447</v>
      </c>
      <c r="M1066" s="88" t="s">
        <v>2405</v>
      </c>
      <c r="N1066" s="72" t="s">
        <v>35</v>
      </c>
      <c r="O1066" s="72" t="s">
        <v>52</v>
      </c>
      <c r="P1066" s="72" t="s">
        <v>35</v>
      </c>
      <c r="Q1066" s="89" t="s">
        <v>1922</v>
      </c>
    </row>
    <row r="1067" spans="1:27">
      <c r="A1067" s="216"/>
      <c r="B1067" s="217"/>
      <c r="F1067" s="119" t="s">
        <v>17</v>
      </c>
      <c r="G1067" s="144">
        <v>46126</v>
      </c>
      <c r="M1067" s="88" t="s">
        <v>1958</v>
      </c>
      <c r="N1067" s="72" t="s">
        <v>35</v>
      </c>
      <c r="O1067" s="72" t="s">
        <v>52</v>
      </c>
      <c r="P1067" s="72" t="s">
        <v>35</v>
      </c>
      <c r="Q1067" s="89" t="s">
        <v>2041</v>
      </c>
    </row>
    <row r="1068" spans="1:27">
      <c r="A1068" s="218"/>
      <c r="B1068" s="219"/>
      <c r="F1068" s="90" t="s">
        <v>18</v>
      </c>
      <c r="G1068" s="114" t="s">
        <v>19</v>
      </c>
      <c r="M1068" s="88" t="s">
        <v>1975</v>
      </c>
      <c r="N1068" s="72" t="s">
        <v>35</v>
      </c>
      <c r="O1068" s="72" t="s">
        <v>52</v>
      </c>
      <c r="P1068" s="72" t="s">
        <v>35</v>
      </c>
      <c r="Q1068" s="89" t="s">
        <v>1826</v>
      </c>
    </row>
    <row r="1069" spans="1:27">
      <c r="M1069" s="90" t="s">
        <v>2428</v>
      </c>
      <c r="N1069" s="91" t="s">
        <v>35</v>
      </c>
      <c r="O1069" s="91" t="s">
        <v>52</v>
      </c>
      <c r="P1069" s="91" t="s">
        <v>35</v>
      </c>
      <c r="Q1069" s="92" t="s">
        <v>1976</v>
      </c>
    </row>
    <row r="1073" spans="1:27">
      <c r="A1073" s="214" t="s">
        <v>390</v>
      </c>
      <c r="B1073" s="215"/>
      <c r="F1073" s="85" t="s">
        <v>0</v>
      </c>
      <c r="G1073" s="118" t="s">
        <v>1</v>
      </c>
      <c r="I1073" s="85" t="s">
        <v>20</v>
      </c>
      <c r="J1073" s="86" t="s">
        <v>21</v>
      </c>
      <c r="K1073" s="87" t="s">
        <v>23</v>
      </c>
      <c r="M1073" s="85" t="s">
        <v>27</v>
      </c>
      <c r="N1073" s="86" t="s">
        <v>28</v>
      </c>
      <c r="O1073" s="86" t="s">
        <v>29</v>
      </c>
      <c r="P1073" s="86" t="s">
        <v>30</v>
      </c>
      <c r="Q1073" s="87" t="s">
        <v>31</v>
      </c>
      <c r="S1073" s="85" t="s">
        <v>56</v>
      </c>
      <c r="T1073" s="87" t="s">
        <v>57</v>
      </c>
      <c r="U1073" s="79"/>
      <c r="V1073" s="85" t="s">
        <v>68</v>
      </c>
      <c r="W1073" s="87" t="s">
        <v>69</v>
      </c>
      <c r="Y1073" s="85" t="s">
        <v>85</v>
      </c>
      <c r="Z1073" s="86" t="s">
        <v>88</v>
      </c>
      <c r="AA1073" s="87" t="s">
        <v>89</v>
      </c>
    </row>
    <row r="1074" spans="1:27">
      <c r="A1074" s="216"/>
      <c r="B1074" s="217"/>
      <c r="F1074" s="88" t="s">
        <v>2</v>
      </c>
      <c r="G1074" s="134" t="s">
        <v>2448</v>
      </c>
      <c r="I1074" s="88" t="s">
        <v>24</v>
      </c>
      <c r="J1074" s="72">
        <v>6</v>
      </c>
      <c r="K1074" s="89">
        <v>430</v>
      </c>
      <c r="M1074" s="88" t="s">
        <v>2449</v>
      </c>
      <c r="N1074" s="72" t="s">
        <v>33</v>
      </c>
      <c r="O1074" s="72" t="s">
        <v>43</v>
      </c>
      <c r="P1074" s="72" t="s">
        <v>33</v>
      </c>
      <c r="Q1074" s="89" t="s">
        <v>1964</v>
      </c>
      <c r="S1074" s="88" t="s">
        <v>58</v>
      </c>
      <c r="T1074" s="89" t="s">
        <v>2046</v>
      </c>
      <c r="V1074" s="138" t="s">
        <v>70</v>
      </c>
      <c r="W1074" s="139" t="s">
        <v>2450</v>
      </c>
      <c r="Y1074" s="138" t="s">
        <v>90</v>
      </c>
      <c r="Z1074" s="137">
        <v>430</v>
      </c>
      <c r="AA1074" s="139">
        <v>260</v>
      </c>
    </row>
    <row r="1075" spans="1:27">
      <c r="A1075" s="216"/>
      <c r="B1075" s="217"/>
      <c r="F1075" s="88" t="s">
        <v>4</v>
      </c>
      <c r="G1075" s="112" t="s">
        <v>894</v>
      </c>
      <c r="I1075" s="88" t="s">
        <v>25</v>
      </c>
      <c r="J1075" s="80">
        <v>3</v>
      </c>
      <c r="K1075" s="89">
        <v>220</v>
      </c>
      <c r="M1075" s="88" t="s">
        <v>2430</v>
      </c>
      <c r="N1075" s="72" t="s">
        <v>33</v>
      </c>
      <c r="O1075" s="72" t="s">
        <v>34</v>
      </c>
      <c r="P1075" s="72" t="s">
        <v>35</v>
      </c>
      <c r="Q1075" s="89" t="s">
        <v>2451</v>
      </c>
      <c r="S1075" s="88" t="s">
        <v>60</v>
      </c>
      <c r="T1075" s="89" t="s">
        <v>2064</v>
      </c>
      <c r="V1075" s="135" t="s">
        <v>73</v>
      </c>
      <c r="W1075" s="136" t="s">
        <v>2452</v>
      </c>
      <c r="Y1075" s="88" t="s">
        <v>91</v>
      </c>
      <c r="Z1075" s="72">
        <v>220</v>
      </c>
      <c r="AA1075" s="89">
        <v>340</v>
      </c>
    </row>
    <row r="1076" spans="1:27">
      <c r="A1076" s="216"/>
      <c r="B1076" s="217"/>
      <c r="F1076" s="88" t="s">
        <v>6</v>
      </c>
      <c r="G1076" s="112" t="s">
        <v>1484</v>
      </c>
      <c r="I1076" s="90" t="s">
        <v>26</v>
      </c>
      <c r="J1076" s="91"/>
      <c r="K1076" s="92">
        <v>650</v>
      </c>
      <c r="M1076" s="88" t="s">
        <v>1638</v>
      </c>
      <c r="N1076" s="72" t="s">
        <v>33</v>
      </c>
      <c r="O1076" s="72" t="s">
        <v>34</v>
      </c>
      <c r="P1076" s="72" t="s">
        <v>35</v>
      </c>
      <c r="Q1076" s="89" t="s">
        <v>1967</v>
      </c>
      <c r="S1076" s="88" t="s">
        <v>62</v>
      </c>
      <c r="T1076" s="89" t="s">
        <v>2432</v>
      </c>
      <c r="V1076" s="88" t="s">
        <v>76</v>
      </c>
      <c r="W1076" s="89" t="s">
        <v>2080</v>
      </c>
      <c r="Y1076" s="88" t="s">
        <v>26</v>
      </c>
      <c r="Z1076" s="72">
        <v>650</v>
      </c>
      <c r="AA1076" s="89">
        <v>600</v>
      </c>
    </row>
    <row r="1077" spans="1:27">
      <c r="A1077" s="216"/>
      <c r="B1077" s="217"/>
      <c r="F1077" s="88" t="s">
        <v>8</v>
      </c>
      <c r="G1077" s="112" t="s">
        <v>2453</v>
      </c>
      <c r="M1077" s="88" t="s">
        <v>2234</v>
      </c>
      <c r="N1077" s="72" t="s">
        <v>33</v>
      </c>
      <c r="O1077" s="72" t="s">
        <v>43</v>
      </c>
      <c r="P1077" s="72" t="s">
        <v>33</v>
      </c>
      <c r="Q1077" s="89" t="s">
        <v>2235</v>
      </c>
      <c r="S1077" s="119" t="s">
        <v>64</v>
      </c>
      <c r="T1077" s="120" t="s">
        <v>2454</v>
      </c>
      <c r="V1077" s="88" t="s">
        <v>79</v>
      </c>
      <c r="W1077" s="89" t="s">
        <v>1726</v>
      </c>
      <c r="Y1077" s="90" t="s">
        <v>92</v>
      </c>
      <c r="Z1077" s="91"/>
      <c r="AA1077" s="122">
        <v>7.6999999999999999E-2</v>
      </c>
    </row>
    <row r="1078" spans="1:27">
      <c r="A1078" s="216"/>
      <c r="B1078" s="217"/>
      <c r="F1078" s="88" t="s">
        <v>10</v>
      </c>
      <c r="G1078" s="112" t="s">
        <v>1403</v>
      </c>
      <c r="M1078" s="88" t="s">
        <v>1990</v>
      </c>
      <c r="N1078" s="72" t="s">
        <v>33</v>
      </c>
      <c r="O1078" s="72" t="s">
        <v>43</v>
      </c>
      <c r="P1078" s="72" t="s">
        <v>33</v>
      </c>
      <c r="Q1078" s="89" t="s">
        <v>1899</v>
      </c>
      <c r="S1078" s="90" t="s">
        <v>66</v>
      </c>
      <c r="T1078" s="133" t="s">
        <v>2455</v>
      </c>
      <c r="V1078" s="90" t="s">
        <v>82</v>
      </c>
      <c r="W1078" s="92" t="s">
        <v>2436</v>
      </c>
    </row>
    <row r="1079" spans="1:27" ht="30.75">
      <c r="A1079" s="216"/>
      <c r="B1079" s="217"/>
      <c r="F1079" s="88" t="s">
        <v>13</v>
      </c>
      <c r="G1079" s="200" t="s">
        <v>2456</v>
      </c>
      <c r="M1079" s="88" t="s">
        <v>1879</v>
      </c>
      <c r="N1079" s="72" t="s">
        <v>33</v>
      </c>
      <c r="O1079" s="72" t="s">
        <v>34</v>
      </c>
      <c r="P1079" s="72" t="s">
        <v>35</v>
      </c>
      <c r="Q1079" s="89" t="s">
        <v>2452</v>
      </c>
    </row>
    <row r="1080" spans="1:27">
      <c r="A1080" s="216"/>
      <c r="B1080" s="217"/>
      <c r="F1080" s="88" t="s">
        <v>15</v>
      </c>
      <c r="G1080" s="112" t="s">
        <v>2457</v>
      </c>
      <c r="M1080" s="88" t="s">
        <v>1972</v>
      </c>
      <c r="N1080" s="72" t="s">
        <v>35</v>
      </c>
      <c r="O1080" s="72" t="s">
        <v>52</v>
      </c>
      <c r="P1080" s="72" t="s">
        <v>35</v>
      </c>
      <c r="Q1080" s="89" t="s">
        <v>2458</v>
      </c>
    </row>
    <row r="1081" spans="1:27">
      <c r="A1081" s="216"/>
      <c r="B1081" s="217"/>
      <c r="F1081" s="119" t="s">
        <v>17</v>
      </c>
      <c r="G1081" s="144">
        <v>46126</v>
      </c>
      <c r="M1081" s="88" t="s">
        <v>2405</v>
      </c>
      <c r="N1081" s="72" t="s">
        <v>35</v>
      </c>
      <c r="O1081" s="72" t="s">
        <v>52</v>
      </c>
      <c r="P1081" s="72" t="s">
        <v>35</v>
      </c>
      <c r="Q1081" s="89" t="s">
        <v>2459</v>
      </c>
    </row>
    <row r="1082" spans="1:27">
      <c r="A1082" s="218"/>
      <c r="B1082" s="219"/>
      <c r="F1082" s="90" t="s">
        <v>18</v>
      </c>
      <c r="G1082" s="114" t="s">
        <v>19</v>
      </c>
      <c r="M1082" s="90" t="s">
        <v>1904</v>
      </c>
      <c r="N1082" s="91" t="s">
        <v>35</v>
      </c>
      <c r="O1082" s="91" t="s">
        <v>52</v>
      </c>
      <c r="P1082" s="91" t="s">
        <v>35</v>
      </c>
      <c r="Q1082" s="92" t="s">
        <v>2460</v>
      </c>
    </row>
    <row r="1086" spans="1:27">
      <c r="A1086" s="214" t="s">
        <v>344</v>
      </c>
      <c r="B1086" s="215"/>
      <c r="F1086" s="85" t="s">
        <v>0</v>
      </c>
      <c r="G1086" s="118" t="s">
        <v>1</v>
      </c>
      <c r="I1086" s="85" t="s">
        <v>20</v>
      </c>
      <c r="J1086" s="86" t="s">
        <v>21</v>
      </c>
      <c r="K1086" s="87" t="s">
        <v>23</v>
      </c>
      <c r="M1086" s="85" t="s">
        <v>27</v>
      </c>
      <c r="N1086" s="86" t="s">
        <v>28</v>
      </c>
      <c r="O1086" s="86" t="s">
        <v>29</v>
      </c>
      <c r="P1086" s="86" t="s">
        <v>30</v>
      </c>
      <c r="Q1086" s="87" t="s">
        <v>31</v>
      </c>
      <c r="S1086" s="85" t="s">
        <v>56</v>
      </c>
      <c r="T1086" s="87" t="s">
        <v>57</v>
      </c>
      <c r="U1086" s="79"/>
      <c r="V1086" s="85" t="s">
        <v>68</v>
      </c>
      <c r="W1086" s="87" t="s">
        <v>69</v>
      </c>
      <c r="Y1086" s="85" t="s">
        <v>85</v>
      </c>
      <c r="Z1086" s="86" t="s">
        <v>88</v>
      </c>
      <c r="AA1086" s="87" t="s">
        <v>89</v>
      </c>
    </row>
    <row r="1087" spans="1:27">
      <c r="A1087" s="216"/>
      <c r="B1087" s="217"/>
      <c r="F1087" s="88" t="s">
        <v>2</v>
      </c>
      <c r="G1087" s="134" t="s">
        <v>2187</v>
      </c>
      <c r="I1087" s="88" t="s">
        <v>24</v>
      </c>
      <c r="J1087" s="72">
        <v>7</v>
      </c>
      <c r="K1087" s="89">
        <v>545</v>
      </c>
      <c r="M1087" s="88" t="s">
        <v>2461</v>
      </c>
      <c r="N1087" s="72" t="s">
        <v>33</v>
      </c>
      <c r="O1087" s="72" t="s">
        <v>43</v>
      </c>
      <c r="P1087" s="72" t="s">
        <v>33</v>
      </c>
      <c r="Q1087" s="89" t="s">
        <v>1964</v>
      </c>
      <c r="S1087" s="88" t="s">
        <v>58</v>
      </c>
      <c r="T1087" s="89" t="s">
        <v>2046</v>
      </c>
      <c r="V1087" s="138" t="s">
        <v>70</v>
      </c>
      <c r="W1087" s="139" t="s">
        <v>2418</v>
      </c>
      <c r="Y1087" s="138" t="s">
        <v>90</v>
      </c>
      <c r="Z1087" s="137">
        <v>545</v>
      </c>
      <c r="AA1087" s="139">
        <v>330</v>
      </c>
    </row>
    <row r="1088" spans="1:27">
      <c r="A1088" s="216"/>
      <c r="B1088" s="217"/>
      <c r="F1088" s="88" t="s">
        <v>4</v>
      </c>
      <c r="G1088" s="112" t="s">
        <v>894</v>
      </c>
      <c r="I1088" s="88" t="s">
        <v>25</v>
      </c>
      <c r="J1088" s="80">
        <v>2</v>
      </c>
      <c r="K1088" s="89">
        <v>165</v>
      </c>
      <c r="M1088" s="88" t="s">
        <v>32</v>
      </c>
      <c r="N1088" s="72" t="s">
        <v>33</v>
      </c>
      <c r="O1088" s="72" t="s">
        <v>34</v>
      </c>
      <c r="P1088" s="72" t="s">
        <v>35</v>
      </c>
      <c r="Q1088" s="89" t="s">
        <v>2462</v>
      </c>
      <c r="S1088" s="88" t="s">
        <v>60</v>
      </c>
      <c r="T1088" s="89" t="s">
        <v>2463</v>
      </c>
      <c r="V1088" s="135" t="s">
        <v>73</v>
      </c>
      <c r="W1088" s="136" t="s">
        <v>2452</v>
      </c>
      <c r="Y1088" s="88" t="s">
        <v>91</v>
      </c>
      <c r="Z1088" s="72">
        <v>165</v>
      </c>
      <c r="AA1088" s="89">
        <v>310</v>
      </c>
    </row>
    <row r="1089" spans="1:27">
      <c r="A1089" s="216"/>
      <c r="B1089" s="217"/>
      <c r="F1089" s="88" t="s">
        <v>6</v>
      </c>
      <c r="G1089" s="112" t="s">
        <v>1484</v>
      </c>
      <c r="I1089" s="90" t="s">
        <v>26</v>
      </c>
      <c r="J1089" s="91"/>
      <c r="K1089" s="92">
        <v>710</v>
      </c>
      <c r="M1089" s="88" t="s">
        <v>1638</v>
      </c>
      <c r="N1089" s="72" t="s">
        <v>33</v>
      </c>
      <c r="O1089" s="72" t="s">
        <v>34</v>
      </c>
      <c r="P1089" s="72" t="s">
        <v>35</v>
      </c>
      <c r="Q1089" s="89" t="s">
        <v>1967</v>
      </c>
      <c r="S1089" s="88" t="s">
        <v>62</v>
      </c>
      <c r="T1089" s="89" t="s">
        <v>2464</v>
      </c>
      <c r="V1089" s="88" t="s">
        <v>76</v>
      </c>
      <c r="W1089" s="89" t="s">
        <v>2465</v>
      </c>
      <c r="Y1089" s="88" t="s">
        <v>26</v>
      </c>
      <c r="Z1089" s="72">
        <v>710</v>
      </c>
      <c r="AA1089" s="89">
        <v>640</v>
      </c>
    </row>
    <row r="1090" spans="1:27">
      <c r="A1090" s="216"/>
      <c r="B1090" s="217"/>
      <c r="F1090" s="88" t="s">
        <v>8</v>
      </c>
      <c r="G1090" s="112" t="s">
        <v>2466</v>
      </c>
      <c r="M1090" s="88" t="s">
        <v>1553</v>
      </c>
      <c r="N1090" s="72" t="s">
        <v>33</v>
      </c>
      <c r="O1090" s="72" t="s">
        <v>43</v>
      </c>
      <c r="P1090" s="72" t="s">
        <v>33</v>
      </c>
      <c r="Q1090" s="89" t="s">
        <v>2467</v>
      </c>
      <c r="S1090" s="119" t="s">
        <v>64</v>
      </c>
      <c r="T1090" s="120" t="s">
        <v>2381</v>
      </c>
      <c r="V1090" s="88" t="s">
        <v>79</v>
      </c>
      <c r="W1090" s="89" t="s">
        <v>1759</v>
      </c>
      <c r="Y1090" s="90" t="s">
        <v>92</v>
      </c>
      <c r="Z1090" s="91"/>
      <c r="AA1090" s="122">
        <v>9.9000000000000005E-2</v>
      </c>
    </row>
    <row r="1091" spans="1:27">
      <c r="A1091" s="216"/>
      <c r="B1091" s="217"/>
      <c r="F1091" s="88" t="s">
        <v>10</v>
      </c>
      <c r="G1091" s="112" t="s">
        <v>1106</v>
      </c>
      <c r="M1091" s="88" t="s">
        <v>49</v>
      </c>
      <c r="N1091" s="72" t="s">
        <v>33</v>
      </c>
      <c r="O1091" s="72" t="s">
        <v>43</v>
      </c>
      <c r="P1091" s="72" t="s">
        <v>33</v>
      </c>
      <c r="Q1091" s="89" t="s">
        <v>2423</v>
      </c>
      <c r="S1091" s="90" t="s">
        <v>66</v>
      </c>
      <c r="T1091" s="133" t="s">
        <v>2455</v>
      </c>
      <c r="V1091" s="90"/>
      <c r="W1091" s="92"/>
    </row>
    <row r="1092" spans="1:27">
      <c r="A1092" s="216"/>
      <c r="B1092" s="217"/>
      <c r="F1092" s="88" t="s">
        <v>13</v>
      </c>
      <c r="G1092" t="s">
        <v>920</v>
      </c>
      <c r="M1092" s="88" t="s">
        <v>2333</v>
      </c>
      <c r="N1092" s="72" t="s">
        <v>33</v>
      </c>
      <c r="O1092" s="72" t="s">
        <v>34</v>
      </c>
      <c r="P1092" s="72" t="s">
        <v>35</v>
      </c>
      <c r="Q1092" s="89" t="s">
        <v>2452</v>
      </c>
    </row>
    <row r="1093" spans="1:27">
      <c r="A1093" s="216"/>
      <c r="B1093" s="217"/>
      <c r="F1093" s="88" t="s">
        <v>15</v>
      </c>
      <c r="G1093" s="112" t="s">
        <v>2468</v>
      </c>
      <c r="M1093" s="88" t="s">
        <v>1728</v>
      </c>
      <c r="N1093" s="72" t="s">
        <v>33</v>
      </c>
      <c r="O1093" s="72" t="s">
        <v>43</v>
      </c>
      <c r="P1093" s="72" t="s">
        <v>33</v>
      </c>
      <c r="Q1093" s="89" t="s">
        <v>1781</v>
      </c>
    </row>
    <row r="1094" spans="1:27">
      <c r="A1094" s="216"/>
      <c r="B1094" s="217"/>
      <c r="F1094" s="119" t="s">
        <v>17</v>
      </c>
      <c r="G1094" s="144">
        <v>46126</v>
      </c>
      <c r="M1094" s="88" t="s">
        <v>1972</v>
      </c>
      <c r="N1094" s="72" t="s">
        <v>35</v>
      </c>
      <c r="O1094" s="72" t="s">
        <v>52</v>
      </c>
      <c r="P1094" s="72" t="s">
        <v>35</v>
      </c>
      <c r="Q1094" s="89" t="s">
        <v>2458</v>
      </c>
    </row>
    <row r="1095" spans="1:27">
      <c r="A1095" s="218"/>
      <c r="B1095" s="219"/>
      <c r="F1095" s="90" t="s">
        <v>18</v>
      </c>
      <c r="G1095" s="114" t="s">
        <v>19</v>
      </c>
      <c r="M1095" s="90" t="s">
        <v>2405</v>
      </c>
      <c r="N1095" s="91" t="s">
        <v>35</v>
      </c>
      <c r="O1095" s="91" t="s">
        <v>52</v>
      </c>
      <c r="P1095" s="91" t="s">
        <v>35</v>
      </c>
      <c r="Q1095" s="92" t="s">
        <v>2459</v>
      </c>
    </row>
    <row r="1100" spans="1:27">
      <c r="A1100" s="214" t="s">
        <v>300</v>
      </c>
      <c r="B1100" s="215"/>
      <c r="F1100" s="85" t="s">
        <v>0</v>
      </c>
      <c r="G1100" s="118" t="s">
        <v>1</v>
      </c>
      <c r="I1100" s="85" t="s">
        <v>20</v>
      </c>
      <c r="J1100" s="86" t="s">
        <v>21</v>
      </c>
      <c r="K1100" s="87" t="s">
        <v>23</v>
      </c>
      <c r="M1100" s="85" t="s">
        <v>27</v>
      </c>
      <c r="N1100" s="86" t="s">
        <v>28</v>
      </c>
      <c r="O1100" s="86" t="s">
        <v>29</v>
      </c>
      <c r="P1100" s="86" t="s">
        <v>30</v>
      </c>
      <c r="Q1100" s="87" t="s">
        <v>31</v>
      </c>
      <c r="S1100" s="85" t="s">
        <v>56</v>
      </c>
      <c r="T1100" s="87" t="s">
        <v>57</v>
      </c>
      <c r="U1100" s="79"/>
      <c r="V1100" s="85" t="s">
        <v>68</v>
      </c>
      <c r="W1100" s="87" t="s">
        <v>69</v>
      </c>
      <c r="Y1100" s="85" t="s">
        <v>85</v>
      </c>
      <c r="Z1100" s="86" t="s">
        <v>88</v>
      </c>
      <c r="AA1100" s="87" t="s">
        <v>89</v>
      </c>
    </row>
    <row r="1101" spans="1:27">
      <c r="A1101" s="216"/>
      <c r="B1101" s="217"/>
      <c r="F1101" s="88" t="s">
        <v>2</v>
      </c>
      <c r="G1101" s="134" t="s">
        <v>2043</v>
      </c>
      <c r="I1101" s="88" t="s">
        <v>24</v>
      </c>
      <c r="J1101" s="72">
        <v>5</v>
      </c>
      <c r="K1101" s="89">
        <v>330</v>
      </c>
      <c r="M1101" s="88" t="s">
        <v>2469</v>
      </c>
      <c r="N1101" s="72" t="s">
        <v>33</v>
      </c>
      <c r="O1101" s="72" t="s">
        <v>34</v>
      </c>
      <c r="P1101" s="72" t="s">
        <v>35</v>
      </c>
      <c r="Q1101" s="89" t="s">
        <v>2470</v>
      </c>
      <c r="S1101" s="88" t="s">
        <v>58</v>
      </c>
      <c r="T1101" s="89" t="s">
        <v>2046</v>
      </c>
      <c r="V1101" s="138" t="s">
        <v>70</v>
      </c>
      <c r="W1101" s="139" t="s">
        <v>2471</v>
      </c>
      <c r="Y1101" s="138" t="s">
        <v>90</v>
      </c>
      <c r="Z1101" s="137">
        <v>330</v>
      </c>
      <c r="AA1101" s="139">
        <v>190</v>
      </c>
    </row>
    <row r="1102" spans="1:27">
      <c r="A1102" s="216"/>
      <c r="B1102" s="217"/>
      <c r="F1102" s="88" t="s">
        <v>4</v>
      </c>
      <c r="G1102" s="112" t="s">
        <v>894</v>
      </c>
      <c r="I1102" s="88" t="s">
        <v>25</v>
      </c>
      <c r="J1102" s="80">
        <v>5</v>
      </c>
      <c r="K1102" s="89">
        <v>310</v>
      </c>
      <c r="M1102" s="88" t="s">
        <v>32</v>
      </c>
      <c r="N1102" s="72" t="s">
        <v>33</v>
      </c>
      <c r="O1102" s="72" t="s">
        <v>34</v>
      </c>
      <c r="P1102" s="72" t="s">
        <v>35</v>
      </c>
      <c r="Q1102" s="89" t="s">
        <v>2462</v>
      </c>
      <c r="S1102" s="88" t="s">
        <v>60</v>
      </c>
      <c r="T1102" s="89" t="s">
        <v>2472</v>
      </c>
      <c r="V1102" s="135" t="s">
        <v>73</v>
      </c>
      <c r="W1102" s="136" t="s">
        <v>2452</v>
      </c>
      <c r="Y1102" s="88" t="s">
        <v>91</v>
      </c>
      <c r="Z1102" s="72">
        <v>310</v>
      </c>
      <c r="AA1102" s="89">
        <v>400</v>
      </c>
    </row>
    <row r="1103" spans="1:27">
      <c r="A1103" s="216"/>
      <c r="B1103" s="217"/>
      <c r="F1103" s="88" t="s">
        <v>6</v>
      </c>
      <c r="G1103" s="112" t="s">
        <v>1484</v>
      </c>
      <c r="I1103" s="90" t="s">
        <v>26</v>
      </c>
      <c r="J1103" s="91"/>
      <c r="K1103" s="92">
        <v>640</v>
      </c>
      <c r="M1103" s="88" t="s">
        <v>1638</v>
      </c>
      <c r="N1103" s="72" t="s">
        <v>33</v>
      </c>
      <c r="O1103" s="72" t="s">
        <v>34</v>
      </c>
      <c r="P1103" s="72" t="s">
        <v>35</v>
      </c>
      <c r="Q1103" s="89" t="s">
        <v>1967</v>
      </c>
      <c r="S1103" s="88" t="s">
        <v>62</v>
      </c>
      <c r="T1103" s="89" t="s">
        <v>2319</v>
      </c>
      <c r="V1103" s="88" t="s">
        <v>76</v>
      </c>
      <c r="W1103" s="89" t="s">
        <v>2329</v>
      </c>
      <c r="Y1103" s="88" t="s">
        <v>26</v>
      </c>
      <c r="Z1103" s="72">
        <v>640</v>
      </c>
      <c r="AA1103" s="89">
        <v>590</v>
      </c>
    </row>
    <row r="1104" spans="1:27">
      <c r="A1104" s="216"/>
      <c r="B1104" s="217"/>
      <c r="F1104" s="88" t="s">
        <v>8</v>
      </c>
      <c r="G1104" s="112" t="s">
        <v>2473</v>
      </c>
      <c r="M1104" s="88" t="s">
        <v>1553</v>
      </c>
      <c r="N1104" s="72" t="s">
        <v>33</v>
      </c>
      <c r="O1104" s="72" t="s">
        <v>43</v>
      </c>
      <c r="P1104" s="72" t="s">
        <v>33</v>
      </c>
      <c r="Q1104" s="89" t="s">
        <v>2467</v>
      </c>
      <c r="S1104" s="119" t="s">
        <v>64</v>
      </c>
      <c r="T1104" s="120" t="s">
        <v>2474</v>
      </c>
      <c r="V1104" s="88" t="s">
        <v>79</v>
      </c>
      <c r="W1104" s="89" t="s">
        <v>1584</v>
      </c>
      <c r="Y1104" s="90" t="s">
        <v>92</v>
      </c>
      <c r="Z1104" s="91"/>
      <c r="AA1104" s="122">
        <v>7.8E-2</v>
      </c>
    </row>
    <row r="1105" spans="1:27">
      <c r="A1105" s="216"/>
      <c r="B1105" s="217"/>
      <c r="F1105" s="88" t="s">
        <v>10</v>
      </c>
      <c r="G1105" s="112" t="s">
        <v>12</v>
      </c>
      <c r="M1105" s="88" t="s">
        <v>49</v>
      </c>
      <c r="N1105" s="72" t="s">
        <v>33</v>
      </c>
      <c r="O1105" s="72" t="s">
        <v>43</v>
      </c>
      <c r="P1105" s="72" t="s">
        <v>33</v>
      </c>
      <c r="Q1105" s="89" t="s">
        <v>2475</v>
      </c>
      <c r="S1105" s="90" t="s">
        <v>66</v>
      </c>
      <c r="T1105" s="133" t="s">
        <v>2311</v>
      </c>
      <c r="V1105" s="90" t="s">
        <v>82</v>
      </c>
      <c r="W1105" s="92" t="s">
        <v>2476</v>
      </c>
    </row>
    <row r="1106" spans="1:27">
      <c r="A1106" s="216"/>
      <c r="B1106" s="217"/>
      <c r="F1106" s="88" t="s">
        <v>13</v>
      </c>
      <c r="G1106" t="s">
        <v>2477</v>
      </c>
      <c r="M1106" s="88" t="s">
        <v>1972</v>
      </c>
      <c r="N1106" s="72" t="s">
        <v>35</v>
      </c>
      <c r="O1106" s="72" t="s">
        <v>52</v>
      </c>
      <c r="P1106" s="72" t="s">
        <v>35</v>
      </c>
      <c r="Q1106" s="89" t="s">
        <v>2458</v>
      </c>
    </row>
    <row r="1107" spans="1:27">
      <c r="A1107" s="216"/>
      <c r="B1107" s="217"/>
      <c r="F1107" s="88" t="s">
        <v>15</v>
      </c>
      <c r="G1107" s="112" t="s">
        <v>2478</v>
      </c>
      <c r="M1107" s="88" t="s">
        <v>2405</v>
      </c>
      <c r="N1107" s="72" t="s">
        <v>35</v>
      </c>
      <c r="O1107" s="72" t="s">
        <v>52</v>
      </c>
      <c r="P1107" s="72" t="s">
        <v>35</v>
      </c>
      <c r="Q1107" s="89" t="s">
        <v>2459</v>
      </c>
    </row>
    <row r="1108" spans="1:27">
      <c r="A1108" s="216"/>
      <c r="B1108" s="217"/>
      <c r="F1108" s="119" t="s">
        <v>17</v>
      </c>
      <c r="G1108" s="144">
        <v>46126</v>
      </c>
      <c r="M1108" s="88" t="s">
        <v>1904</v>
      </c>
      <c r="N1108" s="72" t="s">
        <v>35</v>
      </c>
      <c r="O1108" s="72" t="s">
        <v>52</v>
      </c>
      <c r="P1108" s="72" t="s">
        <v>35</v>
      </c>
      <c r="Q1108" s="89" t="s">
        <v>2460</v>
      </c>
    </row>
    <row r="1109" spans="1:27">
      <c r="A1109" s="218"/>
      <c r="B1109" s="219"/>
      <c r="F1109" s="90" t="s">
        <v>18</v>
      </c>
      <c r="G1109" s="114" t="s">
        <v>19</v>
      </c>
      <c r="M1109" s="88" t="s">
        <v>1975</v>
      </c>
      <c r="N1109" s="72" t="s">
        <v>35</v>
      </c>
      <c r="O1109" s="72" t="s">
        <v>52</v>
      </c>
      <c r="P1109" s="72" t="s">
        <v>35</v>
      </c>
      <c r="Q1109" s="89" t="s">
        <v>2479</v>
      </c>
    </row>
    <row r="1110" spans="1:27">
      <c r="M1110" s="90" t="s">
        <v>2428</v>
      </c>
      <c r="N1110" s="91" t="s">
        <v>35</v>
      </c>
      <c r="O1110" s="91" t="s">
        <v>52</v>
      </c>
      <c r="P1110" s="91" t="s">
        <v>35</v>
      </c>
      <c r="Q1110" s="92" t="s">
        <v>2480</v>
      </c>
    </row>
    <row r="1114" spans="1:27">
      <c r="A1114" s="214" t="s">
        <v>408</v>
      </c>
      <c r="B1114" s="215"/>
      <c r="F1114" s="85" t="s">
        <v>0</v>
      </c>
      <c r="G1114" s="118" t="s">
        <v>1</v>
      </c>
      <c r="I1114" s="85" t="s">
        <v>20</v>
      </c>
      <c r="J1114" s="86" t="s">
        <v>21</v>
      </c>
      <c r="K1114" s="87" t="s">
        <v>23</v>
      </c>
      <c r="M1114" s="85" t="s">
        <v>27</v>
      </c>
      <c r="N1114" s="86" t="s">
        <v>28</v>
      </c>
      <c r="O1114" s="86" t="s">
        <v>29</v>
      </c>
      <c r="P1114" s="86" t="s">
        <v>30</v>
      </c>
      <c r="Q1114" s="87" t="s">
        <v>31</v>
      </c>
      <c r="S1114" s="85" t="s">
        <v>56</v>
      </c>
      <c r="T1114" s="87" t="s">
        <v>57</v>
      </c>
      <c r="U1114" s="79"/>
      <c r="V1114" s="85" t="s">
        <v>68</v>
      </c>
      <c r="W1114" s="87" t="s">
        <v>69</v>
      </c>
      <c r="Y1114" s="85" t="s">
        <v>85</v>
      </c>
      <c r="Z1114" s="86" t="s">
        <v>88</v>
      </c>
      <c r="AA1114" s="87" t="s">
        <v>89</v>
      </c>
    </row>
    <row r="1115" spans="1:27">
      <c r="A1115" s="216"/>
      <c r="B1115" s="217"/>
      <c r="F1115" s="88" t="s">
        <v>2</v>
      </c>
      <c r="G1115" s="134" t="s">
        <v>2481</v>
      </c>
      <c r="I1115" s="88" t="s">
        <v>24</v>
      </c>
      <c r="J1115" s="72">
        <v>6</v>
      </c>
      <c r="K1115" s="89">
        <v>415</v>
      </c>
      <c r="M1115" s="88" t="s">
        <v>2482</v>
      </c>
      <c r="N1115" s="72" t="s">
        <v>33</v>
      </c>
      <c r="O1115" s="72" t="s">
        <v>43</v>
      </c>
      <c r="P1115" s="72" t="s">
        <v>33</v>
      </c>
      <c r="Q1115" s="89" t="s">
        <v>1964</v>
      </c>
      <c r="S1115" s="88" t="s">
        <v>58</v>
      </c>
      <c r="T1115" s="89" t="s">
        <v>2046</v>
      </c>
      <c r="V1115" s="138" t="s">
        <v>70</v>
      </c>
      <c r="W1115" s="139" t="s">
        <v>2483</v>
      </c>
      <c r="Y1115" s="138" t="s">
        <v>90</v>
      </c>
      <c r="Z1115" s="137">
        <v>415</v>
      </c>
      <c r="AA1115" s="139">
        <v>250</v>
      </c>
    </row>
    <row r="1116" spans="1:27">
      <c r="A1116" s="216"/>
      <c r="B1116" s="217"/>
      <c r="F1116" s="88" t="s">
        <v>4</v>
      </c>
      <c r="G1116" s="112" t="s">
        <v>894</v>
      </c>
      <c r="I1116" s="88" t="s">
        <v>25</v>
      </c>
      <c r="J1116" s="80">
        <v>4</v>
      </c>
      <c r="K1116" s="89">
        <v>295</v>
      </c>
      <c r="M1116" s="88" t="s">
        <v>32</v>
      </c>
      <c r="N1116" s="72" t="s">
        <v>33</v>
      </c>
      <c r="O1116" s="72" t="s">
        <v>34</v>
      </c>
      <c r="P1116" s="72" t="s">
        <v>35</v>
      </c>
      <c r="Q1116" s="89" t="s">
        <v>2462</v>
      </c>
      <c r="S1116" s="88" t="s">
        <v>60</v>
      </c>
      <c r="T1116" s="89" t="s">
        <v>2064</v>
      </c>
      <c r="V1116" s="135" t="s">
        <v>73</v>
      </c>
      <c r="W1116" s="136" t="s">
        <v>2452</v>
      </c>
      <c r="Y1116" s="88" t="s">
        <v>91</v>
      </c>
      <c r="Z1116" s="72">
        <v>295</v>
      </c>
      <c r="AA1116" s="89">
        <v>380</v>
      </c>
    </row>
    <row r="1117" spans="1:27">
      <c r="A1117" s="216"/>
      <c r="B1117" s="217"/>
      <c r="F1117" s="88" t="s">
        <v>6</v>
      </c>
      <c r="G1117" s="112" t="s">
        <v>1484</v>
      </c>
      <c r="I1117" s="90" t="s">
        <v>26</v>
      </c>
      <c r="J1117" s="91"/>
      <c r="K1117" s="92">
        <v>710</v>
      </c>
      <c r="M1117" s="88" t="s">
        <v>1638</v>
      </c>
      <c r="N1117" s="72" t="s">
        <v>33</v>
      </c>
      <c r="O1117" s="72" t="s">
        <v>34</v>
      </c>
      <c r="P1117" s="72" t="s">
        <v>35</v>
      </c>
      <c r="Q1117" s="89" t="s">
        <v>1967</v>
      </c>
      <c r="S1117" s="88" t="s">
        <v>62</v>
      </c>
      <c r="T1117" s="89" t="s">
        <v>2464</v>
      </c>
      <c r="V1117" s="88" t="s">
        <v>76</v>
      </c>
      <c r="W1117" s="89" t="s">
        <v>2080</v>
      </c>
      <c r="Y1117" s="88" t="s">
        <v>26</v>
      </c>
      <c r="Z1117" s="72">
        <v>710</v>
      </c>
      <c r="AA1117" s="89">
        <v>630</v>
      </c>
    </row>
    <row r="1118" spans="1:27">
      <c r="A1118" s="216"/>
      <c r="B1118" s="217"/>
      <c r="F1118" s="88" t="s">
        <v>8</v>
      </c>
      <c r="G1118" s="112" t="s">
        <v>2484</v>
      </c>
      <c r="M1118" s="88" t="s">
        <v>1553</v>
      </c>
      <c r="N1118" s="72" t="s">
        <v>33</v>
      </c>
      <c r="O1118" s="72" t="s">
        <v>43</v>
      </c>
      <c r="P1118" s="72" t="s">
        <v>33</v>
      </c>
      <c r="Q1118" s="89" t="s">
        <v>2467</v>
      </c>
      <c r="S1118" s="119" t="s">
        <v>64</v>
      </c>
      <c r="T1118" s="120" t="s">
        <v>2485</v>
      </c>
      <c r="V1118" s="88" t="s">
        <v>79</v>
      </c>
      <c r="W1118" s="89" t="s">
        <v>1584</v>
      </c>
      <c r="Y1118" s="90" t="s">
        <v>92</v>
      </c>
      <c r="Z1118" s="91"/>
      <c r="AA1118" s="122">
        <v>0.113</v>
      </c>
    </row>
    <row r="1119" spans="1:27">
      <c r="A1119" s="216"/>
      <c r="B1119" s="217"/>
      <c r="F1119" s="88" t="s">
        <v>10</v>
      </c>
      <c r="G1119" s="112" t="s">
        <v>882</v>
      </c>
      <c r="M1119" s="88" t="s">
        <v>49</v>
      </c>
      <c r="N1119" s="72" t="s">
        <v>33</v>
      </c>
      <c r="O1119" s="72" t="s">
        <v>43</v>
      </c>
      <c r="P1119" s="72" t="s">
        <v>33</v>
      </c>
      <c r="Q1119" s="89" t="s">
        <v>2486</v>
      </c>
      <c r="S1119" s="90" t="s">
        <v>66</v>
      </c>
      <c r="T1119" s="133" t="s">
        <v>2311</v>
      </c>
      <c r="V1119" s="90" t="s">
        <v>82</v>
      </c>
      <c r="W1119" s="92" t="s">
        <v>2358</v>
      </c>
    </row>
    <row r="1120" spans="1:27">
      <c r="A1120" s="216"/>
      <c r="B1120" s="217"/>
      <c r="F1120" s="88" t="s">
        <v>13</v>
      </c>
      <c r="G1120" t="s">
        <v>2487</v>
      </c>
      <c r="M1120" s="88" t="s">
        <v>1879</v>
      </c>
      <c r="N1120" s="72" t="s">
        <v>33</v>
      </c>
      <c r="O1120" s="72" t="s">
        <v>34</v>
      </c>
      <c r="P1120" s="72" t="s">
        <v>35</v>
      </c>
      <c r="Q1120" s="89" t="s">
        <v>2452</v>
      </c>
    </row>
    <row r="1121" spans="1:27">
      <c r="A1121" s="216"/>
      <c r="B1121" s="217"/>
      <c r="F1121" s="88" t="s">
        <v>15</v>
      </c>
      <c r="G1121" s="112" t="s">
        <v>2488</v>
      </c>
      <c r="M1121" s="88" t="s">
        <v>1972</v>
      </c>
      <c r="N1121" s="72" t="s">
        <v>35</v>
      </c>
      <c r="O1121" s="72" t="s">
        <v>52</v>
      </c>
      <c r="P1121" s="72" t="s">
        <v>35</v>
      </c>
      <c r="Q1121" s="89" t="s">
        <v>2458</v>
      </c>
    </row>
    <row r="1122" spans="1:27">
      <c r="A1122" s="216"/>
      <c r="B1122" s="217"/>
      <c r="F1122" s="119" t="s">
        <v>17</v>
      </c>
      <c r="G1122" s="144">
        <v>46126</v>
      </c>
      <c r="M1122" s="88" t="s">
        <v>2405</v>
      </c>
      <c r="N1122" s="72" t="s">
        <v>35</v>
      </c>
      <c r="O1122" s="72" t="s">
        <v>52</v>
      </c>
      <c r="P1122" s="72" t="s">
        <v>35</v>
      </c>
      <c r="Q1122" s="89" t="s">
        <v>2459</v>
      </c>
    </row>
    <row r="1123" spans="1:27">
      <c r="A1123" s="218"/>
      <c r="B1123" s="219"/>
      <c r="F1123" s="90" t="s">
        <v>18</v>
      </c>
      <c r="G1123" s="114" t="s">
        <v>19</v>
      </c>
      <c r="M1123" s="88" t="s">
        <v>1958</v>
      </c>
      <c r="N1123" s="72" t="s">
        <v>35</v>
      </c>
      <c r="O1123" s="72" t="s">
        <v>52</v>
      </c>
      <c r="P1123" s="72" t="s">
        <v>35</v>
      </c>
      <c r="Q1123" s="89" t="s">
        <v>2460</v>
      </c>
    </row>
    <row r="1124" spans="1:27">
      <c r="M1124" s="90" t="s">
        <v>1975</v>
      </c>
      <c r="N1124" s="91" t="s">
        <v>35</v>
      </c>
      <c r="O1124" s="91" t="s">
        <v>52</v>
      </c>
      <c r="P1124" s="91" t="s">
        <v>35</v>
      </c>
      <c r="Q1124" s="92" t="s">
        <v>2479</v>
      </c>
    </row>
    <row r="1128" spans="1:27">
      <c r="A1128" s="214" t="s">
        <v>410</v>
      </c>
      <c r="B1128" s="215"/>
      <c r="F1128" s="85" t="s">
        <v>0</v>
      </c>
      <c r="G1128" s="118" t="s">
        <v>1</v>
      </c>
      <c r="I1128" s="85" t="s">
        <v>20</v>
      </c>
      <c r="J1128" s="86" t="s">
        <v>21</v>
      </c>
      <c r="K1128" s="87" t="s">
        <v>23</v>
      </c>
      <c r="M1128" s="85" t="s">
        <v>27</v>
      </c>
      <c r="N1128" s="86" t="s">
        <v>28</v>
      </c>
      <c r="O1128" s="86" t="s">
        <v>29</v>
      </c>
      <c r="P1128" s="86" t="s">
        <v>30</v>
      </c>
      <c r="Q1128" s="87" t="s">
        <v>31</v>
      </c>
      <c r="S1128" s="85" t="s">
        <v>56</v>
      </c>
      <c r="T1128" s="87" t="s">
        <v>57</v>
      </c>
      <c r="U1128" s="79"/>
      <c r="V1128" s="85" t="s">
        <v>68</v>
      </c>
      <c r="W1128" s="87" t="s">
        <v>69</v>
      </c>
      <c r="Y1128" s="85" t="s">
        <v>85</v>
      </c>
      <c r="Z1128" s="86" t="s">
        <v>88</v>
      </c>
      <c r="AA1128" s="87" t="s">
        <v>89</v>
      </c>
    </row>
    <row r="1129" spans="1:27">
      <c r="A1129" s="216"/>
      <c r="B1129" s="217"/>
      <c r="F1129" s="88" t="s">
        <v>2</v>
      </c>
      <c r="G1129" s="134" t="s">
        <v>2489</v>
      </c>
      <c r="I1129" s="88" t="s">
        <v>24</v>
      </c>
      <c r="J1129" s="72">
        <v>6</v>
      </c>
      <c r="K1129" s="89">
        <v>435</v>
      </c>
      <c r="M1129" s="88" t="s">
        <v>2490</v>
      </c>
      <c r="N1129" s="72" t="s">
        <v>33</v>
      </c>
      <c r="O1129" s="72" t="s">
        <v>43</v>
      </c>
      <c r="P1129" s="72" t="s">
        <v>33</v>
      </c>
      <c r="Q1129" s="89" t="s">
        <v>1805</v>
      </c>
      <c r="S1129" s="88" t="s">
        <v>58</v>
      </c>
      <c r="T1129" s="89" t="s">
        <v>2046</v>
      </c>
      <c r="V1129" s="138" t="s">
        <v>70</v>
      </c>
      <c r="W1129" s="139" t="s">
        <v>2491</v>
      </c>
      <c r="Y1129" s="138" t="s">
        <v>90</v>
      </c>
      <c r="Z1129" s="137">
        <v>435</v>
      </c>
      <c r="AA1129" s="139">
        <v>260</v>
      </c>
    </row>
    <row r="1130" spans="1:27">
      <c r="A1130" s="216"/>
      <c r="B1130" s="217"/>
      <c r="F1130" s="88" t="s">
        <v>4</v>
      </c>
      <c r="G1130" s="112" t="s">
        <v>894</v>
      </c>
      <c r="I1130" s="88" t="s">
        <v>25</v>
      </c>
      <c r="J1130" s="80">
        <v>4</v>
      </c>
      <c r="K1130" s="89">
        <v>285</v>
      </c>
      <c r="M1130" s="88" t="s">
        <v>32</v>
      </c>
      <c r="N1130" s="72" t="s">
        <v>33</v>
      </c>
      <c r="O1130" s="72" t="s">
        <v>34</v>
      </c>
      <c r="P1130" s="72" t="s">
        <v>35</v>
      </c>
      <c r="Q1130" s="89" t="s">
        <v>1906</v>
      </c>
      <c r="S1130" s="88" t="s">
        <v>60</v>
      </c>
      <c r="T1130" s="89" t="s">
        <v>2492</v>
      </c>
      <c r="V1130" s="135" t="s">
        <v>73</v>
      </c>
      <c r="W1130" s="136" t="s">
        <v>2065</v>
      </c>
      <c r="Y1130" s="88" t="s">
        <v>91</v>
      </c>
      <c r="Z1130" s="72">
        <v>285</v>
      </c>
      <c r="AA1130" s="89">
        <v>390</v>
      </c>
    </row>
    <row r="1131" spans="1:27">
      <c r="A1131" s="216"/>
      <c r="B1131" s="217"/>
      <c r="F1131" s="88" t="s">
        <v>6</v>
      </c>
      <c r="G1131" s="112" t="s">
        <v>1484</v>
      </c>
      <c r="I1131" s="90" t="s">
        <v>26</v>
      </c>
      <c r="J1131" s="91"/>
      <c r="K1131" s="92">
        <v>720</v>
      </c>
      <c r="M1131" s="88" t="s">
        <v>1638</v>
      </c>
      <c r="N1131" s="72" t="s">
        <v>33</v>
      </c>
      <c r="O1131" s="72" t="s">
        <v>34</v>
      </c>
      <c r="P1131" s="72" t="s">
        <v>35</v>
      </c>
      <c r="Q1131" s="89" t="s">
        <v>1778</v>
      </c>
      <c r="S1131" s="88" t="s">
        <v>62</v>
      </c>
      <c r="T1131" s="89" t="s">
        <v>2016</v>
      </c>
      <c r="V1131" s="88" t="s">
        <v>76</v>
      </c>
      <c r="W1131" s="89" t="s">
        <v>2080</v>
      </c>
      <c r="Y1131" s="88" t="s">
        <v>26</v>
      </c>
      <c r="Z1131" s="72">
        <v>720</v>
      </c>
      <c r="AA1131" s="89">
        <v>650</v>
      </c>
    </row>
    <row r="1132" spans="1:27">
      <c r="A1132" s="216"/>
      <c r="B1132" s="217"/>
      <c r="F1132" s="88" t="s">
        <v>8</v>
      </c>
      <c r="G1132" s="112" t="s">
        <v>2493</v>
      </c>
      <c r="M1132" s="88" t="s">
        <v>1553</v>
      </c>
      <c r="N1132" s="72" t="s">
        <v>33</v>
      </c>
      <c r="O1132" s="72" t="s">
        <v>43</v>
      </c>
      <c r="P1132" s="72" t="s">
        <v>33</v>
      </c>
      <c r="Q1132" s="89" t="s">
        <v>1811</v>
      </c>
      <c r="S1132" s="119" t="s">
        <v>64</v>
      </c>
      <c r="T1132" s="120" t="s">
        <v>2494</v>
      </c>
      <c r="V1132" s="88" t="s">
        <v>79</v>
      </c>
      <c r="W1132" s="89" t="s">
        <v>1584</v>
      </c>
      <c r="Y1132" s="90" t="s">
        <v>92</v>
      </c>
      <c r="Z1132" s="91"/>
      <c r="AA1132" s="122">
        <v>9.7000000000000003E-2</v>
      </c>
    </row>
    <row r="1133" spans="1:27">
      <c r="A1133" s="216"/>
      <c r="B1133" s="217"/>
      <c r="F1133" s="88" t="s">
        <v>10</v>
      </c>
      <c r="G1133" s="112" t="s">
        <v>12</v>
      </c>
      <c r="M1133" s="88" t="s">
        <v>49</v>
      </c>
      <c r="N1133" s="72" t="s">
        <v>33</v>
      </c>
      <c r="O1133" s="72" t="s">
        <v>43</v>
      </c>
      <c r="P1133" s="72" t="s">
        <v>33</v>
      </c>
      <c r="Q1133" s="89" t="s">
        <v>2495</v>
      </c>
      <c r="S1133" s="90" t="s">
        <v>66</v>
      </c>
      <c r="T1133" s="133" t="s">
        <v>2070</v>
      </c>
      <c r="V1133" s="90" t="s">
        <v>82</v>
      </c>
      <c r="W1133" s="92" t="s">
        <v>2496</v>
      </c>
    </row>
    <row r="1134" spans="1:27">
      <c r="A1134" s="216"/>
      <c r="B1134" s="217"/>
      <c r="F1134" s="88" t="s">
        <v>13</v>
      </c>
      <c r="G1134" t="s">
        <v>2497</v>
      </c>
      <c r="M1134" s="88" t="s">
        <v>2333</v>
      </c>
      <c r="N1134" s="72" t="s">
        <v>33</v>
      </c>
      <c r="O1134" s="72" t="s">
        <v>34</v>
      </c>
      <c r="P1134" s="72" t="s">
        <v>35</v>
      </c>
      <c r="Q1134" s="89" t="s">
        <v>2404</v>
      </c>
    </row>
    <row r="1135" spans="1:27">
      <c r="A1135" s="216"/>
      <c r="B1135" s="217"/>
      <c r="F1135" s="88" t="s">
        <v>15</v>
      </c>
      <c r="G1135" s="112" t="s">
        <v>2498</v>
      </c>
      <c r="M1135" s="88" t="s">
        <v>1972</v>
      </c>
      <c r="N1135" s="72" t="s">
        <v>35</v>
      </c>
      <c r="O1135" s="72" t="s">
        <v>52</v>
      </c>
      <c r="P1135" s="72" t="s">
        <v>35</v>
      </c>
      <c r="Q1135" s="89" t="s">
        <v>2162</v>
      </c>
    </row>
    <row r="1136" spans="1:27">
      <c r="A1136" s="216"/>
      <c r="B1136" s="217"/>
      <c r="F1136" s="119" t="s">
        <v>17</v>
      </c>
      <c r="G1136" s="144">
        <v>46058</v>
      </c>
      <c r="M1136" s="88" t="s">
        <v>2405</v>
      </c>
      <c r="N1136" s="72" t="s">
        <v>35</v>
      </c>
      <c r="O1136" s="72" t="s">
        <v>52</v>
      </c>
      <c r="P1136" s="72" t="s">
        <v>35</v>
      </c>
      <c r="Q1136" s="89" t="s">
        <v>1922</v>
      </c>
    </row>
    <row r="1137" spans="1:27">
      <c r="A1137" s="218"/>
      <c r="B1137" s="219"/>
      <c r="F1137" s="90" t="s">
        <v>18</v>
      </c>
      <c r="G1137" s="114" t="s">
        <v>19</v>
      </c>
      <c r="M1137" s="88" t="s">
        <v>1958</v>
      </c>
      <c r="N1137" s="72" t="s">
        <v>35</v>
      </c>
      <c r="O1137" s="72" t="s">
        <v>52</v>
      </c>
      <c r="P1137" s="72" t="s">
        <v>35</v>
      </c>
      <c r="Q1137" s="89" t="s">
        <v>2041</v>
      </c>
    </row>
    <row r="1138" spans="1:27">
      <c r="M1138" s="90" t="s">
        <v>1975</v>
      </c>
      <c r="N1138" s="91" t="s">
        <v>35</v>
      </c>
      <c r="O1138" s="91" t="s">
        <v>52</v>
      </c>
      <c r="P1138" s="91" t="s">
        <v>35</v>
      </c>
      <c r="Q1138" s="92" t="s">
        <v>1826</v>
      </c>
    </row>
    <row r="1143" spans="1:27">
      <c r="A1143" s="214" t="s">
        <v>412</v>
      </c>
      <c r="B1143" s="215"/>
      <c r="F1143" s="85" t="s">
        <v>0</v>
      </c>
      <c r="G1143" s="118" t="s">
        <v>1</v>
      </c>
      <c r="I1143" s="85" t="s">
        <v>20</v>
      </c>
      <c r="J1143" s="86" t="s">
        <v>21</v>
      </c>
      <c r="K1143" s="87" t="s">
        <v>23</v>
      </c>
      <c r="M1143" s="85" t="s">
        <v>27</v>
      </c>
      <c r="N1143" s="86" t="s">
        <v>28</v>
      </c>
      <c r="O1143" s="86" t="s">
        <v>29</v>
      </c>
      <c r="P1143" s="86" t="s">
        <v>30</v>
      </c>
      <c r="Q1143" s="87" t="s">
        <v>31</v>
      </c>
      <c r="S1143" s="85" t="s">
        <v>56</v>
      </c>
      <c r="T1143" s="87" t="s">
        <v>57</v>
      </c>
      <c r="U1143" s="79"/>
      <c r="V1143" s="85" t="s">
        <v>68</v>
      </c>
      <c r="W1143" s="87" t="s">
        <v>69</v>
      </c>
      <c r="Y1143" s="85" t="s">
        <v>85</v>
      </c>
      <c r="Z1143" s="86" t="s">
        <v>86</v>
      </c>
      <c r="AA1143" s="87" t="s">
        <v>87</v>
      </c>
    </row>
    <row r="1144" spans="1:27">
      <c r="A1144" s="216"/>
      <c r="B1144" s="217"/>
      <c r="F1144" s="88" t="s">
        <v>2</v>
      </c>
      <c r="G1144" s="134" t="s">
        <v>2499</v>
      </c>
      <c r="I1144" s="88" t="s">
        <v>24</v>
      </c>
      <c r="J1144" s="72">
        <v>6</v>
      </c>
      <c r="K1144" s="89">
        <v>140</v>
      </c>
      <c r="M1144" s="88" t="s">
        <v>2500</v>
      </c>
      <c r="N1144" s="72" t="s">
        <v>35</v>
      </c>
      <c r="O1144" s="72" t="s">
        <v>52</v>
      </c>
      <c r="P1144" s="72" t="s">
        <v>35</v>
      </c>
      <c r="Q1144" s="89" t="s">
        <v>2501</v>
      </c>
      <c r="S1144" s="88" t="s">
        <v>58</v>
      </c>
      <c r="T1144" s="89" t="s">
        <v>2502</v>
      </c>
      <c r="V1144" s="138" t="s">
        <v>70</v>
      </c>
      <c r="W1144" s="139" t="s">
        <v>71</v>
      </c>
      <c r="Y1144" s="138" t="s">
        <v>90</v>
      </c>
      <c r="Z1144" s="137">
        <v>140</v>
      </c>
      <c r="AA1144" s="139">
        <v>80</v>
      </c>
    </row>
    <row r="1145" spans="1:27">
      <c r="A1145" s="216"/>
      <c r="B1145" s="217"/>
      <c r="F1145" s="88" t="s">
        <v>4</v>
      </c>
      <c r="G1145" s="112" t="s">
        <v>894</v>
      </c>
      <c r="I1145" s="88" t="s">
        <v>25</v>
      </c>
      <c r="J1145" s="80">
        <v>4</v>
      </c>
      <c r="K1145" s="89">
        <v>80</v>
      </c>
      <c r="M1145" s="88" t="s">
        <v>2503</v>
      </c>
      <c r="N1145" s="72" t="s">
        <v>35</v>
      </c>
      <c r="O1145" s="72" t="s">
        <v>52</v>
      </c>
      <c r="P1145" s="72" t="s">
        <v>35</v>
      </c>
      <c r="Q1145" s="89" t="s">
        <v>2504</v>
      </c>
      <c r="S1145" s="88" t="s">
        <v>60</v>
      </c>
      <c r="T1145" s="89" t="s">
        <v>2505</v>
      </c>
      <c r="V1145" s="135" t="s">
        <v>73</v>
      </c>
      <c r="W1145" s="136" t="s">
        <v>2506</v>
      </c>
      <c r="Y1145" s="88" t="s">
        <v>91</v>
      </c>
      <c r="Z1145" s="72">
        <v>80</v>
      </c>
      <c r="AA1145" s="89">
        <v>110</v>
      </c>
    </row>
    <row r="1146" spans="1:27">
      <c r="A1146" s="216"/>
      <c r="B1146" s="217"/>
      <c r="F1146" s="88" t="s">
        <v>6</v>
      </c>
      <c r="G1146" s="112" t="s">
        <v>1484</v>
      </c>
      <c r="I1146" s="90" t="s">
        <v>26</v>
      </c>
      <c r="J1146" s="91"/>
      <c r="K1146" s="92">
        <v>220</v>
      </c>
      <c r="M1146" s="88" t="s">
        <v>924</v>
      </c>
      <c r="N1146" s="72" t="s">
        <v>35</v>
      </c>
      <c r="O1146" s="72" t="s">
        <v>52</v>
      </c>
      <c r="P1146" s="72" t="s">
        <v>35</v>
      </c>
      <c r="Q1146" s="89" t="s">
        <v>2507</v>
      </c>
      <c r="S1146" s="88" t="s">
        <v>62</v>
      </c>
      <c r="T1146" s="89" t="s">
        <v>2508</v>
      </c>
      <c r="V1146" s="88" t="s">
        <v>76</v>
      </c>
      <c r="W1146" s="89" t="s">
        <v>2509</v>
      </c>
      <c r="Y1146" s="88" t="s">
        <v>26</v>
      </c>
      <c r="Z1146" s="72">
        <v>220</v>
      </c>
      <c r="AA1146" s="89">
        <v>190</v>
      </c>
    </row>
    <row r="1147" spans="1:27">
      <c r="A1147" s="216"/>
      <c r="B1147" s="217"/>
      <c r="F1147" s="88" t="s">
        <v>8</v>
      </c>
      <c r="G1147" s="112" t="s">
        <v>2510</v>
      </c>
      <c r="M1147" s="88" t="s">
        <v>2511</v>
      </c>
      <c r="N1147" s="72" t="s">
        <v>35</v>
      </c>
      <c r="O1147" s="72" t="s">
        <v>52</v>
      </c>
      <c r="P1147" s="72" t="s">
        <v>35</v>
      </c>
      <c r="Q1147" s="89" t="s">
        <v>2512</v>
      </c>
      <c r="S1147" s="119" t="s">
        <v>64</v>
      </c>
      <c r="T1147" s="120" t="s">
        <v>2513</v>
      </c>
      <c r="V1147" s="88" t="s">
        <v>79</v>
      </c>
      <c r="W1147" s="89" t="s">
        <v>945</v>
      </c>
      <c r="Y1147" s="90" t="s">
        <v>92</v>
      </c>
      <c r="Z1147" s="91"/>
      <c r="AA1147" s="122">
        <v>0.14000000000000001</v>
      </c>
    </row>
    <row r="1148" spans="1:27">
      <c r="A1148" s="216"/>
      <c r="B1148" s="217"/>
      <c r="F1148" s="88" t="s">
        <v>10</v>
      </c>
      <c r="G1148" s="112" t="s">
        <v>12</v>
      </c>
      <c r="M1148" s="88" t="s">
        <v>1182</v>
      </c>
      <c r="N1148" s="72" t="s">
        <v>35</v>
      </c>
      <c r="O1148" s="72" t="s">
        <v>52</v>
      </c>
      <c r="P1148" s="72" t="s">
        <v>35</v>
      </c>
      <c r="Q1148" s="89" t="s">
        <v>2514</v>
      </c>
      <c r="S1148" s="90" t="s">
        <v>66</v>
      </c>
      <c r="T1148" s="133" t="s">
        <v>2515</v>
      </c>
      <c r="V1148" s="90" t="s">
        <v>82</v>
      </c>
      <c r="W1148" s="92" t="s">
        <v>2516</v>
      </c>
    </row>
    <row r="1149" spans="1:27">
      <c r="A1149" s="216"/>
      <c r="B1149" s="217"/>
      <c r="F1149" s="88" t="s">
        <v>13</v>
      </c>
      <c r="G1149" t="s">
        <v>2222</v>
      </c>
      <c r="M1149" s="88" t="s">
        <v>2517</v>
      </c>
      <c r="N1149" s="72" t="s">
        <v>35</v>
      </c>
      <c r="O1149" s="72" t="s">
        <v>52</v>
      </c>
      <c r="P1149" s="72" t="s">
        <v>35</v>
      </c>
      <c r="Q1149" s="89" t="s">
        <v>2518</v>
      </c>
    </row>
    <row r="1150" spans="1:27">
      <c r="A1150" s="216"/>
      <c r="B1150" s="217"/>
      <c r="F1150" s="88" t="s">
        <v>15</v>
      </c>
      <c r="G1150" s="112" t="s">
        <v>2519</v>
      </c>
      <c r="M1150" s="88" t="s">
        <v>2520</v>
      </c>
      <c r="N1150" s="72" t="s">
        <v>35</v>
      </c>
      <c r="O1150" s="72" t="s">
        <v>52</v>
      </c>
      <c r="P1150" s="72" t="s">
        <v>35</v>
      </c>
      <c r="Q1150" s="89" t="s">
        <v>1212</v>
      </c>
    </row>
    <row r="1151" spans="1:27">
      <c r="A1151" s="216"/>
      <c r="B1151" s="217"/>
      <c r="F1151" s="119" t="s">
        <v>17</v>
      </c>
      <c r="G1151" s="144">
        <v>46044</v>
      </c>
      <c r="M1151" s="90" t="s">
        <v>1626</v>
      </c>
      <c r="N1151" s="91" t="s">
        <v>35</v>
      </c>
      <c r="O1151" s="91" t="s">
        <v>52</v>
      </c>
      <c r="P1151" s="91" t="s">
        <v>35</v>
      </c>
      <c r="Q1151" s="92" t="s">
        <v>2521</v>
      </c>
    </row>
    <row r="1152" spans="1:27">
      <c r="A1152" s="218"/>
      <c r="B1152" s="219"/>
      <c r="F1152" s="90" t="s">
        <v>18</v>
      </c>
      <c r="G1152" s="114" t="s">
        <v>19</v>
      </c>
    </row>
    <row r="1157" spans="1:27">
      <c r="A1157" s="214" t="s">
        <v>418</v>
      </c>
      <c r="B1157" s="215"/>
      <c r="F1157" s="85" t="s">
        <v>0</v>
      </c>
      <c r="G1157" s="118" t="s">
        <v>1</v>
      </c>
      <c r="I1157" s="85" t="s">
        <v>20</v>
      </c>
      <c r="J1157" s="86" t="s">
        <v>21</v>
      </c>
      <c r="K1157" s="87" t="s">
        <v>23</v>
      </c>
      <c r="M1157" s="85" t="s">
        <v>27</v>
      </c>
      <c r="N1157" s="86" t="s">
        <v>28</v>
      </c>
      <c r="O1157" s="86" t="s">
        <v>29</v>
      </c>
      <c r="P1157" s="86" t="s">
        <v>30</v>
      </c>
      <c r="Q1157" s="87" t="s">
        <v>31</v>
      </c>
      <c r="S1157" s="85" t="s">
        <v>56</v>
      </c>
      <c r="T1157" s="87" t="s">
        <v>57</v>
      </c>
      <c r="U1157" s="79"/>
      <c r="V1157" s="85" t="s">
        <v>68</v>
      </c>
      <c r="W1157" s="87" t="s">
        <v>69</v>
      </c>
      <c r="Y1157" s="85" t="s">
        <v>85</v>
      </c>
      <c r="Z1157" s="86" t="s">
        <v>88</v>
      </c>
      <c r="AA1157" s="87" t="s">
        <v>89</v>
      </c>
    </row>
    <row r="1158" spans="1:27">
      <c r="A1158" s="216"/>
      <c r="B1158" s="217"/>
      <c r="F1158" s="88" t="s">
        <v>2</v>
      </c>
      <c r="G1158" s="134" t="s">
        <v>418</v>
      </c>
      <c r="I1158" s="88" t="s">
        <v>24</v>
      </c>
      <c r="J1158" s="72">
        <v>7</v>
      </c>
      <c r="K1158" s="89">
        <v>165</v>
      </c>
      <c r="M1158" s="88" t="s">
        <v>2522</v>
      </c>
      <c r="N1158" s="72" t="s">
        <v>33</v>
      </c>
      <c r="O1158" s="72" t="s">
        <v>34</v>
      </c>
      <c r="P1158" s="72" t="s">
        <v>35</v>
      </c>
      <c r="Q1158" s="89" t="s">
        <v>2523</v>
      </c>
      <c r="S1158" s="88" t="s">
        <v>58</v>
      </c>
      <c r="T1158" s="89" t="s">
        <v>2524</v>
      </c>
      <c r="V1158" s="138" t="s">
        <v>70</v>
      </c>
      <c r="W1158" s="139" t="s">
        <v>2525</v>
      </c>
      <c r="Y1158" s="138" t="s">
        <v>90</v>
      </c>
      <c r="Z1158" s="137">
        <v>165</v>
      </c>
      <c r="AA1158" s="139">
        <v>95</v>
      </c>
    </row>
    <row r="1159" spans="1:27">
      <c r="A1159" s="216"/>
      <c r="B1159" s="217"/>
      <c r="F1159" s="88" t="s">
        <v>4</v>
      </c>
      <c r="G1159" s="112" t="s">
        <v>894</v>
      </c>
      <c r="I1159" s="88" t="s">
        <v>25</v>
      </c>
      <c r="J1159" s="80">
        <v>5</v>
      </c>
      <c r="K1159" s="89">
        <v>85</v>
      </c>
      <c r="M1159" s="88" t="s">
        <v>37</v>
      </c>
      <c r="N1159" s="72" t="s">
        <v>33</v>
      </c>
      <c r="O1159" s="72" t="s">
        <v>34</v>
      </c>
      <c r="P1159" s="72" t="s">
        <v>35</v>
      </c>
      <c r="Q1159" s="89" t="s">
        <v>2526</v>
      </c>
      <c r="S1159" s="88" t="s">
        <v>60</v>
      </c>
      <c r="T1159" s="89" t="s">
        <v>2527</v>
      </c>
      <c r="V1159" s="135" t="s">
        <v>73</v>
      </c>
      <c r="W1159" s="136" t="s">
        <v>2528</v>
      </c>
      <c r="Y1159" s="88" t="s">
        <v>91</v>
      </c>
      <c r="Z1159" s="72">
        <v>85</v>
      </c>
      <c r="AA1159" s="89">
        <v>120</v>
      </c>
    </row>
    <row r="1160" spans="1:27">
      <c r="A1160" s="216"/>
      <c r="B1160" s="217"/>
      <c r="F1160" s="88" t="s">
        <v>6</v>
      </c>
      <c r="G1160" s="112" t="s">
        <v>1484</v>
      </c>
      <c r="I1160" s="90" t="s">
        <v>26</v>
      </c>
      <c r="J1160" s="91"/>
      <c r="K1160" s="92">
        <v>250</v>
      </c>
      <c r="M1160" s="88" t="s">
        <v>2529</v>
      </c>
      <c r="N1160" s="72" t="s">
        <v>33</v>
      </c>
      <c r="O1160" s="72" t="s">
        <v>43</v>
      </c>
      <c r="P1160" s="72" t="s">
        <v>33</v>
      </c>
      <c r="Q1160" s="89" t="s">
        <v>2530</v>
      </c>
      <c r="S1160" s="88" t="s">
        <v>62</v>
      </c>
      <c r="T1160" s="89" t="s">
        <v>2531</v>
      </c>
      <c r="V1160" s="88" t="s">
        <v>76</v>
      </c>
      <c r="W1160" s="89" t="s">
        <v>2532</v>
      </c>
      <c r="Y1160" s="88" t="s">
        <v>26</v>
      </c>
      <c r="Z1160" s="72">
        <v>250</v>
      </c>
      <c r="AA1160" s="89">
        <v>215</v>
      </c>
    </row>
    <row r="1161" spans="1:27">
      <c r="A1161" s="216"/>
      <c r="B1161" s="217"/>
      <c r="F1161" s="88" t="s">
        <v>8</v>
      </c>
      <c r="G1161" s="112" t="s">
        <v>1810</v>
      </c>
      <c r="M1161" s="88" t="s">
        <v>1135</v>
      </c>
      <c r="N1161" s="72" t="s">
        <v>33</v>
      </c>
      <c r="O1161" s="72" t="s">
        <v>43</v>
      </c>
      <c r="P1161" s="72" t="s">
        <v>33</v>
      </c>
      <c r="Q1161" s="89" t="s">
        <v>2533</v>
      </c>
      <c r="S1161" s="119" t="s">
        <v>64</v>
      </c>
      <c r="T1161" s="120" t="s">
        <v>2534</v>
      </c>
      <c r="V1161" s="88" t="s">
        <v>79</v>
      </c>
      <c r="W1161" s="89" t="s">
        <v>81</v>
      </c>
      <c r="Y1161" s="90" t="s">
        <v>92</v>
      </c>
      <c r="Z1161" s="91"/>
      <c r="AA1161" s="122">
        <v>0.14000000000000001</v>
      </c>
    </row>
    <row r="1162" spans="1:27">
      <c r="A1162" s="216"/>
      <c r="B1162" s="217"/>
      <c r="F1162" s="88" t="s">
        <v>10</v>
      </c>
      <c r="G1162" s="112" t="s">
        <v>12</v>
      </c>
      <c r="M1162" s="88" t="s">
        <v>42</v>
      </c>
      <c r="N1162" s="72" t="s">
        <v>33</v>
      </c>
      <c r="O1162" s="72" t="s">
        <v>34</v>
      </c>
      <c r="P1162" s="72" t="s">
        <v>35</v>
      </c>
      <c r="Q1162" s="89" t="s">
        <v>2535</v>
      </c>
      <c r="S1162" s="90" t="s">
        <v>66</v>
      </c>
      <c r="T1162" s="133" t="s">
        <v>2536</v>
      </c>
      <c r="V1162" s="90" t="s">
        <v>82</v>
      </c>
      <c r="W1162" s="92" t="s">
        <v>2537</v>
      </c>
    </row>
    <row r="1163" spans="1:27">
      <c r="A1163" s="216"/>
      <c r="B1163" s="217"/>
      <c r="F1163" s="88" t="s">
        <v>13</v>
      </c>
      <c r="G1163" t="s">
        <v>2265</v>
      </c>
      <c r="M1163" s="88" t="s">
        <v>2020</v>
      </c>
      <c r="N1163" s="72" t="s">
        <v>33</v>
      </c>
      <c r="O1163" s="72" t="s">
        <v>43</v>
      </c>
      <c r="P1163" s="72" t="s">
        <v>33</v>
      </c>
      <c r="Q1163" s="89" t="s">
        <v>1052</v>
      </c>
    </row>
    <row r="1164" spans="1:27">
      <c r="A1164" s="216"/>
      <c r="B1164" s="217"/>
      <c r="F1164" s="88" t="s">
        <v>15</v>
      </c>
      <c r="G1164" s="112" t="s">
        <v>2538</v>
      </c>
      <c r="M1164" s="88" t="s">
        <v>1737</v>
      </c>
      <c r="N1164" s="72" t="s">
        <v>33</v>
      </c>
      <c r="O1164" s="72" t="s">
        <v>34</v>
      </c>
      <c r="P1164" s="72" t="s">
        <v>35</v>
      </c>
      <c r="Q1164" s="89" t="s">
        <v>2539</v>
      </c>
    </row>
    <row r="1165" spans="1:27">
      <c r="A1165" s="216"/>
      <c r="B1165" s="217"/>
      <c r="F1165" s="119" t="s">
        <v>17</v>
      </c>
      <c r="G1165" s="144">
        <v>46049</v>
      </c>
      <c r="M1165" s="88" t="s">
        <v>2540</v>
      </c>
      <c r="N1165" s="72" t="s">
        <v>35</v>
      </c>
      <c r="O1165" s="72" t="s">
        <v>52</v>
      </c>
      <c r="P1165" s="72" t="s">
        <v>35</v>
      </c>
      <c r="Q1165" s="89" t="s">
        <v>2541</v>
      </c>
    </row>
    <row r="1166" spans="1:27">
      <c r="A1166" s="218"/>
      <c r="B1166" s="219"/>
      <c r="F1166" s="90" t="s">
        <v>18</v>
      </c>
      <c r="G1166" s="114" t="s">
        <v>19</v>
      </c>
      <c r="M1166" s="88" t="s">
        <v>924</v>
      </c>
      <c r="N1166" s="72" t="s">
        <v>35</v>
      </c>
      <c r="O1166" s="72" t="s">
        <v>52</v>
      </c>
      <c r="P1166" s="72" t="s">
        <v>35</v>
      </c>
      <c r="Q1166" s="89" t="s">
        <v>2542</v>
      </c>
    </row>
    <row r="1167" spans="1:27">
      <c r="M1167" s="88" t="s">
        <v>2543</v>
      </c>
      <c r="N1167" s="72" t="s">
        <v>35</v>
      </c>
      <c r="O1167" s="72" t="s">
        <v>52</v>
      </c>
      <c r="P1167" s="72" t="s">
        <v>35</v>
      </c>
      <c r="Q1167" s="89" t="s">
        <v>2544</v>
      </c>
    </row>
    <row r="1168" spans="1:27">
      <c r="M1168" s="88" t="s">
        <v>2545</v>
      </c>
      <c r="N1168" s="72" t="s">
        <v>35</v>
      </c>
      <c r="O1168" s="72" t="s">
        <v>52</v>
      </c>
      <c r="P1168" s="72" t="s">
        <v>35</v>
      </c>
      <c r="Q1168" s="89" t="s">
        <v>2546</v>
      </c>
    </row>
    <row r="1169" spans="1:27">
      <c r="M1169" s="90" t="s">
        <v>1975</v>
      </c>
      <c r="N1169" s="91" t="s">
        <v>35</v>
      </c>
      <c r="O1169" s="91" t="s">
        <v>52</v>
      </c>
      <c r="P1169" s="91" t="s">
        <v>35</v>
      </c>
      <c r="Q1169" s="92" t="s">
        <v>1086</v>
      </c>
    </row>
    <row r="1175" spans="1:27">
      <c r="A1175" s="214" t="s">
        <v>420</v>
      </c>
      <c r="B1175" s="215"/>
      <c r="F1175" s="85" t="s">
        <v>0</v>
      </c>
      <c r="G1175" s="118" t="s">
        <v>1</v>
      </c>
      <c r="I1175" s="85" t="s">
        <v>20</v>
      </c>
      <c r="J1175" s="86" t="s">
        <v>21</v>
      </c>
      <c r="K1175" s="87" t="s">
        <v>23</v>
      </c>
      <c r="M1175" s="85" t="s">
        <v>27</v>
      </c>
      <c r="N1175" s="86" t="s">
        <v>28</v>
      </c>
      <c r="O1175" s="86" t="s">
        <v>29</v>
      </c>
      <c r="P1175" s="86" t="s">
        <v>30</v>
      </c>
      <c r="Q1175" s="87" t="s">
        <v>31</v>
      </c>
      <c r="S1175" s="85" t="s">
        <v>56</v>
      </c>
      <c r="T1175" s="87" t="s">
        <v>57</v>
      </c>
      <c r="U1175" s="79"/>
      <c r="V1175" s="85" t="s">
        <v>68</v>
      </c>
      <c r="W1175" s="87" t="s">
        <v>69</v>
      </c>
      <c r="Y1175" s="85" t="s">
        <v>85</v>
      </c>
      <c r="Z1175" s="86" t="s">
        <v>88</v>
      </c>
      <c r="AA1175" s="87" t="s">
        <v>89</v>
      </c>
    </row>
    <row r="1176" spans="1:27">
      <c r="A1176" s="216"/>
      <c r="B1176" s="217"/>
      <c r="F1176" s="88" t="s">
        <v>2</v>
      </c>
      <c r="G1176" s="134" t="s">
        <v>2547</v>
      </c>
      <c r="I1176" s="88" t="s">
        <v>24</v>
      </c>
      <c r="J1176" s="72">
        <v>8</v>
      </c>
      <c r="K1176" s="89">
        <v>210</v>
      </c>
      <c r="M1176" s="88" t="s">
        <v>2548</v>
      </c>
      <c r="N1176" s="72" t="s">
        <v>33</v>
      </c>
      <c r="O1176" s="72" t="s">
        <v>43</v>
      </c>
      <c r="P1176" s="72" t="s">
        <v>33</v>
      </c>
      <c r="Q1176" s="89" t="s">
        <v>2549</v>
      </c>
      <c r="S1176" s="88" t="s">
        <v>58</v>
      </c>
      <c r="T1176" s="89" t="s">
        <v>2550</v>
      </c>
      <c r="V1176" s="138" t="s">
        <v>70</v>
      </c>
      <c r="W1176" s="139" t="s">
        <v>2551</v>
      </c>
      <c r="Y1176" s="138" t="s">
        <v>90</v>
      </c>
      <c r="Z1176" s="137">
        <v>210</v>
      </c>
      <c r="AA1176" s="139">
        <v>130</v>
      </c>
    </row>
    <row r="1177" spans="1:27">
      <c r="A1177" s="216"/>
      <c r="B1177" s="217"/>
      <c r="F1177" s="88" t="s">
        <v>4</v>
      </c>
      <c r="G1177" s="112" t="s">
        <v>894</v>
      </c>
      <c r="I1177" s="88" t="s">
        <v>25</v>
      </c>
      <c r="J1177" s="80">
        <v>5</v>
      </c>
      <c r="K1177" s="89">
        <v>95</v>
      </c>
      <c r="M1177" s="88" t="s">
        <v>2552</v>
      </c>
      <c r="N1177" s="72" t="s">
        <v>33</v>
      </c>
      <c r="O1177" s="72" t="s">
        <v>34</v>
      </c>
      <c r="P1177" s="72" t="s">
        <v>35</v>
      </c>
      <c r="Q1177" s="89" t="s">
        <v>2553</v>
      </c>
      <c r="S1177" s="88" t="s">
        <v>60</v>
      </c>
      <c r="T1177" s="89" t="s">
        <v>2554</v>
      </c>
      <c r="V1177" s="135" t="s">
        <v>73</v>
      </c>
      <c r="W1177" s="136" t="s">
        <v>2555</v>
      </c>
      <c r="Y1177" s="88" t="s">
        <v>91</v>
      </c>
      <c r="Z1177" s="72">
        <v>95</v>
      </c>
      <c r="AA1177" s="89">
        <v>140</v>
      </c>
    </row>
    <row r="1178" spans="1:27">
      <c r="A1178" s="216"/>
      <c r="B1178" s="217"/>
      <c r="F1178" s="88" t="s">
        <v>6</v>
      </c>
      <c r="G1178" s="112" t="s">
        <v>895</v>
      </c>
      <c r="I1178" s="90" t="s">
        <v>26</v>
      </c>
      <c r="J1178" s="91"/>
      <c r="K1178" s="92">
        <v>305</v>
      </c>
      <c r="M1178" s="88" t="s">
        <v>37</v>
      </c>
      <c r="N1178" s="72" t="s">
        <v>33</v>
      </c>
      <c r="O1178" s="72" t="s">
        <v>34</v>
      </c>
      <c r="P1178" s="72" t="s">
        <v>35</v>
      </c>
      <c r="Q1178" s="89" t="s">
        <v>39</v>
      </c>
      <c r="S1178" s="88" t="s">
        <v>62</v>
      </c>
      <c r="T1178" s="89" t="s">
        <v>2556</v>
      </c>
      <c r="V1178" s="88" t="s">
        <v>76</v>
      </c>
      <c r="W1178" s="89" t="s">
        <v>2557</v>
      </c>
      <c r="Y1178" s="88" t="s">
        <v>26</v>
      </c>
      <c r="Z1178" s="72">
        <v>305</v>
      </c>
      <c r="AA1178" s="89">
        <v>270</v>
      </c>
    </row>
    <row r="1179" spans="1:27">
      <c r="A1179" s="216"/>
      <c r="B1179" s="217"/>
      <c r="F1179" s="88" t="s">
        <v>8</v>
      </c>
      <c r="G1179" s="112" t="s">
        <v>1695</v>
      </c>
      <c r="M1179" s="88" t="s">
        <v>1621</v>
      </c>
      <c r="N1179" s="72" t="s">
        <v>33</v>
      </c>
      <c r="O1179" s="72" t="s">
        <v>43</v>
      </c>
      <c r="P1179" s="72" t="s">
        <v>33</v>
      </c>
      <c r="Q1179" s="89" t="s">
        <v>2281</v>
      </c>
      <c r="S1179" s="119" t="s">
        <v>64</v>
      </c>
      <c r="T1179" s="120" t="s">
        <v>2558</v>
      </c>
      <c r="V1179" s="88" t="s">
        <v>79</v>
      </c>
      <c r="W1179" s="89" t="s">
        <v>945</v>
      </c>
      <c r="Y1179" s="90" t="s">
        <v>92</v>
      </c>
      <c r="Z1179" s="91"/>
      <c r="AA1179" s="122">
        <v>0.11</v>
      </c>
    </row>
    <row r="1180" spans="1:27">
      <c r="A1180" s="216"/>
      <c r="B1180" s="217"/>
      <c r="F1180" s="88" t="s">
        <v>10</v>
      </c>
      <c r="G1180" s="112" t="s">
        <v>12</v>
      </c>
      <c r="M1180" s="88" t="s">
        <v>42</v>
      </c>
      <c r="N1180" s="72" t="s">
        <v>33</v>
      </c>
      <c r="O1180" s="72" t="s">
        <v>34</v>
      </c>
      <c r="P1180" s="72" t="s">
        <v>35</v>
      </c>
      <c r="Q1180" s="89" t="s">
        <v>2559</v>
      </c>
      <c r="S1180" s="90" t="s">
        <v>66</v>
      </c>
      <c r="T1180" s="133" t="s">
        <v>2560</v>
      </c>
      <c r="V1180" s="90" t="s">
        <v>82</v>
      </c>
      <c r="W1180" s="92" t="s">
        <v>2561</v>
      </c>
    </row>
    <row r="1181" spans="1:27">
      <c r="A1181" s="216"/>
      <c r="B1181" s="217"/>
      <c r="F1181" s="88" t="s">
        <v>13</v>
      </c>
      <c r="G1181" t="s">
        <v>2562</v>
      </c>
      <c r="M1181" s="88" t="s">
        <v>2563</v>
      </c>
      <c r="N1181" s="72" t="s">
        <v>33</v>
      </c>
      <c r="O1181" s="72" t="s">
        <v>43</v>
      </c>
      <c r="P1181" s="72" t="s">
        <v>33</v>
      </c>
      <c r="Q1181" s="89" t="s">
        <v>2564</v>
      </c>
    </row>
    <row r="1182" spans="1:27">
      <c r="A1182" s="216"/>
      <c r="B1182" s="217"/>
      <c r="F1182" s="88" t="s">
        <v>15</v>
      </c>
      <c r="G1182" s="112" t="s">
        <v>2565</v>
      </c>
      <c r="M1182" s="88" t="s">
        <v>1612</v>
      </c>
      <c r="N1182" s="72" t="s">
        <v>33</v>
      </c>
      <c r="O1182" s="72" t="s">
        <v>34</v>
      </c>
      <c r="P1182" s="72" t="s">
        <v>35</v>
      </c>
      <c r="Q1182" s="89" t="s">
        <v>2566</v>
      </c>
    </row>
    <row r="1183" spans="1:27">
      <c r="A1183" s="216"/>
      <c r="B1183" s="217"/>
      <c r="F1183" s="119" t="s">
        <v>17</v>
      </c>
      <c r="G1183" s="144">
        <v>46064</v>
      </c>
      <c r="M1183" s="88" t="s">
        <v>1375</v>
      </c>
      <c r="N1183" s="72" t="s">
        <v>33</v>
      </c>
      <c r="O1183" s="72" t="s">
        <v>43</v>
      </c>
      <c r="P1183" s="72" t="s">
        <v>33</v>
      </c>
      <c r="Q1183" s="89" t="s">
        <v>2567</v>
      </c>
    </row>
    <row r="1184" spans="1:27">
      <c r="A1184" s="218"/>
      <c r="B1184" s="219"/>
      <c r="F1184" s="90" t="s">
        <v>18</v>
      </c>
      <c r="G1184" s="114" t="s">
        <v>19</v>
      </c>
      <c r="M1184" s="88" t="s">
        <v>2540</v>
      </c>
      <c r="N1184" s="72" t="s">
        <v>35</v>
      </c>
      <c r="O1184" s="72" t="s">
        <v>52</v>
      </c>
      <c r="P1184" s="72" t="s">
        <v>35</v>
      </c>
      <c r="Q1184" s="89" t="s">
        <v>2568</v>
      </c>
    </row>
    <row r="1185" spans="1:27">
      <c r="M1185" s="88" t="s">
        <v>1245</v>
      </c>
      <c r="N1185" s="72" t="s">
        <v>35</v>
      </c>
      <c r="O1185" s="72" t="s">
        <v>52</v>
      </c>
      <c r="P1185" s="72" t="s">
        <v>35</v>
      </c>
      <c r="Q1185" s="89" t="s">
        <v>2569</v>
      </c>
    </row>
    <row r="1186" spans="1:27">
      <c r="M1186" s="88" t="s">
        <v>2570</v>
      </c>
      <c r="N1186" s="72" t="s">
        <v>35</v>
      </c>
      <c r="O1186" s="72" t="s">
        <v>52</v>
      </c>
      <c r="P1186" s="72" t="s">
        <v>35</v>
      </c>
      <c r="Q1186" s="89" t="s">
        <v>2571</v>
      </c>
    </row>
    <row r="1187" spans="1:27">
      <c r="M1187" s="88" t="s">
        <v>2545</v>
      </c>
      <c r="N1187" s="72" t="s">
        <v>35</v>
      </c>
      <c r="O1187" s="72" t="s">
        <v>52</v>
      </c>
      <c r="P1187" s="72" t="s">
        <v>35</v>
      </c>
      <c r="Q1187" s="89" t="s">
        <v>2572</v>
      </c>
    </row>
    <row r="1188" spans="1:27">
      <c r="M1188" s="90" t="s">
        <v>2573</v>
      </c>
      <c r="N1188" s="91" t="s">
        <v>35</v>
      </c>
      <c r="O1188" s="91" t="s">
        <v>52</v>
      </c>
      <c r="P1188" s="91" t="s">
        <v>35</v>
      </c>
      <c r="Q1188" s="92" t="s">
        <v>1008</v>
      </c>
    </row>
    <row r="1192" spans="1:27">
      <c r="A1192" s="214" t="s">
        <v>426</v>
      </c>
      <c r="B1192" s="215"/>
      <c r="F1192" s="85" t="s">
        <v>0</v>
      </c>
      <c r="G1192" s="118" t="s">
        <v>1</v>
      </c>
      <c r="I1192" s="85" t="s">
        <v>20</v>
      </c>
      <c r="J1192" s="86" t="s">
        <v>21</v>
      </c>
      <c r="K1192" s="87" t="s">
        <v>23</v>
      </c>
      <c r="M1192" s="85" t="s">
        <v>27</v>
      </c>
      <c r="N1192" s="86" t="s">
        <v>28</v>
      </c>
      <c r="O1192" s="86" t="s">
        <v>29</v>
      </c>
      <c r="P1192" s="86" t="s">
        <v>30</v>
      </c>
      <c r="Q1192" s="87" t="s">
        <v>31</v>
      </c>
      <c r="S1192" s="85" t="s">
        <v>56</v>
      </c>
      <c r="T1192" s="87" t="s">
        <v>57</v>
      </c>
      <c r="U1192" s="79"/>
      <c r="V1192" s="85" t="s">
        <v>68</v>
      </c>
      <c r="W1192" s="87" t="s">
        <v>69</v>
      </c>
      <c r="Y1192" s="85" t="s">
        <v>85</v>
      </c>
      <c r="Z1192" s="86" t="s">
        <v>88</v>
      </c>
      <c r="AA1192" s="87" t="s">
        <v>89</v>
      </c>
    </row>
    <row r="1193" spans="1:27">
      <c r="A1193" s="216"/>
      <c r="B1193" s="217"/>
      <c r="F1193" s="88" t="s">
        <v>2</v>
      </c>
      <c r="G1193" s="134" t="s">
        <v>426</v>
      </c>
      <c r="I1193" s="88" t="s">
        <v>24</v>
      </c>
      <c r="J1193" s="72">
        <v>7</v>
      </c>
      <c r="K1193" s="89">
        <v>190</v>
      </c>
      <c r="M1193" s="88" t="s">
        <v>2574</v>
      </c>
      <c r="N1193" s="72" t="s">
        <v>33</v>
      </c>
      <c r="O1193" s="72" t="s">
        <v>34</v>
      </c>
      <c r="P1193" s="72" t="s">
        <v>35</v>
      </c>
      <c r="Q1193" s="89" t="s">
        <v>2575</v>
      </c>
      <c r="S1193" s="88" t="s">
        <v>58</v>
      </c>
      <c r="T1193" s="89" t="s">
        <v>2576</v>
      </c>
      <c r="V1193" s="138" t="s">
        <v>70</v>
      </c>
      <c r="W1193" s="139" t="s">
        <v>2577</v>
      </c>
      <c r="Y1193" s="138" t="s">
        <v>90</v>
      </c>
      <c r="Z1193" s="137">
        <v>190</v>
      </c>
      <c r="AA1193" s="139">
        <v>115</v>
      </c>
    </row>
    <row r="1194" spans="1:27">
      <c r="A1194" s="216"/>
      <c r="B1194" s="217"/>
      <c r="F1194" s="88" t="s">
        <v>4</v>
      </c>
      <c r="G1194" s="112" t="s">
        <v>894</v>
      </c>
      <c r="I1194" s="88" t="s">
        <v>25</v>
      </c>
      <c r="J1194" s="80">
        <v>5</v>
      </c>
      <c r="K1194" s="89">
        <v>110</v>
      </c>
      <c r="M1194" s="88" t="s">
        <v>1517</v>
      </c>
      <c r="N1194" s="72" t="s">
        <v>33</v>
      </c>
      <c r="O1194" s="72" t="s">
        <v>43</v>
      </c>
      <c r="P1194" s="72" t="s">
        <v>33</v>
      </c>
      <c r="Q1194" s="89" t="s">
        <v>2578</v>
      </c>
      <c r="S1194" s="88" t="s">
        <v>60</v>
      </c>
      <c r="T1194" s="89" t="s">
        <v>2579</v>
      </c>
      <c r="V1194" s="135" t="s">
        <v>73</v>
      </c>
      <c r="W1194" s="136" t="s">
        <v>2580</v>
      </c>
      <c r="Y1194" s="88" t="s">
        <v>91</v>
      </c>
      <c r="Z1194" s="72">
        <v>110</v>
      </c>
      <c r="AA1194" s="89">
        <v>150</v>
      </c>
    </row>
    <row r="1195" spans="1:27">
      <c r="A1195" s="216"/>
      <c r="B1195" s="217"/>
      <c r="F1195" s="88" t="s">
        <v>6</v>
      </c>
      <c r="G1195" s="112" t="s">
        <v>1484</v>
      </c>
      <c r="I1195" s="90" t="s">
        <v>26</v>
      </c>
      <c r="J1195" s="91"/>
      <c r="K1195" s="92">
        <v>300</v>
      </c>
      <c r="M1195" s="88" t="s">
        <v>37</v>
      </c>
      <c r="N1195" s="72" t="s">
        <v>33</v>
      </c>
      <c r="O1195" s="72" t="s">
        <v>34</v>
      </c>
      <c r="P1195" s="72" t="s">
        <v>35</v>
      </c>
      <c r="Q1195" s="89" t="s">
        <v>962</v>
      </c>
      <c r="S1195" s="88" t="s">
        <v>62</v>
      </c>
      <c r="T1195" s="89" t="s">
        <v>2581</v>
      </c>
      <c r="V1195" s="88" t="s">
        <v>76</v>
      </c>
      <c r="W1195" s="89" t="s">
        <v>2582</v>
      </c>
      <c r="Y1195" s="88" t="s">
        <v>26</v>
      </c>
      <c r="Z1195" s="72">
        <v>300</v>
      </c>
      <c r="AA1195" s="89">
        <v>265</v>
      </c>
    </row>
    <row r="1196" spans="1:27">
      <c r="A1196" s="216"/>
      <c r="B1196" s="217"/>
      <c r="F1196" s="88" t="s">
        <v>8</v>
      </c>
      <c r="G1196" s="112" t="s">
        <v>2583</v>
      </c>
      <c r="M1196" s="88" t="s">
        <v>2584</v>
      </c>
      <c r="N1196" s="72" t="s">
        <v>33</v>
      </c>
      <c r="O1196" s="72" t="s">
        <v>43</v>
      </c>
      <c r="P1196" s="72" t="s">
        <v>33</v>
      </c>
      <c r="Q1196" s="89" t="s">
        <v>2585</v>
      </c>
      <c r="S1196" s="119" t="s">
        <v>64</v>
      </c>
      <c r="T1196" s="120" t="s">
        <v>2586</v>
      </c>
      <c r="V1196" s="88" t="s">
        <v>79</v>
      </c>
      <c r="W1196" s="89" t="s">
        <v>1726</v>
      </c>
      <c r="Y1196" s="90" t="s">
        <v>92</v>
      </c>
      <c r="Z1196" s="91"/>
      <c r="AA1196" s="122">
        <v>0.12</v>
      </c>
    </row>
    <row r="1197" spans="1:27">
      <c r="A1197" s="216"/>
      <c r="B1197" s="217"/>
      <c r="F1197" s="88" t="s">
        <v>10</v>
      </c>
      <c r="G1197" s="112" t="s">
        <v>2587</v>
      </c>
      <c r="M1197" s="88" t="s">
        <v>42</v>
      </c>
      <c r="N1197" s="72" t="s">
        <v>33</v>
      </c>
      <c r="O1197" s="72" t="s">
        <v>34</v>
      </c>
      <c r="P1197" s="72" t="s">
        <v>35</v>
      </c>
      <c r="Q1197" s="89" t="s">
        <v>2588</v>
      </c>
      <c r="S1197" s="90" t="s">
        <v>66</v>
      </c>
      <c r="T1197" s="133" t="s">
        <v>2589</v>
      </c>
      <c r="V1197" s="90" t="s">
        <v>82</v>
      </c>
      <c r="W1197" s="92" t="s">
        <v>2590</v>
      </c>
    </row>
    <row r="1198" spans="1:27" ht="30.75">
      <c r="A1198" s="216"/>
      <c r="B1198" s="217"/>
      <c r="F1198" s="88" t="s">
        <v>13</v>
      </c>
      <c r="G1198" s="210" t="s">
        <v>2591</v>
      </c>
      <c r="M1198" s="88" t="s">
        <v>1733</v>
      </c>
      <c r="N1198" s="72" t="s">
        <v>33</v>
      </c>
      <c r="O1198" s="72" t="s">
        <v>43</v>
      </c>
      <c r="P1198" s="72" t="s">
        <v>33</v>
      </c>
      <c r="Q1198" s="89" t="s">
        <v>2592</v>
      </c>
    </row>
    <row r="1199" spans="1:27">
      <c r="A1199" s="216"/>
      <c r="B1199" s="217"/>
      <c r="F1199" s="88" t="s">
        <v>15</v>
      </c>
      <c r="G1199" s="112" t="s">
        <v>2593</v>
      </c>
      <c r="M1199" s="88" t="s">
        <v>1574</v>
      </c>
      <c r="N1199" s="72" t="s">
        <v>33</v>
      </c>
      <c r="O1199" s="72" t="s">
        <v>34</v>
      </c>
      <c r="P1199" s="72" t="s">
        <v>35</v>
      </c>
      <c r="Q1199" s="89" t="s">
        <v>2594</v>
      </c>
    </row>
    <row r="1200" spans="1:27">
      <c r="A1200" s="216"/>
      <c r="B1200" s="217"/>
      <c r="F1200" s="119" t="s">
        <v>17</v>
      </c>
      <c r="G1200" s="144">
        <v>46059</v>
      </c>
      <c r="M1200" s="88" t="s">
        <v>2595</v>
      </c>
      <c r="N1200" s="72" t="s">
        <v>33</v>
      </c>
      <c r="O1200" s="72" t="s">
        <v>43</v>
      </c>
      <c r="P1200" s="72" t="s">
        <v>33</v>
      </c>
      <c r="Q1200" s="89" t="s">
        <v>2596</v>
      </c>
    </row>
    <row r="1201" spans="1:27">
      <c r="A1201" s="218"/>
      <c r="B1201" s="219"/>
      <c r="F1201" s="90" t="s">
        <v>18</v>
      </c>
      <c r="G1201" s="114" t="s">
        <v>19</v>
      </c>
      <c r="M1201" s="88" t="s">
        <v>2597</v>
      </c>
      <c r="N1201" s="72" t="s">
        <v>35</v>
      </c>
      <c r="O1201" s="72" t="s">
        <v>52</v>
      </c>
      <c r="P1201" s="72" t="s">
        <v>35</v>
      </c>
      <c r="Q1201" s="89" t="s">
        <v>2598</v>
      </c>
    </row>
    <row r="1202" spans="1:27">
      <c r="M1202" s="88" t="s">
        <v>2599</v>
      </c>
      <c r="N1202" s="72" t="s">
        <v>35</v>
      </c>
      <c r="O1202" s="72" t="s">
        <v>52</v>
      </c>
      <c r="P1202" s="72" t="s">
        <v>35</v>
      </c>
      <c r="Q1202" s="89" t="s">
        <v>2600</v>
      </c>
    </row>
    <row r="1203" spans="1:27">
      <c r="M1203" s="88" t="s">
        <v>2543</v>
      </c>
      <c r="N1203" s="72" t="s">
        <v>35</v>
      </c>
      <c r="O1203" s="72" t="s">
        <v>52</v>
      </c>
      <c r="P1203" s="72" t="s">
        <v>35</v>
      </c>
      <c r="Q1203" s="89" t="s">
        <v>2544</v>
      </c>
    </row>
    <row r="1204" spans="1:27">
      <c r="M1204" s="88" t="s">
        <v>2545</v>
      </c>
      <c r="N1204" s="72" t="s">
        <v>35</v>
      </c>
      <c r="O1204" s="72" t="s">
        <v>52</v>
      </c>
      <c r="P1204" s="72" t="s">
        <v>35</v>
      </c>
      <c r="Q1204" s="89" t="s">
        <v>2601</v>
      </c>
    </row>
    <row r="1205" spans="1:27">
      <c r="M1205" s="90" t="s">
        <v>2573</v>
      </c>
      <c r="N1205" s="91" t="s">
        <v>35</v>
      </c>
      <c r="O1205" s="91" t="s">
        <v>52</v>
      </c>
      <c r="P1205" s="91" t="s">
        <v>35</v>
      </c>
      <c r="Q1205" s="92" t="s">
        <v>2514</v>
      </c>
    </row>
    <row r="1211" spans="1:27">
      <c r="A1211" s="214" t="s">
        <v>430</v>
      </c>
      <c r="B1211" s="215"/>
      <c r="F1211" s="85" t="s">
        <v>0</v>
      </c>
      <c r="G1211" s="118" t="s">
        <v>1</v>
      </c>
      <c r="I1211" s="85" t="s">
        <v>20</v>
      </c>
      <c r="J1211" s="86" t="s">
        <v>21</v>
      </c>
      <c r="K1211" s="87" t="s">
        <v>23</v>
      </c>
      <c r="M1211" s="85" t="s">
        <v>27</v>
      </c>
      <c r="N1211" s="86" t="s">
        <v>28</v>
      </c>
      <c r="O1211" s="86" t="s">
        <v>29</v>
      </c>
      <c r="P1211" s="86" t="s">
        <v>30</v>
      </c>
      <c r="Q1211" s="87" t="s">
        <v>31</v>
      </c>
      <c r="S1211" s="85" t="s">
        <v>56</v>
      </c>
      <c r="T1211" s="87" t="s">
        <v>57</v>
      </c>
      <c r="U1211" s="79"/>
      <c r="V1211" s="85" t="s">
        <v>68</v>
      </c>
      <c r="W1211" s="87" t="s">
        <v>69</v>
      </c>
      <c r="Y1211" s="85" t="s">
        <v>85</v>
      </c>
      <c r="Z1211" s="86" t="s">
        <v>88</v>
      </c>
      <c r="AA1211" s="87" t="s">
        <v>89</v>
      </c>
    </row>
    <row r="1212" spans="1:27">
      <c r="A1212" s="216"/>
      <c r="B1212" s="217"/>
      <c r="F1212" s="88" t="s">
        <v>2</v>
      </c>
      <c r="G1212" s="134" t="s">
        <v>430</v>
      </c>
      <c r="I1212" s="88" t="s">
        <v>24</v>
      </c>
      <c r="J1212" s="72">
        <v>6</v>
      </c>
      <c r="K1212" s="89">
        <v>150</v>
      </c>
      <c r="M1212" s="88" t="s">
        <v>2602</v>
      </c>
      <c r="N1212" s="72" t="s">
        <v>33</v>
      </c>
      <c r="O1212" s="72" t="s">
        <v>34</v>
      </c>
      <c r="P1212" s="72" t="s">
        <v>35</v>
      </c>
      <c r="Q1212" s="89" t="s">
        <v>2603</v>
      </c>
      <c r="S1212" s="88" t="s">
        <v>58</v>
      </c>
      <c r="T1212" s="89" t="s">
        <v>2576</v>
      </c>
      <c r="V1212" s="138" t="s">
        <v>70</v>
      </c>
      <c r="W1212" s="139" t="s">
        <v>2604</v>
      </c>
      <c r="Y1212" s="138" t="s">
        <v>90</v>
      </c>
      <c r="Z1212" s="137">
        <v>150</v>
      </c>
      <c r="AA1212" s="139">
        <v>90</v>
      </c>
    </row>
    <row r="1213" spans="1:27">
      <c r="A1213" s="216"/>
      <c r="B1213" s="217"/>
      <c r="F1213" s="88" t="s">
        <v>4</v>
      </c>
      <c r="G1213" s="112" t="s">
        <v>894</v>
      </c>
      <c r="I1213" s="88" t="s">
        <v>25</v>
      </c>
      <c r="J1213" s="80">
        <v>6</v>
      </c>
      <c r="K1213" s="89">
        <v>105</v>
      </c>
      <c r="M1213" s="88" t="s">
        <v>1661</v>
      </c>
      <c r="N1213" s="72" t="s">
        <v>33</v>
      </c>
      <c r="O1213" s="72" t="s">
        <v>43</v>
      </c>
      <c r="P1213" s="72" t="s">
        <v>33</v>
      </c>
      <c r="Q1213" s="89" t="s">
        <v>2605</v>
      </c>
      <c r="S1213" s="88" t="s">
        <v>60</v>
      </c>
      <c r="T1213" s="89" t="s">
        <v>2606</v>
      </c>
      <c r="V1213" s="135" t="s">
        <v>73</v>
      </c>
      <c r="W1213" s="136" t="s">
        <v>2607</v>
      </c>
      <c r="Y1213" s="88" t="s">
        <v>91</v>
      </c>
      <c r="Z1213" s="72">
        <v>105</v>
      </c>
      <c r="AA1213" s="89">
        <v>135</v>
      </c>
    </row>
    <row r="1214" spans="1:27">
      <c r="A1214" s="216"/>
      <c r="B1214" s="217"/>
      <c r="F1214" s="88" t="s">
        <v>6</v>
      </c>
      <c r="G1214" s="112" t="s">
        <v>895</v>
      </c>
      <c r="I1214" s="90" t="s">
        <v>26</v>
      </c>
      <c r="J1214" s="91"/>
      <c r="K1214" s="92">
        <v>255</v>
      </c>
      <c r="M1214" s="88" t="s">
        <v>37</v>
      </c>
      <c r="N1214" s="72" t="s">
        <v>33</v>
      </c>
      <c r="O1214" s="72" t="s">
        <v>34</v>
      </c>
      <c r="P1214" s="72" t="s">
        <v>35</v>
      </c>
      <c r="Q1214" s="89" t="s">
        <v>2526</v>
      </c>
      <c r="S1214" s="88" t="s">
        <v>62</v>
      </c>
      <c r="T1214" s="89" t="s">
        <v>2608</v>
      </c>
      <c r="V1214" s="88" t="s">
        <v>76</v>
      </c>
      <c r="W1214" s="89" t="s">
        <v>2609</v>
      </c>
      <c r="Y1214" s="88" t="s">
        <v>26</v>
      </c>
      <c r="Z1214" s="72">
        <v>255</v>
      </c>
      <c r="AA1214" s="89">
        <v>225</v>
      </c>
    </row>
    <row r="1215" spans="1:27">
      <c r="A1215" s="216"/>
      <c r="B1215" s="217"/>
      <c r="F1215" s="88" t="s">
        <v>8</v>
      </c>
      <c r="G1215" s="112" t="s">
        <v>1524</v>
      </c>
      <c r="M1215" s="88" t="s">
        <v>1505</v>
      </c>
      <c r="N1215" s="72" t="s">
        <v>33</v>
      </c>
      <c r="O1215" s="72" t="s">
        <v>34</v>
      </c>
      <c r="P1215" s="72" t="s">
        <v>35</v>
      </c>
      <c r="Q1215" s="89" t="s">
        <v>2610</v>
      </c>
      <c r="S1215" s="119" t="s">
        <v>64</v>
      </c>
      <c r="T1215" s="120" t="s">
        <v>2611</v>
      </c>
      <c r="V1215" s="88" t="s">
        <v>79</v>
      </c>
      <c r="W1215" s="89" t="s">
        <v>1726</v>
      </c>
      <c r="Y1215" s="90" t="s">
        <v>92</v>
      </c>
      <c r="Z1215" s="91"/>
      <c r="AA1215" s="122">
        <v>0.12</v>
      </c>
    </row>
    <row r="1216" spans="1:27">
      <c r="A1216" s="216"/>
      <c r="B1216" s="217"/>
      <c r="F1216" s="88" t="s">
        <v>10</v>
      </c>
      <c r="G1216" s="112" t="s">
        <v>2612</v>
      </c>
      <c r="M1216" s="88" t="s">
        <v>1553</v>
      </c>
      <c r="N1216" s="72" t="s">
        <v>33</v>
      </c>
      <c r="O1216" s="72" t="s">
        <v>43</v>
      </c>
      <c r="P1216" s="72" t="s">
        <v>33</v>
      </c>
      <c r="Q1216" s="89" t="s">
        <v>2613</v>
      </c>
      <c r="S1216" s="90" t="s">
        <v>66</v>
      </c>
      <c r="T1216" s="133" t="s">
        <v>2614</v>
      </c>
      <c r="V1216" s="90" t="s">
        <v>82</v>
      </c>
      <c r="W1216" s="92" t="s">
        <v>2615</v>
      </c>
    </row>
    <row r="1217" spans="1:27">
      <c r="A1217" s="216"/>
      <c r="B1217" s="217"/>
      <c r="F1217" s="88" t="s">
        <v>13</v>
      </c>
      <c r="G1217" s="201" t="s">
        <v>2616</v>
      </c>
      <c r="M1217" s="88" t="s">
        <v>2617</v>
      </c>
      <c r="N1217" s="72" t="s">
        <v>33</v>
      </c>
      <c r="O1217" s="72" t="s">
        <v>43</v>
      </c>
      <c r="P1217" s="72" t="s">
        <v>33</v>
      </c>
      <c r="Q1217" s="89" t="s">
        <v>2618</v>
      </c>
    </row>
    <row r="1218" spans="1:27">
      <c r="A1218" s="216"/>
      <c r="B1218" s="217"/>
      <c r="F1218" s="88" t="s">
        <v>15</v>
      </c>
      <c r="G1218" s="112" t="s">
        <v>2619</v>
      </c>
      <c r="M1218" s="88" t="s">
        <v>42</v>
      </c>
      <c r="N1218" s="72" t="s">
        <v>33</v>
      </c>
      <c r="O1218" s="72" t="s">
        <v>34</v>
      </c>
      <c r="P1218" s="72" t="s">
        <v>35</v>
      </c>
      <c r="Q1218" s="89" t="s">
        <v>2620</v>
      </c>
    </row>
    <row r="1219" spans="1:27">
      <c r="A1219" s="216"/>
      <c r="B1219" s="217"/>
      <c r="F1219" s="119" t="s">
        <v>17</v>
      </c>
      <c r="G1219" s="144">
        <v>46036</v>
      </c>
      <c r="M1219" s="88" t="s">
        <v>2595</v>
      </c>
      <c r="N1219" s="72" t="s">
        <v>33</v>
      </c>
      <c r="O1219" s="72" t="s">
        <v>43</v>
      </c>
      <c r="P1219" s="72" t="s">
        <v>33</v>
      </c>
      <c r="Q1219" s="89" t="s">
        <v>2596</v>
      </c>
    </row>
    <row r="1220" spans="1:27">
      <c r="A1220" s="218"/>
      <c r="B1220" s="219"/>
      <c r="F1220" s="90" t="s">
        <v>18</v>
      </c>
      <c r="G1220" s="114" t="s">
        <v>19</v>
      </c>
      <c r="M1220" s="88" t="s">
        <v>2597</v>
      </c>
      <c r="N1220" s="72" t="s">
        <v>35</v>
      </c>
      <c r="O1220" s="72" t="s">
        <v>52</v>
      </c>
      <c r="P1220" s="72" t="s">
        <v>35</v>
      </c>
      <c r="Q1220" s="89" t="s">
        <v>2621</v>
      </c>
    </row>
    <row r="1221" spans="1:27">
      <c r="M1221" s="88" t="s">
        <v>1245</v>
      </c>
      <c r="N1221" s="72" t="s">
        <v>35</v>
      </c>
      <c r="O1221" s="72" t="s">
        <v>52</v>
      </c>
      <c r="P1221" s="72" t="s">
        <v>35</v>
      </c>
      <c r="Q1221" s="89" t="s">
        <v>2622</v>
      </c>
    </row>
    <row r="1222" spans="1:27">
      <c r="M1222" s="88" t="s">
        <v>2543</v>
      </c>
      <c r="N1222" s="72" t="s">
        <v>35</v>
      </c>
      <c r="O1222" s="72" t="s">
        <v>52</v>
      </c>
      <c r="P1222" s="72" t="s">
        <v>35</v>
      </c>
      <c r="Q1222" s="89" t="s">
        <v>2623</v>
      </c>
    </row>
    <row r="1223" spans="1:27">
      <c r="M1223" s="88" t="s">
        <v>2545</v>
      </c>
      <c r="N1223" s="72" t="s">
        <v>35</v>
      </c>
      <c r="O1223" s="72" t="s">
        <v>52</v>
      </c>
      <c r="P1223" s="72" t="s">
        <v>35</v>
      </c>
      <c r="Q1223" s="89" t="s">
        <v>2624</v>
      </c>
    </row>
    <row r="1224" spans="1:27">
      <c r="M1224" s="88" t="s">
        <v>2573</v>
      </c>
      <c r="N1224" s="72" t="s">
        <v>35</v>
      </c>
      <c r="O1224" s="72" t="s">
        <v>52</v>
      </c>
      <c r="P1224" s="72" t="s">
        <v>35</v>
      </c>
      <c r="Q1224" s="89" t="s">
        <v>1086</v>
      </c>
    </row>
    <row r="1225" spans="1:27">
      <c r="M1225" s="90" t="s">
        <v>1149</v>
      </c>
      <c r="N1225" s="91" t="s">
        <v>35</v>
      </c>
      <c r="O1225" s="91" t="s">
        <v>52</v>
      </c>
      <c r="P1225" s="91" t="s">
        <v>35</v>
      </c>
      <c r="Q1225" s="92" t="s">
        <v>2625</v>
      </c>
    </row>
    <row r="1229" spans="1:27">
      <c r="A1229" s="214" t="s">
        <v>432</v>
      </c>
      <c r="B1229" s="215"/>
      <c r="F1229" s="85" t="s">
        <v>0</v>
      </c>
      <c r="G1229" s="118" t="s">
        <v>1</v>
      </c>
      <c r="I1229" s="85" t="s">
        <v>20</v>
      </c>
      <c r="J1229" s="86" t="s">
        <v>21</v>
      </c>
      <c r="K1229" s="87" t="s">
        <v>23</v>
      </c>
      <c r="M1229" s="85" t="s">
        <v>27</v>
      </c>
      <c r="N1229" s="86" t="s">
        <v>28</v>
      </c>
      <c r="O1229" s="86" t="s">
        <v>29</v>
      </c>
      <c r="P1229" s="86" t="s">
        <v>30</v>
      </c>
      <c r="Q1229" s="87" t="s">
        <v>31</v>
      </c>
      <c r="S1229" s="85" t="s">
        <v>56</v>
      </c>
      <c r="T1229" s="87" t="s">
        <v>57</v>
      </c>
      <c r="U1229" s="79"/>
      <c r="V1229" s="85" t="s">
        <v>68</v>
      </c>
      <c r="W1229" s="87" t="s">
        <v>69</v>
      </c>
      <c r="Y1229" s="85" t="s">
        <v>85</v>
      </c>
      <c r="Z1229" s="86" t="s">
        <v>88</v>
      </c>
      <c r="AA1229" s="87" t="s">
        <v>89</v>
      </c>
    </row>
    <row r="1230" spans="1:27">
      <c r="A1230" s="216"/>
      <c r="B1230" s="217"/>
      <c r="F1230" s="88" t="s">
        <v>2</v>
      </c>
      <c r="G1230" s="134" t="s">
        <v>432</v>
      </c>
      <c r="I1230" s="88" t="s">
        <v>24</v>
      </c>
      <c r="J1230" s="72">
        <v>6</v>
      </c>
      <c r="K1230" s="89">
        <v>175</v>
      </c>
      <c r="M1230" s="88" t="s">
        <v>2626</v>
      </c>
      <c r="N1230" s="72" t="s">
        <v>33</v>
      </c>
      <c r="O1230" s="72" t="s">
        <v>34</v>
      </c>
      <c r="P1230" s="72" t="s">
        <v>35</v>
      </c>
      <c r="Q1230" s="89" t="s">
        <v>2627</v>
      </c>
      <c r="S1230" s="88" t="s">
        <v>58</v>
      </c>
      <c r="T1230" s="89" t="s">
        <v>2628</v>
      </c>
      <c r="V1230" s="138" t="s">
        <v>70</v>
      </c>
      <c r="W1230" s="139" t="s">
        <v>2629</v>
      </c>
      <c r="Y1230" s="138" t="s">
        <v>90</v>
      </c>
      <c r="Z1230" s="137">
        <v>175</v>
      </c>
      <c r="AA1230" s="139">
        <v>105</v>
      </c>
    </row>
    <row r="1231" spans="1:27">
      <c r="A1231" s="216"/>
      <c r="B1231" s="217"/>
      <c r="F1231" s="88" t="s">
        <v>4</v>
      </c>
      <c r="G1231" s="112" t="s">
        <v>894</v>
      </c>
      <c r="I1231" s="88" t="s">
        <v>25</v>
      </c>
      <c r="J1231" s="80">
        <v>6</v>
      </c>
      <c r="K1231" s="89">
        <v>105</v>
      </c>
      <c r="M1231" s="88" t="s">
        <v>2630</v>
      </c>
      <c r="N1231" s="72" t="s">
        <v>33</v>
      </c>
      <c r="O1231" s="72" t="s">
        <v>43</v>
      </c>
      <c r="P1231" s="72" t="s">
        <v>33</v>
      </c>
      <c r="Q1231" s="89" t="s">
        <v>2631</v>
      </c>
      <c r="S1231" s="88" t="s">
        <v>60</v>
      </c>
      <c r="T1231" s="89" t="s">
        <v>2632</v>
      </c>
      <c r="V1231" s="135" t="s">
        <v>73</v>
      </c>
      <c r="W1231" s="136" t="s">
        <v>2633</v>
      </c>
      <c r="Y1231" s="88" t="s">
        <v>91</v>
      </c>
      <c r="Z1231" s="72">
        <v>105</v>
      </c>
      <c r="AA1231" s="89">
        <v>145</v>
      </c>
    </row>
    <row r="1232" spans="1:27">
      <c r="A1232" s="216"/>
      <c r="B1232" s="217"/>
      <c r="F1232" s="88" t="s">
        <v>6</v>
      </c>
      <c r="G1232" s="112" t="s">
        <v>895</v>
      </c>
      <c r="I1232" s="90" t="s">
        <v>26</v>
      </c>
      <c r="J1232" s="91"/>
      <c r="K1232" s="92">
        <v>280</v>
      </c>
      <c r="M1232" s="88" t="s">
        <v>2634</v>
      </c>
      <c r="N1232" s="72" t="s">
        <v>33</v>
      </c>
      <c r="O1232" s="72" t="s">
        <v>34</v>
      </c>
      <c r="P1232" s="72" t="s">
        <v>35</v>
      </c>
      <c r="Q1232" s="89" t="s">
        <v>2635</v>
      </c>
      <c r="S1232" s="88" t="s">
        <v>62</v>
      </c>
      <c r="T1232" s="89" t="s">
        <v>2636</v>
      </c>
      <c r="V1232" s="88" t="s">
        <v>76</v>
      </c>
      <c r="W1232" s="89" t="s">
        <v>2637</v>
      </c>
      <c r="Y1232" s="88" t="s">
        <v>26</v>
      </c>
      <c r="Z1232" s="72">
        <v>280</v>
      </c>
      <c r="AA1232" s="89">
        <v>250</v>
      </c>
    </row>
    <row r="1233" spans="1:27">
      <c r="A1233" s="216"/>
      <c r="B1233" s="217"/>
      <c r="F1233" s="88" t="s">
        <v>8</v>
      </c>
      <c r="G1233" s="112" t="s">
        <v>1524</v>
      </c>
      <c r="M1233" s="88" t="s">
        <v>2638</v>
      </c>
      <c r="N1233" s="72" t="s">
        <v>33</v>
      </c>
      <c r="O1233" s="72" t="s">
        <v>43</v>
      </c>
      <c r="P1233" s="72" t="s">
        <v>33</v>
      </c>
      <c r="Q1233" s="89" t="s">
        <v>2639</v>
      </c>
      <c r="S1233" s="119" t="s">
        <v>64</v>
      </c>
      <c r="T1233" s="120" t="s">
        <v>2640</v>
      </c>
      <c r="V1233" s="88" t="s">
        <v>79</v>
      </c>
      <c r="W1233" s="89" t="s">
        <v>945</v>
      </c>
      <c r="Y1233" s="90" t="s">
        <v>92</v>
      </c>
      <c r="Z1233" s="91"/>
      <c r="AA1233" s="122">
        <v>0.11</v>
      </c>
    </row>
    <row r="1234" spans="1:27">
      <c r="A1234" s="216"/>
      <c r="B1234" s="217"/>
      <c r="F1234" s="88" t="s">
        <v>10</v>
      </c>
      <c r="G1234" s="112" t="s">
        <v>2641</v>
      </c>
      <c r="M1234" s="88" t="s">
        <v>1241</v>
      </c>
      <c r="N1234" s="72" t="s">
        <v>33</v>
      </c>
      <c r="O1234" s="72" t="s">
        <v>34</v>
      </c>
      <c r="P1234" s="72" t="s">
        <v>35</v>
      </c>
      <c r="Q1234" s="89" t="s">
        <v>2642</v>
      </c>
      <c r="S1234" s="90" t="s">
        <v>66</v>
      </c>
      <c r="T1234" s="133" t="s">
        <v>2643</v>
      </c>
      <c r="V1234" s="90" t="s">
        <v>82</v>
      </c>
      <c r="W1234" s="92" t="s">
        <v>2644</v>
      </c>
    </row>
    <row r="1235" spans="1:27">
      <c r="A1235" s="216"/>
      <c r="B1235" s="217"/>
      <c r="F1235" s="88" t="s">
        <v>13</v>
      </c>
      <c r="G1235" s="201" t="s">
        <v>2645</v>
      </c>
      <c r="M1235" s="88" t="s">
        <v>2646</v>
      </c>
      <c r="N1235" s="72" t="s">
        <v>33</v>
      </c>
      <c r="O1235" s="72" t="s">
        <v>43</v>
      </c>
      <c r="P1235" s="72" t="s">
        <v>33</v>
      </c>
      <c r="Q1235" s="89" t="s">
        <v>2647</v>
      </c>
    </row>
    <row r="1236" spans="1:27">
      <c r="A1236" s="216"/>
      <c r="B1236" s="217"/>
      <c r="F1236" s="88" t="s">
        <v>15</v>
      </c>
      <c r="G1236" s="112" t="s">
        <v>2648</v>
      </c>
      <c r="M1236" s="88" t="s">
        <v>2649</v>
      </c>
      <c r="N1236" s="72" t="s">
        <v>33</v>
      </c>
      <c r="O1236" s="72" t="s">
        <v>34</v>
      </c>
      <c r="P1236" s="72" t="s">
        <v>35</v>
      </c>
      <c r="Q1236" s="89" t="s">
        <v>2539</v>
      </c>
    </row>
    <row r="1237" spans="1:27">
      <c r="A1237" s="216"/>
      <c r="B1237" s="217"/>
      <c r="F1237" s="119" t="s">
        <v>17</v>
      </c>
      <c r="G1237" s="144">
        <v>46067</v>
      </c>
      <c r="M1237" s="88" t="s">
        <v>1468</v>
      </c>
      <c r="N1237" s="72" t="s">
        <v>35</v>
      </c>
      <c r="O1237" s="72" t="s">
        <v>52</v>
      </c>
      <c r="P1237" s="72" t="s">
        <v>35</v>
      </c>
      <c r="Q1237" s="89" t="s">
        <v>2650</v>
      </c>
    </row>
    <row r="1238" spans="1:27">
      <c r="A1238" s="218"/>
      <c r="B1238" s="219"/>
      <c r="F1238" s="90" t="s">
        <v>18</v>
      </c>
      <c r="G1238" s="114" t="s">
        <v>19</v>
      </c>
      <c r="M1238" s="88" t="s">
        <v>2599</v>
      </c>
      <c r="N1238" s="72" t="s">
        <v>35</v>
      </c>
      <c r="O1238" s="72" t="s">
        <v>52</v>
      </c>
      <c r="P1238" s="72" t="s">
        <v>35</v>
      </c>
      <c r="Q1238" s="89" t="s">
        <v>2651</v>
      </c>
    </row>
    <row r="1239" spans="1:27">
      <c r="M1239" s="88" t="s">
        <v>2652</v>
      </c>
      <c r="N1239" s="72" t="s">
        <v>35</v>
      </c>
      <c r="O1239" s="72" t="s">
        <v>52</v>
      </c>
      <c r="P1239" s="72" t="s">
        <v>35</v>
      </c>
      <c r="Q1239" s="89" t="s">
        <v>2653</v>
      </c>
    </row>
    <row r="1240" spans="1:27">
      <c r="M1240" s="88" t="s">
        <v>2654</v>
      </c>
      <c r="N1240" s="72" t="s">
        <v>35</v>
      </c>
      <c r="O1240" s="72" t="s">
        <v>52</v>
      </c>
      <c r="P1240" s="72" t="s">
        <v>35</v>
      </c>
      <c r="Q1240" s="89" t="s">
        <v>1086</v>
      </c>
    </row>
    <row r="1241" spans="1:27">
      <c r="M1241" s="90" t="s">
        <v>2573</v>
      </c>
      <c r="N1241" s="91" t="s">
        <v>35</v>
      </c>
      <c r="O1241" s="91" t="s">
        <v>52</v>
      </c>
      <c r="P1241" s="91" t="s">
        <v>35</v>
      </c>
      <c r="Q1241" s="92" t="s">
        <v>2655</v>
      </c>
    </row>
    <row r="1245" spans="1:27">
      <c r="A1245" s="214" t="s">
        <v>434</v>
      </c>
      <c r="B1245" s="215"/>
      <c r="F1245" s="85" t="s">
        <v>0</v>
      </c>
      <c r="G1245" s="118" t="s">
        <v>1</v>
      </c>
      <c r="I1245" s="85" t="s">
        <v>20</v>
      </c>
      <c r="J1245" s="86" t="s">
        <v>21</v>
      </c>
      <c r="K1245" s="87" t="s">
        <v>23</v>
      </c>
      <c r="M1245" s="85" t="s">
        <v>27</v>
      </c>
      <c r="N1245" s="86" t="s">
        <v>28</v>
      </c>
      <c r="O1245" s="86" t="s">
        <v>29</v>
      </c>
      <c r="P1245" s="86" t="s">
        <v>30</v>
      </c>
      <c r="Q1245" s="87" t="s">
        <v>31</v>
      </c>
      <c r="S1245" s="85" t="s">
        <v>56</v>
      </c>
      <c r="T1245" s="87" t="s">
        <v>57</v>
      </c>
      <c r="U1245" s="79"/>
      <c r="V1245" s="85" t="s">
        <v>68</v>
      </c>
      <c r="W1245" s="87" t="s">
        <v>69</v>
      </c>
      <c r="Y1245" s="85" t="s">
        <v>85</v>
      </c>
      <c r="Z1245" s="86" t="s">
        <v>88</v>
      </c>
      <c r="AA1245" s="87" t="s">
        <v>89</v>
      </c>
    </row>
    <row r="1246" spans="1:27">
      <c r="A1246" s="216"/>
      <c r="B1246" s="217"/>
      <c r="F1246" s="88" t="s">
        <v>2</v>
      </c>
      <c r="G1246" s="134" t="s">
        <v>2656</v>
      </c>
      <c r="I1246" s="88" t="s">
        <v>24</v>
      </c>
      <c r="J1246" s="72">
        <v>8</v>
      </c>
      <c r="K1246" s="89">
        <v>225</v>
      </c>
      <c r="M1246" s="88" t="s">
        <v>2657</v>
      </c>
      <c r="N1246" s="72" t="s">
        <v>33</v>
      </c>
      <c r="O1246" s="72" t="s">
        <v>43</v>
      </c>
      <c r="P1246" s="72" t="s">
        <v>33</v>
      </c>
      <c r="Q1246" s="89" t="s">
        <v>2658</v>
      </c>
      <c r="S1246" s="88" t="s">
        <v>58</v>
      </c>
      <c r="T1246" s="89" t="s">
        <v>2659</v>
      </c>
      <c r="V1246" s="138" t="s">
        <v>70</v>
      </c>
      <c r="W1246" s="139" t="s">
        <v>2660</v>
      </c>
      <c r="Y1246" s="138" t="s">
        <v>90</v>
      </c>
      <c r="Z1246" s="137">
        <v>225</v>
      </c>
      <c r="AA1246" s="139">
        <v>140</v>
      </c>
    </row>
    <row r="1247" spans="1:27">
      <c r="A1247" s="216"/>
      <c r="B1247" s="217"/>
      <c r="F1247" s="88" t="s">
        <v>4</v>
      </c>
      <c r="G1247" s="112" t="s">
        <v>894</v>
      </c>
      <c r="I1247" s="88" t="s">
        <v>25</v>
      </c>
      <c r="J1247" s="80">
        <v>5</v>
      </c>
      <c r="K1247" s="89">
        <v>115</v>
      </c>
      <c r="M1247" s="88" t="s">
        <v>2661</v>
      </c>
      <c r="N1247" s="72" t="s">
        <v>33</v>
      </c>
      <c r="O1247" s="72" t="s">
        <v>34</v>
      </c>
      <c r="P1247" s="72" t="s">
        <v>35</v>
      </c>
      <c r="Q1247" s="89" t="s">
        <v>2662</v>
      </c>
      <c r="S1247" s="88" t="s">
        <v>60</v>
      </c>
      <c r="T1247" s="89" t="s">
        <v>2663</v>
      </c>
      <c r="V1247" s="135" t="s">
        <v>73</v>
      </c>
      <c r="W1247" s="136" t="s">
        <v>2664</v>
      </c>
      <c r="Y1247" s="88" t="s">
        <v>91</v>
      </c>
      <c r="Z1247" s="72">
        <v>115</v>
      </c>
      <c r="AA1247" s="89">
        <v>155</v>
      </c>
    </row>
    <row r="1248" spans="1:27">
      <c r="A1248" s="216"/>
      <c r="B1248" s="217"/>
      <c r="F1248" s="88" t="s">
        <v>6</v>
      </c>
      <c r="G1248" s="112" t="s">
        <v>1484</v>
      </c>
      <c r="I1248" s="90" t="s">
        <v>26</v>
      </c>
      <c r="J1248" s="91"/>
      <c r="K1248" s="92">
        <v>340</v>
      </c>
      <c r="M1248" s="88" t="s">
        <v>37</v>
      </c>
      <c r="N1248" s="72" t="s">
        <v>33</v>
      </c>
      <c r="O1248" s="72" t="s">
        <v>34</v>
      </c>
      <c r="P1248" s="72" t="s">
        <v>35</v>
      </c>
      <c r="Q1248" s="89" t="s">
        <v>39</v>
      </c>
      <c r="S1248" s="88" t="s">
        <v>62</v>
      </c>
      <c r="T1248" s="89" t="s">
        <v>2665</v>
      </c>
      <c r="V1248" s="88" t="s">
        <v>76</v>
      </c>
      <c r="W1248" s="89" t="s">
        <v>2666</v>
      </c>
      <c r="Y1248" s="88" t="s">
        <v>26</v>
      </c>
      <c r="Z1248" s="72">
        <v>340</v>
      </c>
      <c r="AA1248" s="89">
        <v>295</v>
      </c>
    </row>
    <row r="1249" spans="1:27">
      <c r="A1249" s="216"/>
      <c r="B1249" s="217"/>
      <c r="F1249" s="88" t="s">
        <v>8</v>
      </c>
      <c r="G1249" s="112" t="s">
        <v>9</v>
      </c>
      <c r="M1249" s="88" t="s">
        <v>1135</v>
      </c>
      <c r="N1249" s="72" t="s">
        <v>33</v>
      </c>
      <c r="O1249" s="72" t="s">
        <v>43</v>
      </c>
      <c r="P1249" s="72" t="s">
        <v>33</v>
      </c>
      <c r="Q1249" s="89" t="s">
        <v>2667</v>
      </c>
      <c r="S1249" s="119" t="s">
        <v>64</v>
      </c>
      <c r="T1249" s="120" t="s">
        <v>2668</v>
      </c>
      <c r="V1249" s="88" t="s">
        <v>79</v>
      </c>
      <c r="W1249" s="89" t="s">
        <v>81</v>
      </c>
      <c r="Y1249" s="90" t="s">
        <v>92</v>
      </c>
      <c r="Z1249" s="91"/>
      <c r="AA1249" s="122">
        <v>0.13</v>
      </c>
    </row>
    <row r="1250" spans="1:27">
      <c r="A1250" s="216"/>
      <c r="B1250" s="217"/>
      <c r="F1250" s="88" t="s">
        <v>10</v>
      </c>
      <c r="G1250" s="112" t="s">
        <v>12</v>
      </c>
      <c r="M1250" s="88" t="s">
        <v>42</v>
      </c>
      <c r="N1250" s="72" t="s">
        <v>33</v>
      </c>
      <c r="O1250" s="72" t="s">
        <v>34</v>
      </c>
      <c r="P1250" s="72" t="s">
        <v>35</v>
      </c>
      <c r="Q1250" s="89" t="s">
        <v>2669</v>
      </c>
      <c r="S1250" s="90" t="s">
        <v>66</v>
      </c>
      <c r="T1250" s="133" t="s">
        <v>2670</v>
      </c>
      <c r="V1250" s="90" t="s">
        <v>82</v>
      </c>
      <c r="W1250" s="92" t="s">
        <v>2671</v>
      </c>
    </row>
    <row r="1251" spans="1:27">
      <c r="A1251" s="216"/>
      <c r="B1251" s="217"/>
      <c r="F1251" s="88" t="s">
        <v>13</v>
      </c>
      <c r="G1251" s="201" t="s">
        <v>2672</v>
      </c>
      <c r="M1251" s="88" t="s">
        <v>2673</v>
      </c>
      <c r="N1251" s="72" t="s">
        <v>33</v>
      </c>
      <c r="O1251" s="72" t="s">
        <v>43</v>
      </c>
      <c r="P1251" s="72" t="s">
        <v>33</v>
      </c>
      <c r="Q1251" s="89" t="s">
        <v>2647</v>
      </c>
    </row>
    <row r="1252" spans="1:27">
      <c r="A1252" s="216"/>
      <c r="B1252" s="217"/>
      <c r="F1252" s="88" t="s">
        <v>15</v>
      </c>
      <c r="G1252" s="112" t="s">
        <v>2674</v>
      </c>
      <c r="M1252" s="88" t="s">
        <v>2675</v>
      </c>
      <c r="N1252" s="72" t="s">
        <v>33</v>
      </c>
      <c r="O1252" s="72" t="s">
        <v>34</v>
      </c>
      <c r="P1252" s="72" t="s">
        <v>35</v>
      </c>
      <c r="Q1252" s="89" t="s">
        <v>2676</v>
      </c>
    </row>
    <row r="1253" spans="1:27">
      <c r="A1253" s="216"/>
      <c r="B1253" s="217"/>
      <c r="F1253" s="119" t="s">
        <v>17</v>
      </c>
      <c r="G1253" s="144">
        <v>46041</v>
      </c>
      <c r="M1253" s="88" t="s">
        <v>1031</v>
      </c>
      <c r="N1253" s="72" t="s">
        <v>33</v>
      </c>
      <c r="O1253" s="72" t="s">
        <v>43</v>
      </c>
      <c r="P1253" s="72" t="s">
        <v>33</v>
      </c>
      <c r="Q1253" s="89" t="s">
        <v>2567</v>
      </c>
    </row>
    <row r="1254" spans="1:27">
      <c r="A1254" s="218"/>
      <c r="B1254" s="219"/>
      <c r="F1254" s="90" t="s">
        <v>18</v>
      </c>
      <c r="G1254" s="114" t="s">
        <v>19</v>
      </c>
      <c r="M1254" s="88" t="s">
        <v>2677</v>
      </c>
      <c r="N1254" s="72" t="s">
        <v>35</v>
      </c>
      <c r="O1254" s="72" t="s">
        <v>52</v>
      </c>
      <c r="P1254" s="72" t="s">
        <v>35</v>
      </c>
      <c r="Q1254" s="89" t="s">
        <v>2678</v>
      </c>
    </row>
    <row r="1255" spans="1:27">
      <c r="M1255" s="88" t="s">
        <v>1245</v>
      </c>
      <c r="N1255" s="72" t="s">
        <v>35</v>
      </c>
      <c r="O1255" s="72" t="s">
        <v>52</v>
      </c>
      <c r="P1255" s="72" t="s">
        <v>35</v>
      </c>
      <c r="Q1255" s="89" t="s">
        <v>2679</v>
      </c>
    </row>
    <row r="1256" spans="1:27">
      <c r="M1256" s="88" t="s">
        <v>2543</v>
      </c>
      <c r="N1256" s="72" t="s">
        <v>35</v>
      </c>
      <c r="O1256" s="72" t="s">
        <v>52</v>
      </c>
      <c r="P1256" s="72" t="s">
        <v>35</v>
      </c>
      <c r="Q1256" s="89" t="s">
        <v>2680</v>
      </c>
    </row>
    <row r="1257" spans="1:27">
      <c r="M1257" s="88" t="s">
        <v>2545</v>
      </c>
      <c r="N1257" s="72" t="s">
        <v>35</v>
      </c>
      <c r="O1257" s="72" t="s">
        <v>52</v>
      </c>
      <c r="P1257" s="72" t="s">
        <v>35</v>
      </c>
      <c r="Q1257" s="89" t="s">
        <v>2601</v>
      </c>
    </row>
    <row r="1258" spans="1:27">
      <c r="M1258" s="90" t="s">
        <v>2573</v>
      </c>
      <c r="N1258" s="91" t="s">
        <v>35</v>
      </c>
      <c r="O1258" s="91" t="s">
        <v>52</v>
      </c>
      <c r="P1258" s="91" t="s">
        <v>35</v>
      </c>
      <c r="Q1258" s="92" t="s">
        <v>1086</v>
      </c>
    </row>
    <row r="1263" spans="1:27">
      <c r="A1263" s="214" t="s">
        <v>436</v>
      </c>
      <c r="B1263" s="215"/>
      <c r="F1263" s="85" t="s">
        <v>0</v>
      </c>
      <c r="G1263" s="118" t="s">
        <v>1</v>
      </c>
      <c r="I1263" s="85" t="s">
        <v>20</v>
      </c>
      <c r="J1263" s="86" t="s">
        <v>21</v>
      </c>
      <c r="K1263" s="87" t="s">
        <v>23</v>
      </c>
      <c r="M1263" s="85" t="s">
        <v>27</v>
      </c>
      <c r="N1263" s="86" t="s">
        <v>28</v>
      </c>
      <c r="O1263" s="86" t="s">
        <v>29</v>
      </c>
      <c r="P1263" s="86" t="s">
        <v>30</v>
      </c>
      <c r="Q1263" s="87" t="s">
        <v>31</v>
      </c>
      <c r="S1263" s="85" t="s">
        <v>56</v>
      </c>
      <c r="T1263" s="87" t="s">
        <v>57</v>
      </c>
      <c r="U1263" s="79"/>
      <c r="V1263" s="85" t="s">
        <v>68</v>
      </c>
      <c r="W1263" s="87" t="s">
        <v>69</v>
      </c>
      <c r="Y1263" s="85" t="s">
        <v>85</v>
      </c>
      <c r="Z1263" s="86" t="s">
        <v>88</v>
      </c>
      <c r="AA1263" s="87" t="s">
        <v>89</v>
      </c>
    </row>
    <row r="1264" spans="1:27">
      <c r="A1264" s="216"/>
      <c r="B1264" s="217"/>
      <c r="F1264" s="88" t="s">
        <v>2</v>
      </c>
      <c r="G1264" s="134" t="s">
        <v>2681</v>
      </c>
      <c r="I1264" s="88" t="s">
        <v>24</v>
      </c>
      <c r="J1264" s="72">
        <v>7</v>
      </c>
      <c r="K1264" s="89">
        <v>185</v>
      </c>
      <c r="M1264" s="88" t="s">
        <v>2682</v>
      </c>
      <c r="N1264" s="72" t="s">
        <v>33</v>
      </c>
      <c r="O1264" s="72" t="s">
        <v>43</v>
      </c>
      <c r="P1264" s="72" t="s">
        <v>33</v>
      </c>
      <c r="Q1264" s="89" t="s">
        <v>2683</v>
      </c>
      <c r="S1264" s="88" t="s">
        <v>58</v>
      </c>
      <c r="T1264" s="89" t="s">
        <v>2684</v>
      </c>
      <c r="V1264" s="138" t="s">
        <v>70</v>
      </c>
      <c r="W1264" s="139" t="s">
        <v>2685</v>
      </c>
      <c r="Y1264" s="138" t="s">
        <v>90</v>
      </c>
      <c r="Z1264" s="137">
        <v>185</v>
      </c>
      <c r="AA1264" s="139">
        <v>115</v>
      </c>
    </row>
    <row r="1265" spans="1:27">
      <c r="A1265" s="216"/>
      <c r="B1265" s="217"/>
      <c r="F1265" s="88" t="s">
        <v>4</v>
      </c>
      <c r="G1265" s="112" t="s">
        <v>894</v>
      </c>
      <c r="I1265" s="88" t="s">
        <v>25</v>
      </c>
      <c r="J1265" s="80">
        <v>5</v>
      </c>
      <c r="K1265" s="89">
        <v>95</v>
      </c>
      <c r="M1265" s="88" t="s">
        <v>1037</v>
      </c>
      <c r="N1265" s="72" t="s">
        <v>33</v>
      </c>
      <c r="O1265" s="72" t="s">
        <v>34</v>
      </c>
      <c r="P1265" s="72" t="s">
        <v>35</v>
      </c>
      <c r="Q1265" s="89" t="s">
        <v>2686</v>
      </c>
      <c r="S1265" s="88" t="s">
        <v>60</v>
      </c>
      <c r="T1265" s="89" t="s">
        <v>2079</v>
      </c>
      <c r="V1265" s="135" t="s">
        <v>73</v>
      </c>
      <c r="W1265" s="136" t="s">
        <v>2687</v>
      </c>
      <c r="Y1265" s="88" t="s">
        <v>91</v>
      </c>
      <c r="Z1265" s="72">
        <v>95</v>
      </c>
      <c r="AA1265" s="89">
        <v>130</v>
      </c>
    </row>
    <row r="1266" spans="1:27">
      <c r="A1266" s="216"/>
      <c r="B1266" s="217"/>
      <c r="F1266" s="88" t="s">
        <v>6</v>
      </c>
      <c r="G1266" s="112" t="s">
        <v>1484</v>
      </c>
      <c r="I1266" s="90" t="s">
        <v>26</v>
      </c>
      <c r="J1266" s="91"/>
      <c r="K1266" s="92">
        <v>280</v>
      </c>
      <c r="M1266" s="88" t="s">
        <v>37</v>
      </c>
      <c r="N1266" s="72" t="s">
        <v>33</v>
      </c>
      <c r="O1266" s="72" t="s">
        <v>34</v>
      </c>
      <c r="P1266" s="72" t="s">
        <v>35</v>
      </c>
      <c r="Q1266" s="89" t="s">
        <v>2688</v>
      </c>
      <c r="S1266" s="88" t="s">
        <v>62</v>
      </c>
      <c r="T1266" s="89" t="s">
        <v>2689</v>
      </c>
      <c r="V1266" s="88" t="s">
        <v>76</v>
      </c>
      <c r="W1266" s="89" t="s">
        <v>2690</v>
      </c>
      <c r="Y1266" s="88" t="s">
        <v>26</v>
      </c>
      <c r="Z1266" s="72">
        <v>280</v>
      </c>
      <c r="AA1266" s="89">
        <v>245</v>
      </c>
    </row>
    <row r="1267" spans="1:27">
      <c r="A1267" s="216"/>
      <c r="B1267" s="217"/>
      <c r="F1267" s="88" t="s">
        <v>8</v>
      </c>
      <c r="G1267" s="112" t="s">
        <v>9</v>
      </c>
      <c r="M1267" s="88" t="s">
        <v>1135</v>
      </c>
      <c r="N1267" s="72" t="s">
        <v>33</v>
      </c>
      <c r="O1267" s="72" t="s">
        <v>43</v>
      </c>
      <c r="P1267" s="72" t="s">
        <v>33</v>
      </c>
      <c r="Q1267" s="89" t="s">
        <v>2691</v>
      </c>
      <c r="S1267" s="119" t="s">
        <v>64</v>
      </c>
      <c r="T1267" s="120" t="s">
        <v>2692</v>
      </c>
      <c r="V1267" s="88" t="s">
        <v>79</v>
      </c>
      <c r="W1267" s="89" t="s">
        <v>945</v>
      </c>
      <c r="Y1267" s="90" t="s">
        <v>92</v>
      </c>
      <c r="Z1267" s="91"/>
      <c r="AA1267" s="122">
        <v>0.12</v>
      </c>
    </row>
    <row r="1268" spans="1:27">
      <c r="A1268" s="216"/>
      <c r="B1268" s="217"/>
      <c r="F1268" s="88" t="s">
        <v>10</v>
      </c>
      <c r="G1268" s="112" t="s">
        <v>12</v>
      </c>
      <c r="M1268" s="88" t="s">
        <v>42</v>
      </c>
      <c r="N1268" s="72" t="s">
        <v>33</v>
      </c>
      <c r="O1268" s="72" t="s">
        <v>34</v>
      </c>
      <c r="P1268" s="72" t="s">
        <v>35</v>
      </c>
      <c r="Q1268" s="89" t="s">
        <v>2693</v>
      </c>
      <c r="S1268" s="90" t="s">
        <v>66</v>
      </c>
      <c r="T1268" s="133" t="s">
        <v>2694</v>
      </c>
      <c r="V1268" s="90" t="s">
        <v>82</v>
      </c>
      <c r="W1268" s="92" t="s">
        <v>2695</v>
      </c>
    </row>
    <row r="1269" spans="1:27">
      <c r="A1269" s="216"/>
      <c r="B1269" s="217"/>
      <c r="F1269" s="88" t="s">
        <v>13</v>
      </c>
      <c r="G1269" s="201" t="s">
        <v>2007</v>
      </c>
      <c r="M1269" s="88" t="s">
        <v>2696</v>
      </c>
      <c r="N1269" s="72" t="s">
        <v>33</v>
      </c>
      <c r="O1269" s="72" t="s">
        <v>43</v>
      </c>
      <c r="P1269" s="72" t="s">
        <v>33</v>
      </c>
      <c r="Q1269" s="89" t="s">
        <v>952</v>
      </c>
    </row>
    <row r="1270" spans="1:27">
      <c r="A1270" s="216"/>
      <c r="B1270" s="217"/>
      <c r="F1270" s="88" t="s">
        <v>15</v>
      </c>
      <c r="G1270" s="112" t="s">
        <v>2697</v>
      </c>
      <c r="M1270" s="88" t="s">
        <v>2698</v>
      </c>
      <c r="N1270" s="72" t="s">
        <v>33</v>
      </c>
      <c r="O1270" s="72" t="s">
        <v>34</v>
      </c>
      <c r="P1270" s="72" t="s">
        <v>35</v>
      </c>
      <c r="Q1270" s="89" t="s">
        <v>2699</v>
      </c>
    </row>
    <row r="1271" spans="1:27">
      <c r="A1271" s="216"/>
      <c r="B1271" s="217"/>
      <c r="F1271" s="119" t="s">
        <v>17</v>
      </c>
      <c r="G1271" s="144">
        <v>46055</v>
      </c>
      <c r="M1271" s="88" t="s">
        <v>2700</v>
      </c>
      <c r="N1271" s="72" t="s">
        <v>35</v>
      </c>
      <c r="O1271" s="72" t="s">
        <v>52</v>
      </c>
      <c r="P1271" s="72" t="s">
        <v>35</v>
      </c>
      <c r="Q1271" s="89" t="s">
        <v>2598</v>
      </c>
    </row>
    <row r="1272" spans="1:27">
      <c r="A1272" s="218"/>
      <c r="B1272" s="219"/>
      <c r="F1272" s="90" t="s">
        <v>18</v>
      </c>
      <c r="G1272" s="114" t="s">
        <v>19</v>
      </c>
      <c r="M1272" s="88" t="s">
        <v>924</v>
      </c>
      <c r="N1272" s="72" t="s">
        <v>35</v>
      </c>
      <c r="O1272" s="72" t="s">
        <v>52</v>
      </c>
      <c r="P1272" s="72" t="s">
        <v>35</v>
      </c>
      <c r="Q1272" s="89" t="s">
        <v>2701</v>
      </c>
    </row>
    <row r="1273" spans="1:27">
      <c r="M1273" s="88" t="s">
        <v>2702</v>
      </c>
      <c r="N1273" s="72" t="s">
        <v>35</v>
      </c>
      <c r="O1273" s="72" t="s">
        <v>52</v>
      </c>
      <c r="P1273" s="72" t="s">
        <v>35</v>
      </c>
      <c r="Q1273" s="89" t="s">
        <v>1854</v>
      </c>
    </row>
    <row r="1274" spans="1:27">
      <c r="M1274" s="88" t="s">
        <v>2545</v>
      </c>
      <c r="N1274" s="72" t="s">
        <v>35</v>
      </c>
      <c r="O1274" s="72" t="s">
        <v>52</v>
      </c>
      <c r="P1274" s="72" t="s">
        <v>35</v>
      </c>
      <c r="Q1274" s="89" t="s">
        <v>2703</v>
      </c>
    </row>
    <row r="1275" spans="1:27">
      <c r="M1275" s="90" t="s">
        <v>1975</v>
      </c>
      <c r="N1275" s="91" t="s">
        <v>35</v>
      </c>
      <c r="O1275" s="91" t="s">
        <v>52</v>
      </c>
      <c r="P1275" s="91" t="s">
        <v>35</v>
      </c>
      <c r="Q1275" s="92" t="s">
        <v>1086</v>
      </c>
    </row>
    <row r="1280" spans="1:27">
      <c r="A1280" s="214" t="s">
        <v>450</v>
      </c>
      <c r="B1280" s="215"/>
      <c r="F1280" s="85" t="s">
        <v>0</v>
      </c>
      <c r="G1280" s="118" t="s">
        <v>1</v>
      </c>
      <c r="I1280" s="85" t="s">
        <v>20</v>
      </c>
      <c r="J1280" s="86" t="s">
        <v>21</v>
      </c>
      <c r="K1280" s="87" t="s">
        <v>23</v>
      </c>
      <c r="M1280" s="85" t="s">
        <v>27</v>
      </c>
      <c r="N1280" s="86" t="s">
        <v>28</v>
      </c>
      <c r="O1280" s="86" t="s">
        <v>29</v>
      </c>
      <c r="P1280" s="86" t="s">
        <v>30</v>
      </c>
      <c r="Q1280" s="87" t="s">
        <v>31</v>
      </c>
      <c r="S1280" s="85" t="s">
        <v>56</v>
      </c>
      <c r="T1280" s="87" t="s">
        <v>57</v>
      </c>
      <c r="U1280" s="79"/>
      <c r="V1280" s="85" t="s">
        <v>68</v>
      </c>
      <c r="W1280" s="87" t="s">
        <v>69</v>
      </c>
      <c r="Y1280" s="85" t="s">
        <v>85</v>
      </c>
      <c r="Z1280" s="86" t="s">
        <v>88</v>
      </c>
      <c r="AA1280" s="87" t="s">
        <v>89</v>
      </c>
    </row>
    <row r="1281" spans="1:27">
      <c r="A1281" s="216"/>
      <c r="B1281" s="217"/>
      <c r="F1281" s="88" t="s">
        <v>2</v>
      </c>
      <c r="G1281" s="134" t="s">
        <v>450</v>
      </c>
      <c r="I1281" s="88" t="s">
        <v>24</v>
      </c>
      <c r="J1281" s="72">
        <v>6</v>
      </c>
      <c r="K1281" s="89">
        <v>150</v>
      </c>
      <c r="M1281" s="88" t="s">
        <v>2027</v>
      </c>
      <c r="N1281" s="72" t="s">
        <v>33</v>
      </c>
      <c r="O1281" s="72" t="s">
        <v>43</v>
      </c>
      <c r="P1281" s="72" t="s">
        <v>33</v>
      </c>
      <c r="Q1281" s="89" t="s">
        <v>2704</v>
      </c>
      <c r="S1281" s="88" t="s">
        <v>58</v>
      </c>
      <c r="T1281" s="89" t="s">
        <v>2576</v>
      </c>
      <c r="V1281" s="138" t="s">
        <v>70</v>
      </c>
      <c r="W1281" s="139" t="s">
        <v>2030</v>
      </c>
      <c r="Y1281" s="138" t="s">
        <v>90</v>
      </c>
      <c r="Z1281" s="137">
        <v>150</v>
      </c>
      <c r="AA1281" s="139">
        <v>90</v>
      </c>
    </row>
    <row r="1282" spans="1:27">
      <c r="A1282" s="216"/>
      <c r="B1282" s="217"/>
      <c r="F1282" s="88" t="s">
        <v>4</v>
      </c>
      <c r="G1282" s="112" t="s">
        <v>894</v>
      </c>
      <c r="I1282" s="88" t="s">
        <v>25</v>
      </c>
      <c r="J1282" s="80">
        <v>4</v>
      </c>
      <c r="K1282" s="89">
        <v>70</v>
      </c>
      <c r="M1282" s="88" t="s">
        <v>37</v>
      </c>
      <c r="N1282" s="72" t="s">
        <v>33</v>
      </c>
      <c r="O1282" s="72" t="s">
        <v>34</v>
      </c>
      <c r="P1282" s="72" t="s">
        <v>35</v>
      </c>
      <c r="Q1282" s="89" t="s">
        <v>2705</v>
      </c>
      <c r="S1282" s="88" t="s">
        <v>60</v>
      </c>
      <c r="T1282" s="89" t="s">
        <v>2706</v>
      </c>
      <c r="V1282" s="135" t="s">
        <v>73</v>
      </c>
      <c r="W1282" s="136" t="s">
        <v>2707</v>
      </c>
      <c r="Y1282" s="88" t="s">
        <v>91</v>
      </c>
      <c r="Z1282" s="72">
        <v>70</v>
      </c>
      <c r="AA1282" s="89">
        <v>105</v>
      </c>
    </row>
    <row r="1283" spans="1:27">
      <c r="A1283" s="216"/>
      <c r="B1283" s="217"/>
      <c r="F1283" s="88" t="s">
        <v>6</v>
      </c>
      <c r="G1283" s="112" t="s">
        <v>1484</v>
      </c>
      <c r="I1283" s="90" t="s">
        <v>26</v>
      </c>
      <c r="J1283" s="91"/>
      <c r="K1283" s="92">
        <v>220</v>
      </c>
      <c r="M1283" s="88" t="s">
        <v>1553</v>
      </c>
      <c r="N1283" s="72" t="s">
        <v>33</v>
      </c>
      <c r="O1283" s="72" t="s">
        <v>43</v>
      </c>
      <c r="P1283" s="72" t="s">
        <v>33</v>
      </c>
      <c r="Q1283" s="89" t="s">
        <v>1641</v>
      </c>
      <c r="S1283" s="88" t="s">
        <v>62</v>
      </c>
      <c r="T1283" s="89" t="s">
        <v>2708</v>
      </c>
      <c r="V1283" s="88" t="s">
        <v>76</v>
      </c>
      <c r="W1283" s="89" t="s">
        <v>2709</v>
      </c>
      <c r="Y1283" s="88" t="s">
        <v>26</v>
      </c>
      <c r="Z1283" s="72">
        <v>220</v>
      </c>
      <c r="AA1283" s="89">
        <v>195</v>
      </c>
    </row>
    <row r="1284" spans="1:27">
      <c r="A1284" s="216"/>
      <c r="B1284" s="217"/>
      <c r="F1284" s="88" t="s">
        <v>8</v>
      </c>
      <c r="G1284" s="112" t="s">
        <v>1870</v>
      </c>
      <c r="M1284" s="88" t="s">
        <v>42</v>
      </c>
      <c r="N1284" s="72" t="s">
        <v>33</v>
      </c>
      <c r="O1284" s="72" t="s">
        <v>34</v>
      </c>
      <c r="P1284" s="72" t="s">
        <v>35</v>
      </c>
      <c r="Q1284" s="89" t="s">
        <v>2710</v>
      </c>
      <c r="S1284" s="119" t="s">
        <v>64</v>
      </c>
      <c r="T1284" s="120" t="s">
        <v>2711</v>
      </c>
      <c r="V1284" s="88" t="s">
        <v>79</v>
      </c>
      <c r="W1284" s="89" t="s">
        <v>1584</v>
      </c>
      <c r="Y1284" s="90" t="s">
        <v>92</v>
      </c>
      <c r="Z1284" s="91"/>
      <c r="AA1284" s="122">
        <v>0.11</v>
      </c>
    </row>
    <row r="1285" spans="1:27">
      <c r="A1285" s="216"/>
      <c r="B1285" s="217"/>
      <c r="F1285" s="88" t="s">
        <v>10</v>
      </c>
      <c r="G1285" s="112" t="s">
        <v>12</v>
      </c>
      <c r="M1285" s="88" t="s">
        <v>2712</v>
      </c>
      <c r="N1285" s="72" t="s">
        <v>33</v>
      </c>
      <c r="O1285" s="72" t="s">
        <v>43</v>
      </c>
      <c r="P1285" s="72" t="s">
        <v>33</v>
      </c>
      <c r="Q1285" s="89" t="s">
        <v>2301</v>
      </c>
      <c r="S1285" s="90" t="s">
        <v>66</v>
      </c>
      <c r="T1285" s="133" t="s">
        <v>2713</v>
      </c>
      <c r="V1285" s="90" t="s">
        <v>82</v>
      </c>
      <c r="W1285" s="92" t="s">
        <v>2714</v>
      </c>
    </row>
    <row r="1286" spans="1:27">
      <c r="A1286" s="216"/>
      <c r="B1286" s="217"/>
      <c r="F1286" s="88" t="s">
        <v>13</v>
      </c>
      <c r="G1286" s="201" t="s">
        <v>2715</v>
      </c>
      <c r="M1286" s="88" t="s">
        <v>2716</v>
      </c>
      <c r="N1286" s="72" t="s">
        <v>33</v>
      </c>
      <c r="O1286" s="72" t="s">
        <v>34</v>
      </c>
      <c r="P1286" s="72" t="s">
        <v>35</v>
      </c>
      <c r="Q1286" s="89" t="s">
        <v>2717</v>
      </c>
    </row>
    <row r="1287" spans="1:27">
      <c r="A1287" s="216"/>
      <c r="B1287" s="217"/>
      <c r="F1287" s="88" t="s">
        <v>15</v>
      </c>
      <c r="G1287" s="112" t="s">
        <v>2718</v>
      </c>
      <c r="M1287" s="88" t="s">
        <v>1972</v>
      </c>
      <c r="N1287" s="72" t="s">
        <v>35</v>
      </c>
      <c r="O1287" s="72" t="s">
        <v>52</v>
      </c>
      <c r="P1287" s="72" t="s">
        <v>35</v>
      </c>
      <c r="Q1287" s="89" t="s">
        <v>2719</v>
      </c>
    </row>
    <row r="1288" spans="1:27">
      <c r="A1288" s="216"/>
      <c r="B1288" s="217"/>
      <c r="F1288" s="119" t="s">
        <v>17</v>
      </c>
      <c r="G1288" s="144">
        <v>46039</v>
      </c>
      <c r="M1288" s="88" t="s">
        <v>1679</v>
      </c>
      <c r="N1288" s="72" t="s">
        <v>35</v>
      </c>
      <c r="O1288" s="72" t="s">
        <v>52</v>
      </c>
      <c r="P1288" s="72" t="s">
        <v>35</v>
      </c>
      <c r="Q1288" s="89" t="s">
        <v>2720</v>
      </c>
    </row>
    <row r="1289" spans="1:27">
      <c r="A1289" s="218"/>
      <c r="B1289" s="219"/>
      <c r="F1289" s="90" t="s">
        <v>18</v>
      </c>
      <c r="G1289" s="114" t="s">
        <v>19</v>
      </c>
      <c r="M1289" s="88" t="s">
        <v>1958</v>
      </c>
      <c r="N1289" s="72" t="s">
        <v>35</v>
      </c>
      <c r="O1289" s="72" t="s">
        <v>52</v>
      </c>
      <c r="P1289" s="72" t="s">
        <v>35</v>
      </c>
      <c r="Q1289" s="89" t="s">
        <v>2721</v>
      </c>
    </row>
    <row r="1290" spans="1:27">
      <c r="M1290" s="90" t="s">
        <v>2511</v>
      </c>
      <c r="N1290" s="91" t="s">
        <v>35</v>
      </c>
      <c r="O1290" s="91" t="s">
        <v>52</v>
      </c>
      <c r="P1290" s="91" t="s">
        <v>35</v>
      </c>
      <c r="Q1290" s="92" t="s">
        <v>2722</v>
      </c>
    </row>
    <row r="1295" spans="1:27">
      <c r="A1295" s="214" t="s">
        <v>454</v>
      </c>
      <c r="B1295" s="215"/>
      <c r="F1295" s="85" t="s">
        <v>0</v>
      </c>
      <c r="G1295" s="118" t="s">
        <v>1</v>
      </c>
      <c r="I1295" s="85" t="s">
        <v>20</v>
      </c>
      <c r="J1295" s="86" t="s">
        <v>21</v>
      </c>
      <c r="K1295" s="87" t="s">
        <v>23</v>
      </c>
      <c r="M1295" s="85" t="s">
        <v>27</v>
      </c>
      <c r="N1295" s="86" t="s">
        <v>28</v>
      </c>
      <c r="O1295" s="86" t="s">
        <v>29</v>
      </c>
      <c r="P1295" s="86" t="s">
        <v>30</v>
      </c>
      <c r="Q1295" s="87" t="s">
        <v>31</v>
      </c>
      <c r="S1295" s="85" t="s">
        <v>56</v>
      </c>
      <c r="T1295" s="87" t="s">
        <v>57</v>
      </c>
      <c r="U1295" s="79"/>
      <c r="V1295" s="85" t="s">
        <v>68</v>
      </c>
      <c r="W1295" s="87" t="s">
        <v>69</v>
      </c>
      <c r="Y1295" s="85" t="s">
        <v>85</v>
      </c>
      <c r="Z1295" s="86" t="s">
        <v>88</v>
      </c>
      <c r="AA1295" s="87" t="s">
        <v>89</v>
      </c>
    </row>
    <row r="1296" spans="1:27">
      <c r="A1296" s="216"/>
      <c r="B1296" s="217"/>
      <c r="F1296" s="88" t="s">
        <v>2</v>
      </c>
      <c r="G1296" s="134" t="s">
        <v>454</v>
      </c>
      <c r="I1296" s="88" t="s">
        <v>24</v>
      </c>
      <c r="J1296" s="72">
        <v>8</v>
      </c>
      <c r="K1296" s="89">
        <v>225</v>
      </c>
      <c r="M1296" s="88" t="s">
        <v>2723</v>
      </c>
      <c r="N1296" s="72" t="s">
        <v>33</v>
      </c>
      <c r="O1296" s="72" t="s">
        <v>43</v>
      </c>
      <c r="P1296" s="72" t="s">
        <v>33</v>
      </c>
      <c r="Q1296" s="89" t="s">
        <v>2724</v>
      </c>
      <c r="S1296" s="88" t="s">
        <v>58</v>
      </c>
      <c r="T1296" s="89" t="s">
        <v>2725</v>
      </c>
      <c r="V1296" s="138" t="s">
        <v>70</v>
      </c>
      <c r="W1296" s="139" t="s">
        <v>2726</v>
      </c>
      <c r="Y1296" s="138" t="s">
        <v>90</v>
      </c>
      <c r="Z1296" s="137">
        <v>225</v>
      </c>
      <c r="AA1296" s="139">
        <v>140</v>
      </c>
    </row>
    <row r="1297" spans="1:27">
      <c r="A1297" s="216"/>
      <c r="B1297" s="217"/>
      <c r="F1297" s="88" t="s">
        <v>4</v>
      </c>
      <c r="G1297" s="112" t="s">
        <v>894</v>
      </c>
      <c r="I1297" s="88" t="s">
        <v>25</v>
      </c>
      <c r="J1297" s="80">
        <v>6</v>
      </c>
      <c r="K1297" s="89">
        <v>115</v>
      </c>
      <c r="M1297" s="88" t="s">
        <v>32</v>
      </c>
      <c r="N1297" s="72" t="s">
        <v>33</v>
      </c>
      <c r="O1297" s="72" t="s">
        <v>34</v>
      </c>
      <c r="P1297" s="72" t="s">
        <v>35</v>
      </c>
      <c r="Q1297" s="89" t="s">
        <v>2727</v>
      </c>
      <c r="S1297" s="88" t="s">
        <v>60</v>
      </c>
      <c r="T1297" s="89" t="s">
        <v>2728</v>
      </c>
      <c r="V1297" s="135" t="s">
        <v>73</v>
      </c>
      <c r="W1297" s="136" t="s">
        <v>2729</v>
      </c>
      <c r="Y1297" s="88" t="s">
        <v>91</v>
      </c>
      <c r="Z1297" s="72">
        <v>115</v>
      </c>
      <c r="AA1297" s="89">
        <v>160</v>
      </c>
    </row>
    <row r="1298" spans="1:27">
      <c r="A1298" s="216"/>
      <c r="B1298" s="217"/>
      <c r="F1298" s="88" t="s">
        <v>6</v>
      </c>
      <c r="G1298" s="112" t="s">
        <v>1484</v>
      </c>
      <c r="I1298" s="90" t="s">
        <v>26</v>
      </c>
      <c r="J1298" s="91"/>
      <c r="K1298" s="92">
        <v>340</v>
      </c>
      <c r="M1298" s="88" t="s">
        <v>37</v>
      </c>
      <c r="N1298" s="72" t="s">
        <v>33</v>
      </c>
      <c r="O1298" s="72" t="s">
        <v>34</v>
      </c>
      <c r="P1298" s="72" t="s">
        <v>35</v>
      </c>
      <c r="Q1298" s="89" t="s">
        <v>1665</v>
      </c>
      <c r="S1298" s="88" t="s">
        <v>62</v>
      </c>
      <c r="T1298" s="89" t="s">
        <v>2730</v>
      </c>
      <c r="V1298" s="88" t="s">
        <v>76</v>
      </c>
      <c r="W1298" s="89" t="s">
        <v>2731</v>
      </c>
      <c r="Y1298" s="88" t="s">
        <v>26</v>
      </c>
      <c r="Z1298" s="72">
        <v>340</v>
      </c>
      <c r="AA1298" s="89">
        <v>300</v>
      </c>
    </row>
    <row r="1299" spans="1:27">
      <c r="A1299" s="216"/>
      <c r="B1299" s="217"/>
      <c r="F1299" s="88" t="s">
        <v>8</v>
      </c>
      <c r="G1299" s="112" t="s">
        <v>1755</v>
      </c>
      <c r="M1299" s="88" t="s">
        <v>2732</v>
      </c>
      <c r="N1299" s="72" t="s">
        <v>33</v>
      </c>
      <c r="O1299" s="72" t="s">
        <v>34</v>
      </c>
      <c r="P1299" s="72" t="s">
        <v>35</v>
      </c>
      <c r="Q1299" s="89" t="s">
        <v>2733</v>
      </c>
      <c r="S1299" s="119" t="s">
        <v>64</v>
      </c>
      <c r="T1299" s="120" t="s">
        <v>2734</v>
      </c>
      <c r="V1299" s="88" t="s">
        <v>79</v>
      </c>
      <c r="W1299" s="89" t="s">
        <v>945</v>
      </c>
      <c r="Y1299" s="90" t="s">
        <v>92</v>
      </c>
      <c r="Z1299" s="91"/>
      <c r="AA1299" s="122">
        <v>0.12</v>
      </c>
    </row>
    <row r="1300" spans="1:27">
      <c r="A1300" s="216"/>
      <c r="B1300" s="217"/>
      <c r="F1300" s="88" t="s">
        <v>10</v>
      </c>
      <c r="G1300" s="112" t="s">
        <v>2735</v>
      </c>
      <c r="M1300" s="88" t="s">
        <v>42</v>
      </c>
      <c r="N1300" s="72" t="s">
        <v>33</v>
      </c>
      <c r="O1300" s="72" t="s">
        <v>34</v>
      </c>
      <c r="P1300" s="72" t="s">
        <v>35</v>
      </c>
      <c r="Q1300" s="89" t="s">
        <v>2693</v>
      </c>
      <c r="S1300" s="90" t="s">
        <v>66</v>
      </c>
      <c r="T1300" s="133" t="s">
        <v>2736</v>
      </c>
      <c r="V1300" s="90" t="s">
        <v>82</v>
      </c>
      <c r="W1300" s="92" t="s">
        <v>2737</v>
      </c>
    </row>
    <row r="1301" spans="1:27">
      <c r="A1301" s="216"/>
      <c r="B1301" s="217"/>
      <c r="F1301" s="88" t="s">
        <v>13</v>
      </c>
      <c r="G1301" s="201" t="s">
        <v>1876</v>
      </c>
      <c r="M1301" s="88" t="s">
        <v>2738</v>
      </c>
      <c r="N1301" s="72" t="s">
        <v>33</v>
      </c>
      <c r="O1301" s="72" t="s">
        <v>43</v>
      </c>
      <c r="P1301" s="72" t="s">
        <v>33</v>
      </c>
      <c r="Q1301" s="89" t="s">
        <v>2739</v>
      </c>
    </row>
    <row r="1302" spans="1:27">
      <c r="A1302" s="216"/>
      <c r="B1302" s="217"/>
      <c r="F1302" s="88" t="s">
        <v>15</v>
      </c>
      <c r="G1302" s="112" t="s">
        <v>2740</v>
      </c>
      <c r="M1302" s="88" t="s">
        <v>2741</v>
      </c>
      <c r="N1302" s="72" t="s">
        <v>33</v>
      </c>
      <c r="O1302" s="72" t="s">
        <v>34</v>
      </c>
      <c r="P1302" s="72" t="s">
        <v>35</v>
      </c>
      <c r="Q1302" s="89" t="s">
        <v>2742</v>
      </c>
    </row>
    <row r="1303" spans="1:27">
      <c r="A1303" s="216"/>
      <c r="B1303" s="217"/>
      <c r="F1303" s="119" t="s">
        <v>17</v>
      </c>
      <c r="G1303" s="144">
        <v>46072</v>
      </c>
      <c r="M1303" s="88" t="s">
        <v>2743</v>
      </c>
      <c r="N1303" s="72" t="s">
        <v>33</v>
      </c>
      <c r="O1303" s="72" t="s">
        <v>43</v>
      </c>
      <c r="P1303" s="72" t="s">
        <v>33</v>
      </c>
      <c r="Q1303" s="89" t="s">
        <v>2744</v>
      </c>
    </row>
    <row r="1304" spans="1:27">
      <c r="A1304" s="218"/>
      <c r="B1304" s="219"/>
      <c r="F1304" s="90" t="s">
        <v>18</v>
      </c>
      <c r="G1304" s="114" t="s">
        <v>19</v>
      </c>
      <c r="M1304" s="88" t="s">
        <v>2106</v>
      </c>
      <c r="N1304" s="72" t="s">
        <v>35</v>
      </c>
      <c r="O1304" s="72" t="s">
        <v>52</v>
      </c>
      <c r="P1304" s="72" t="s">
        <v>35</v>
      </c>
      <c r="Q1304" s="89" t="s">
        <v>1858</v>
      </c>
    </row>
    <row r="1305" spans="1:27">
      <c r="M1305" s="88" t="s">
        <v>1794</v>
      </c>
      <c r="N1305" s="72" t="s">
        <v>35</v>
      </c>
      <c r="O1305" s="72" t="s">
        <v>52</v>
      </c>
      <c r="P1305" s="72" t="s">
        <v>35</v>
      </c>
      <c r="Q1305" s="89" t="s">
        <v>2745</v>
      </c>
    </row>
    <row r="1306" spans="1:27">
      <c r="M1306" s="88" t="s">
        <v>2702</v>
      </c>
      <c r="N1306" s="72" t="s">
        <v>35</v>
      </c>
      <c r="O1306" s="72" t="s">
        <v>52</v>
      </c>
      <c r="P1306" s="72" t="s">
        <v>35</v>
      </c>
      <c r="Q1306" s="89" t="s">
        <v>2746</v>
      </c>
    </row>
    <row r="1307" spans="1:27">
      <c r="M1307" s="88" t="s">
        <v>2545</v>
      </c>
      <c r="N1307" s="72" t="s">
        <v>35</v>
      </c>
      <c r="O1307" s="72" t="s">
        <v>52</v>
      </c>
      <c r="P1307" s="72" t="s">
        <v>35</v>
      </c>
      <c r="Q1307" s="89" t="s">
        <v>2747</v>
      </c>
    </row>
    <row r="1308" spans="1:27">
      <c r="M1308" s="88" t="s">
        <v>1975</v>
      </c>
      <c r="N1308" s="72" t="s">
        <v>35</v>
      </c>
      <c r="O1308" s="72" t="s">
        <v>52</v>
      </c>
      <c r="P1308" s="72" t="s">
        <v>35</v>
      </c>
      <c r="Q1308" s="89" t="s">
        <v>2748</v>
      </c>
    </row>
    <row r="1309" spans="1:27">
      <c r="M1309" s="90" t="s">
        <v>1626</v>
      </c>
      <c r="N1309" s="91" t="s">
        <v>35</v>
      </c>
      <c r="O1309" s="91" t="s">
        <v>52</v>
      </c>
      <c r="P1309" s="91" t="s">
        <v>35</v>
      </c>
      <c r="Q1309" s="92" t="s">
        <v>2749</v>
      </c>
    </row>
    <row r="1314" spans="1:27">
      <c r="A1314" s="214" t="s">
        <v>456</v>
      </c>
      <c r="B1314" s="215"/>
      <c r="F1314" s="85" t="s">
        <v>0</v>
      </c>
      <c r="G1314" s="118" t="s">
        <v>1</v>
      </c>
      <c r="I1314" s="85" t="s">
        <v>20</v>
      </c>
      <c r="J1314" s="86" t="s">
        <v>21</v>
      </c>
      <c r="K1314" s="87" t="s">
        <v>23</v>
      </c>
      <c r="M1314" s="181" t="s">
        <v>27</v>
      </c>
      <c r="N1314" s="182" t="s">
        <v>28</v>
      </c>
      <c r="O1314" s="182" t="s">
        <v>29</v>
      </c>
      <c r="P1314" s="182" t="s">
        <v>30</v>
      </c>
      <c r="Q1314" s="183" t="s">
        <v>31</v>
      </c>
      <c r="S1314" s="85" t="s">
        <v>56</v>
      </c>
      <c r="T1314" s="87" t="s">
        <v>57</v>
      </c>
      <c r="U1314" s="79"/>
      <c r="V1314" s="85" t="s">
        <v>68</v>
      </c>
      <c r="W1314" s="87" t="s">
        <v>69</v>
      </c>
      <c r="Y1314" s="85" t="s">
        <v>85</v>
      </c>
      <c r="Z1314" s="86" t="s">
        <v>88</v>
      </c>
      <c r="AA1314" s="87" t="s">
        <v>89</v>
      </c>
    </row>
    <row r="1315" spans="1:27">
      <c r="A1315" s="216"/>
      <c r="B1315" s="217"/>
      <c r="F1315" s="88" t="s">
        <v>2</v>
      </c>
      <c r="G1315" s="134" t="s">
        <v>456</v>
      </c>
      <c r="I1315" s="88" t="s">
        <v>24</v>
      </c>
      <c r="J1315" s="72">
        <v>6</v>
      </c>
      <c r="K1315" s="89">
        <v>170</v>
      </c>
      <c r="M1315" s="178" t="s">
        <v>2750</v>
      </c>
      <c r="N1315" s="179" t="s">
        <v>33</v>
      </c>
      <c r="O1315" s="179" t="s">
        <v>43</v>
      </c>
      <c r="P1315" s="179" t="s">
        <v>33</v>
      </c>
      <c r="Q1315" s="180" t="s">
        <v>2274</v>
      </c>
      <c r="S1315" s="88" t="s">
        <v>58</v>
      </c>
      <c r="T1315" s="89" t="s">
        <v>2751</v>
      </c>
      <c r="V1315" s="138" t="s">
        <v>70</v>
      </c>
      <c r="W1315" s="139" t="s">
        <v>2752</v>
      </c>
      <c r="Y1315" s="138" t="s">
        <v>90</v>
      </c>
      <c r="Z1315" s="137">
        <v>170</v>
      </c>
      <c r="AA1315" s="139">
        <v>105</v>
      </c>
    </row>
    <row r="1316" spans="1:27">
      <c r="A1316" s="216"/>
      <c r="B1316" s="217"/>
      <c r="F1316" s="88" t="s">
        <v>4</v>
      </c>
      <c r="G1316" s="112" t="s">
        <v>894</v>
      </c>
      <c r="I1316" s="88" t="s">
        <v>25</v>
      </c>
      <c r="J1316" s="80">
        <v>5</v>
      </c>
      <c r="K1316" s="89">
        <v>90</v>
      </c>
      <c r="M1316" s="88" t="s">
        <v>1340</v>
      </c>
      <c r="N1316" s="72" t="s">
        <v>33</v>
      </c>
      <c r="O1316" s="72" t="s">
        <v>34</v>
      </c>
      <c r="P1316" s="72" t="s">
        <v>35</v>
      </c>
      <c r="Q1316" s="89" t="s">
        <v>2686</v>
      </c>
      <c r="S1316" s="88" t="s">
        <v>60</v>
      </c>
      <c r="T1316" s="89" t="s">
        <v>2079</v>
      </c>
      <c r="V1316" s="135" t="s">
        <v>73</v>
      </c>
      <c r="W1316" s="136" t="s">
        <v>2687</v>
      </c>
      <c r="Y1316" s="88" t="s">
        <v>91</v>
      </c>
      <c r="Z1316" s="72">
        <v>90</v>
      </c>
      <c r="AA1316" s="89">
        <v>125</v>
      </c>
    </row>
    <row r="1317" spans="1:27">
      <c r="A1317" s="216"/>
      <c r="B1317" s="217"/>
      <c r="F1317" s="88" t="s">
        <v>6</v>
      </c>
      <c r="G1317" s="112" t="s">
        <v>1484</v>
      </c>
      <c r="I1317" s="90" t="s">
        <v>26</v>
      </c>
      <c r="J1317" s="91"/>
      <c r="K1317" s="92">
        <v>260</v>
      </c>
      <c r="M1317" s="88" t="s">
        <v>37</v>
      </c>
      <c r="N1317" s="72" t="s">
        <v>33</v>
      </c>
      <c r="O1317" s="72" t="s">
        <v>34</v>
      </c>
      <c r="P1317" s="72" t="s">
        <v>35</v>
      </c>
      <c r="Q1317" s="89" t="s">
        <v>1665</v>
      </c>
      <c r="S1317" s="88" t="s">
        <v>62</v>
      </c>
      <c r="T1317" s="89" t="s">
        <v>2753</v>
      </c>
      <c r="V1317" s="88" t="s">
        <v>76</v>
      </c>
      <c r="W1317" s="89" t="s">
        <v>2754</v>
      </c>
      <c r="Y1317" s="88" t="s">
        <v>26</v>
      </c>
      <c r="Z1317" s="72">
        <v>260</v>
      </c>
      <c r="AA1317" s="89">
        <v>230</v>
      </c>
    </row>
    <row r="1318" spans="1:27">
      <c r="A1318" s="216"/>
      <c r="B1318" s="217"/>
      <c r="F1318" s="88" t="s">
        <v>8</v>
      </c>
      <c r="G1318" s="112" t="s">
        <v>1552</v>
      </c>
      <c r="M1318" s="88" t="s">
        <v>1135</v>
      </c>
      <c r="N1318" s="72" t="s">
        <v>33</v>
      </c>
      <c r="O1318" s="72" t="s">
        <v>43</v>
      </c>
      <c r="P1318" s="72" t="s">
        <v>33</v>
      </c>
      <c r="Q1318" s="89" t="s">
        <v>2755</v>
      </c>
      <c r="S1318" s="119" t="s">
        <v>64</v>
      </c>
      <c r="T1318" s="120" t="s">
        <v>2756</v>
      </c>
      <c r="V1318" s="88" t="s">
        <v>79</v>
      </c>
      <c r="W1318" s="89" t="s">
        <v>1584</v>
      </c>
      <c r="Y1318" s="90" t="s">
        <v>92</v>
      </c>
      <c r="Z1318" s="91"/>
      <c r="AA1318" s="122">
        <v>0.12</v>
      </c>
    </row>
    <row r="1319" spans="1:27">
      <c r="A1319" s="216"/>
      <c r="B1319" s="217"/>
      <c r="F1319" s="88" t="s">
        <v>10</v>
      </c>
      <c r="G1319" s="112" t="s">
        <v>12</v>
      </c>
      <c r="M1319" s="88" t="s">
        <v>42</v>
      </c>
      <c r="N1319" s="72" t="s">
        <v>33</v>
      </c>
      <c r="O1319" s="72" t="s">
        <v>34</v>
      </c>
      <c r="P1319" s="72" t="s">
        <v>35</v>
      </c>
      <c r="Q1319" s="89" t="s">
        <v>1798</v>
      </c>
      <c r="S1319" s="90" t="s">
        <v>66</v>
      </c>
      <c r="T1319" s="133" t="s">
        <v>2757</v>
      </c>
      <c r="V1319" s="90" t="s">
        <v>82</v>
      </c>
      <c r="W1319" s="92" t="s">
        <v>2671</v>
      </c>
    </row>
    <row r="1320" spans="1:27">
      <c r="A1320" s="216"/>
      <c r="B1320" s="217"/>
      <c r="F1320" s="88" t="s">
        <v>13</v>
      </c>
      <c r="G1320" s="201" t="s">
        <v>2185</v>
      </c>
      <c r="M1320" s="88" t="s">
        <v>2758</v>
      </c>
      <c r="N1320" s="72" t="s">
        <v>33</v>
      </c>
      <c r="O1320" s="72" t="s">
        <v>43</v>
      </c>
      <c r="P1320" s="72" t="s">
        <v>33</v>
      </c>
      <c r="Q1320" s="89" t="s">
        <v>2759</v>
      </c>
    </row>
    <row r="1321" spans="1:27">
      <c r="A1321" s="216"/>
      <c r="B1321" s="217"/>
      <c r="F1321" s="88" t="s">
        <v>15</v>
      </c>
      <c r="G1321" s="112" t="s">
        <v>2760</v>
      </c>
      <c r="M1321" s="88" t="s">
        <v>2698</v>
      </c>
      <c r="N1321" s="72" t="s">
        <v>33</v>
      </c>
      <c r="O1321" s="72" t="s">
        <v>34</v>
      </c>
      <c r="P1321" s="72" t="s">
        <v>35</v>
      </c>
      <c r="Q1321" s="89" t="s">
        <v>2761</v>
      </c>
    </row>
    <row r="1322" spans="1:27">
      <c r="A1322" s="216"/>
      <c r="B1322" s="217"/>
      <c r="F1322" s="119" t="s">
        <v>17</v>
      </c>
      <c r="G1322" s="144">
        <v>46061</v>
      </c>
      <c r="M1322" s="88" t="s">
        <v>1972</v>
      </c>
      <c r="N1322" s="72" t="s">
        <v>35</v>
      </c>
      <c r="O1322" s="72" t="s">
        <v>52</v>
      </c>
      <c r="P1322" s="72" t="s">
        <v>35</v>
      </c>
      <c r="Q1322" s="89" t="s">
        <v>2762</v>
      </c>
    </row>
    <row r="1323" spans="1:27">
      <c r="A1323" s="218"/>
      <c r="B1323" s="219"/>
      <c r="F1323" s="90" t="s">
        <v>18</v>
      </c>
      <c r="G1323" s="114" t="s">
        <v>19</v>
      </c>
      <c r="M1323" s="88" t="s">
        <v>1794</v>
      </c>
      <c r="N1323" s="72" t="s">
        <v>35</v>
      </c>
      <c r="O1323" s="72" t="s">
        <v>52</v>
      </c>
      <c r="P1323" s="72" t="s">
        <v>35</v>
      </c>
      <c r="Q1323" s="89" t="s">
        <v>2763</v>
      </c>
    </row>
    <row r="1324" spans="1:27">
      <c r="M1324" s="88" t="s">
        <v>2702</v>
      </c>
      <c r="N1324" s="72" t="s">
        <v>35</v>
      </c>
      <c r="O1324" s="72" t="s">
        <v>52</v>
      </c>
      <c r="P1324" s="72" t="s">
        <v>35</v>
      </c>
      <c r="Q1324" s="89" t="s">
        <v>2746</v>
      </c>
    </row>
    <row r="1325" spans="1:27">
      <c r="M1325" s="88" t="s">
        <v>2545</v>
      </c>
      <c r="N1325" s="72" t="s">
        <v>35</v>
      </c>
      <c r="O1325" s="72" t="s">
        <v>52</v>
      </c>
      <c r="P1325" s="72" t="s">
        <v>35</v>
      </c>
      <c r="Q1325" s="89" t="s">
        <v>2764</v>
      </c>
    </row>
    <row r="1326" spans="1:27">
      <c r="M1326" s="90" t="s">
        <v>1975</v>
      </c>
      <c r="N1326" s="91" t="s">
        <v>35</v>
      </c>
      <c r="O1326" s="91" t="s">
        <v>52</v>
      </c>
      <c r="P1326" s="91" t="s">
        <v>35</v>
      </c>
      <c r="Q1326" s="92" t="s">
        <v>2765</v>
      </c>
    </row>
    <row r="1327" spans="1:27">
      <c r="M1327" s="130"/>
      <c r="N1327" s="130"/>
      <c r="O1327" s="130"/>
      <c r="P1327" s="130"/>
      <c r="Q1327" s="130"/>
    </row>
    <row r="1328" spans="1:27">
      <c r="M1328" s="130"/>
      <c r="N1328" s="130"/>
      <c r="O1328" s="130"/>
      <c r="P1328" s="130"/>
      <c r="Q1328" s="130"/>
    </row>
    <row r="1331" spans="1:27">
      <c r="A1331" s="214" t="s">
        <v>458</v>
      </c>
      <c r="B1331" s="215"/>
      <c r="F1331" s="85" t="s">
        <v>0</v>
      </c>
      <c r="G1331" s="118" t="s">
        <v>1</v>
      </c>
      <c r="I1331" s="85" t="s">
        <v>20</v>
      </c>
      <c r="J1331" s="86" t="s">
        <v>21</v>
      </c>
      <c r="K1331" s="87" t="s">
        <v>23</v>
      </c>
      <c r="M1331" s="181" t="s">
        <v>27</v>
      </c>
      <c r="N1331" s="182" t="s">
        <v>28</v>
      </c>
      <c r="O1331" s="182" t="s">
        <v>29</v>
      </c>
      <c r="P1331" s="182" t="s">
        <v>30</v>
      </c>
      <c r="Q1331" s="183" t="s">
        <v>31</v>
      </c>
      <c r="S1331" s="85" t="s">
        <v>56</v>
      </c>
      <c r="T1331" s="87" t="s">
        <v>57</v>
      </c>
      <c r="U1331" s="79"/>
      <c r="V1331" s="85" t="s">
        <v>68</v>
      </c>
      <c r="W1331" s="87" t="s">
        <v>69</v>
      </c>
      <c r="Y1331" s="85" t="s">
        <v>85</v>
      </c>
      <c r="Z1331" s="86" t="s">
        <v>88</v>
      </c>
      <c r="AA1331" s="87" t="s">
        <v>89</v>
      </c>
    </row>
    <row r="1332" spans="1:27">
      <c r="A1332" s="216"/>
      <c r="B1332" s="217"/>
      <c r="F1332" s="88" t="s">
        <v>2</v>
      </c>
      <c r="G1332" s="134" t="s">
        <v>2766</v>
      </c>
      <c r="I1332" s="88" t="s">
        <v>24</v>
      </c>
      <c r="J1332" s="72">
        <v>7</v>
      </c>
      <c r="K1332" s="89">
        <v>200</v>
      </c>
      <c r="M1332" s="178" t="s">
        <v>2767</v>
      </c>
      <c r="N1332" s="179" t="s">
        <v>33</v>
      </c>
      <c r="O1332" s="179" t="s">
        <v>43</v>
      </c>
      <c r="P1332" s="179" t="s">
        <v>33</v>
      </c>
      <c r="Q1332" s="180" t="s">
        <v>1805</v>
      </c>
      <c r="S1332" s="88" t="s">
        <v>58</v>
      </c>
      <c r="T1332" s="89" t="s">
        <v>2768</v>
      </c>
      <c r="V1332" s="138" t="s">
        <v>70</v>
      </c>
      <c r="W1332" s="139" t="s">
        <v>2769</v>
      </c>
      <c r="Y1332" s="138" t="s">
        <v>90</v>
      </c>
      <c r="Z1332" s="137">
        <v>200</v>
      </c>
      <c r="AA1332" s="139">
        <v>125</v>
      </c>
    </row>
    <row r="1333" spans="1:27">
      <c r="A1333" s="216"/>
      <c r="B1333" s="217"/>
      <c r="F1333" s="88" t="s">
        <v>4</v>
      </c>
      <c r="G1333" s="112" t="s">
        <v>894</v>
      </c>
      <c r="I1333" s="88" t="s">
        <v>25</v>
      </c>
      <c r="J1333" s="80">
        <v>5</v>
      </c>
      <c r="K1333" s="89">
        <v>100</v>
      </c>
      <c r="M1333" s="88" t="s">
        <v>2770</v>
      </c>
      <c r="N1333" s="72" t="s">
        <v>33</v>
      </c>
      <c r="O1333" s="72" t="s">
        <v>34</v>
      </c>
      <c r="P1333" s="72" t="s">
        <v>35</v>
      </c>
      <c r="Q1333" s="89" t="s">
        <v>2771</v>
      </c>
      <c r="S1333" s="88" t="s">
        <v>60</v>
      </c>
      <c r="T1333" s="89" t="s">
        <v>2772</v>
      </c>
      <c r="V1333" s="135" t="s">
        <v>73</v>
      </c>
      <c r="W1333" s="136" t="s">
        <v>2773</v>
      </c>
      <c r="Y1333" s="88" t="s">
        <v>91</v>
      </c>
      <c r="Z1333" s="72">
        <v>100</v>
      </c>
      <c r="AA1333" s="89">
        <v>145</v>
      </c>
    </row>
    <row r="1334" spans="1:27">
      <c r="A1334" s="216"/>
      <c r="B1334" s="217"/>
      <c r="F1334" s="88" t="s">
        <v>6</v>
      </c>
      <c r="G1334" s="112" t="s">
        <v>895</v>
      </c>
      <c r="I1334" s="90" t="s">
        <v>26</v>
      </c>
      <c r="J1334" s="91"/>
      <c r="K1334" s="92">
        <v>300</v>
      </c>
      <c r="M1334" s="88" t="s">
        <v>2774</v>
      </c>
      <c r="N1334" s="72" t="s">
        <v>33</v>
      </c>
      <c r="O1334" s="72" t="s">
        <v>34</v>
      </c>
      <c r="P1334" s="72" t="s">
        <v>35</v>
      </c>
      <c r="Q1334" s="89" t="s">
        <v>2775</v>
      </c>
      <c r="S1334" s="88" t="s">
        <v>62</v>
      </c>
      <c r="T1334" s="89" t="s">
        <v>2776</v>
      </c>
      <c r="V1334" s="88" t="s">
        <v>76</v>
      </c>
      <c r="W1334" s="89" t="s">
        <v>2777</v>
      </c>
      <c r="Y1334" s="88" t="s">
        <v>26</v>
      </c>
      <c r="Z1334" s="72">
        <v>300</v>
      </c>
      <c r="AA1334" s="89">
        <v>270</v>
      </c>
    </row>
    <row r="1335" spans="1:27">
      <c r="A1335" s="216"/>
      <c r="B1335" s="217"/>
      <c r="F1335" s="88" t="s">
        <v>8</v>
      </c>
      <c r="G1335" s="112" t="s">
        <v>2778</v>
      </c>
      <c r="M1335" s="88" t="s">
        <v>2779</v>
      </c>
      <c r="N1335" s="72" t="s">
        <v>33</v>
      </c>
      <c r="O1335" s="72" t="s">
        <v>43</v>
      </c>
      <c r="P1335" s="72" t="s">
        <v>33</v>
      </c>
      <c r="Q1335" s="89" t="s">
        <v>2780</v>
      </c>
      <c r="S1335" s="119" t="s">
        <v>64</v>
      </c>
      <c r="T1335" s="120" t="s">
        <v>2781</v>
      </c>
      <c r="V1335" s="88" t="s">
        <v>79</v>
      </c>
      <c r="W1335" s="89" t="s">
        <v>945</v>
      </c>
      <c r="Y1335" s="90" t="s">
        <v>92</v>
      </c>
      <c r="Z1335" s="91"/>
      <c r="AA1335" s="122">
        <v>0.1</v>
      </c>
    </row>
    <row r="1336" spans="1:27">
      <c r="A1336" s="216"/>
      <c r="B1336" s="217"/>
      <c r="F1336" s="88" t="s">
        <v>10</v>
      </c>
      <c r="G1336" s="112" t="s">
        <v>2782</v>
      </c>
      <c r="M1336" s="88" t="s">
        <v>2783</v>
      </c>
      <c r="N1336" s="72" t="s">
        <v>33</v>
      </c>
      <c r="O1336" s="72" t="s">
        <v>43</v>
      </c>
      <c r="P1336" s="72" t="s">
        <v>33</v>
      </c>
      <c r="Q1336" s="89" t="s">
        <v>2301</v>
      </c>
      <c r="S1336" s="90" t="s">
        <v>66</v>
      </c>
      <c r="T1336" s="133" t="s">
        <v>2784</v>
      </c>
      <c r="V1336" s="90" t="s">
        <v>82</v>
      </c>
      <c r="W1336" s="92" t="s">
        <v>2785</v>
      </c>
    </row>
    <row r="1337" spans="1:27">
      <c r="A1337" s="216"/>
      <c r="B1337" s="217"/>
      <c r="F1337" s="88" t="s">
        <v>13</v>
      </c>
      <c r="G1337" s="201" t="s">
        <v>2786</v>
      </c>
      <c r="M1337" s="88" t="s">
        <v>42</v>
      </c>
      <c r="N1337" s="72" t="s">
        <v>33</v>
      </c>
      <c r="O1337" s="72" t="s">
        <v>34</v>
      </c>
      <c r="P1337" s="72" t="s">
        <v>35</v>
      </c>
      <c r="Q1337" s="89" t="s">
        <v>2787</v>
      </c>
    </row>
    <row r="1338" spans="1:27">
      <c r="A1338" s="216"/>
      <c r="B1338" s="217"/>
      <c r="F1338" s="88" t="s">
        <v>15</v>
      </c>
      <c r="G1338" s="112" t="s">
        <v>2788</v>
      </c>
      <c r="M1338" s="88" t="s">
        <v>1879</v>
      </c>
      <c r="N1338" s="72" t="s">
        <v>33</v>
      </c>
      <c r="O1338" s="72" t="s">
        <v>34</v>
      </c>
      <c r="P1338" s="72" t="s">
        <v>35</v>
      </c>
      <c r="Q1338" s="89" t="s">
        <v>2404</v>
      </c>
    </row>
    <row r="1339" spans="1:27">
      <c r="A1339" s="216"/>
      <c r="B1339" s="217"/>
      <c r="F1339" s="119" t="s">
        <v>17</v>
      </c>
      <c r="G1339" s="144">
        <v>46037</v>
      </c>
      <c r="M1339" s="88" t="s">
        <v>2789</v>
      </c>
      <c r="N1339" s="72" t="s">
        <v>35</v>
      </c>
      <c r="O1339" s="72" t="s">
        <v>52</v>
      </c>
      <c r="P1339" s="72" t="s">
        <v>35</v>
      </c>
      <c r="Q1339" s="89" t="s">
        <v>2790</v>
      </c>
    </row>
    <row r="1340" spans="1:27">
      <c r="A1340" s="218"/>
      <c r="B1340" s="219"/>
      <c r="F1340" s="90" t="s">
        <v>18</v>
      </c>
      <c r="G1340" s="114" t="s">
        <v>19</v>
      </c>
      <c r="M1340" s="88" t="s">
        <v>1794</v>
      </c>
      <c r="N1340" s="72" t="s">
        <v>35</v>
      </c>
      <c r="O1340" s="72" t="s">
        <v>52</v>
      </c>
      <c r="P1340" s="72" t="s">
        <v>35</v>
      </c>
      <c r="Q1340" s="89" t="s">
        <v>2763</v>
      </c>
    </row>
    <row r="1341" spans="1:27">
      <c r="M1341" s="88" t="s">
        <v>2543</v>
      </c>
      <c r="N1341" s="72" t="s">
        <v>35</v>
      </c>
      <c r="O1341" s="72" t="s">
        <v>52</v>
      </c>
      <c r="P1341" s="72" t="s">
        <v>35</v>
      </c>
      <c r="Q1341" s="89" t="s">
        <v>2746</v>
      </c>
    </row>
    <row r="1342" spans="1:27">
      <c r="M1342" s="88" t="s">
        <v>2511</v>
      </c>
      <c r="N1342" s="72" t="s">
        <v>35</v>
      </c>
      <c r="O1342" s="72" t="s">
        <v>52</v>
      </c>
      <c r="P1342" s="72" t="s">
        <v>35</v>
      </c>
      <c r="Q1342" s="89" t="s">
        <v>2764</v>
      </c>
    </row>
    <row r="1343" spans="1:27">
      <c r="M1343" s="90" t="s">
        <v>1975</v>
      </c>
      <c r="N1343" s="91" t="s">
        <v>35</v>
      </c>
      <c r="O1343" s="91" t="s">
        <v>52</v>
      </c>
      <c r="P1343" s="91" t="s">
        <v>35</v>
      </c>
      <c r="Q1343" s="92" t="s">
        <v>2765</v>
      </c>
    </row>
    <row r="1348" spans="1:27">
      <c r="A1348" s="214" t="s">
        <v>2791</v>
      </c>
      <c r="B1348" s="215"/>
      <c r="F1348" s="85" t="s">
        <v>0</v>
      </c>
      <c r="G1348" s="118" t="s">
        <v>1</v>
      </c>
      <c r="I1348" s="85" t="s">
        <v>20</v>
      </c>
      <c r="J1348" s="86" t="s">
        <v>21</v>
      </c>
      <c r="K1348" s="87" t="s">
        <v>23</v>
      </c>
      <c r="M1348" s="85" t="s">
        <v>27</v>
      </c>
      <c r="N1348" s="86" t="s">
        <v>28</v>
      </c>
      <c r="O1348" s="86" t="s">
        <v>29</v>
      </c>
      <c r="P1348" s="86" t="s">
        <v>30</v>
      </c>
      <c r="Q1348" s="87" t="s">
        <v>31</v>
      </c>
      <c r="S1348" s="85" t="s">
        <v>56</v>
      </c>
      <c r="T1348" s="87" t="s">
        <v>57</v>
      </c>
      <c r="U1348" s="79"/>
      <c r="V1348" s="85" t="s">
        <v>68</v>
      </c>
      <c r="W1348" s="87" t="s">
        <v>69</v>
      </c>
      <c r="Y1348" s="85" t="s">
        <v>85</v>
      </c>
      <c r="Z1348" s="86" t="s">
        <v>88</v>
      </c>
      <c r="AA1348" s="87" t="s">
        <v>89</v>
      </c>
    </row>
    <row r="1349" spans="1:27">
      <c r="A1349" s="216"/>
      <c r="B1349" s="217"/>
      <c r="F1349" s="88" t="s">
        <v>2</v>
      </c>
      <c r="G1349" s="134" t="s">
        <v>2792</v>
      </c>
      <c r="I1349" s="88" t="s">
        <v>24</v>
      </c>
      <c r="J1349" s="72">
        <v>8</v>
      </c>
      <c r="K1349" s="89">
        <v>260</v>
      </c>
      <c r="M1349" s="88" t="s">
        <v>2574</v>
      </c>
      <c r="N1349" s="72" t="s">
        <v>33</v>
      </c>
      <c r="O1349" s="72" t="s">
        <v>34</v>
      </c>
      <c r="P1349" s="72" t="s">
        <v>35</v>
      </c>
      <c r="Q1349" s="89" t="s">
        <v>2793</v>
      </c>
      <c r="S1349" s="88" t="s">
        <v>58</v>
      </c>
      <c r="T1349" s="89" t="s">
        <v>2794</v>
      </c>
      <c r="V1349" s="138" t="s">
        <v>70</v>
      </c>
      <c r="W1349" s="139" t="s">
        <v>2795</v>
      </c>
      <c r="Y1349" s="138" t="s">
        <v>90</v>
      </c>
      <c r="Z1349" s="137">
        <v>260</v>
      </c>
      <c r="AA1349" s="139">
        <v>165</v>
      </c>
    </row>
    <row r="1350" spans="1:27">
      <c r="A1350" s="216"/>
      <c r="B1350" s="217"/>
      <c r="F1350" s="88" t="s">
        <v>4</v>
      </c>
      <c r="G1350" s="112" t="s">
        <v>894</v>
      </c>
      <c r="I1350" s="88" t="s">
        <v>25</v>
      </c>
      <c r="J1350" s="80">
        <v>5</v>
      </c>
      <c r="K1350" s="89">
        <v>120</v>
      </c>
      <c r="M1350" s="88" t="s">
        <v>1661</v>
      </c>
      <c r="N1350" s="72" t="s">
        <v>33</v>
      </c>
      <c r="O1350" s="72" t="s">
        <v>43</v>
      </c>
      <c r="P1350" s="72" t="s">
        <v>33</v>
      </c>
      <c r="Q1350" s="89" t="s">
        <v>2274</v>
      </c>
      <c r="S1350" s="88" t="s">
        <v>60</v>
      </c>
      <c r="T1350" s="89" t="s">
        <v>2796</v>
      </c>
      <c r="V1350" s="135" t="s">
        <v>73</v>
      </c>
      <c r="W1350" s="136" t="s">
        <v>2797</v>
      </c>
      <c r="Y1350" s="88" t="s">
        <v>91</v>
      </c>
      <c r="Z1350" s="72">
        <v>120</v>
      </c>
      <c r="AA1350" s="89">
        <v>170</v>
      </c>
    </row>
    <row r="1351" spans="1:27">
      <c r="A1351" s="216"/>
      <c r="B1351" s="217"/>
      <c r="F1351" s="88" t="s">
        <v>6</v>
      </c>
      <c r="G1351" s="112" t="s">
        <v>1484</v>
      </c>
      <c r="I1351" s="90" t="s">
        <v>26</v>
      </c>
      <c r="J1351" s="91"/>
      <c r="K1351" s="92">
        <v>380</v>
      </c>
      <c r="M1351" s="88" t="s">
        <v>1841</v>
      </c>
      <c r="N1351" s="72" t="s">
        <v>33</v>
      </c>
      <c r="O1351" s="72" t="s">
        <v>43</v>
      </c>
      <c r="P1351" s="72" t="s">
        <v>33</v>
      </c>
      <c r="Q1351" s="89" t="s">
        <v>2798</v>
      </c>
      <c r="S1351" s="88" t="s">
        <v>62</v>
      </c>
      <c r="T1351" s="89" t="s">
        <v>2799</v>
      </c>
      <c r="V1351" s="88" t="s">
        <v>76</v>
      </c>
      <c r="W1351" s="89" t="s">
        <v>2800</v>
      </c>
      <c r="Y1351" s="88" t="s">
        <v>26</v>
      </c>
      <c r="Z1351" s="72">
        <v>380</v>
      </c>
      <c r="AA1351" s="89">
        <v>335</v>
      </c>
    </row>
    <row r="1352" spans="1:27">
      <c r="A1352" s="216"/>
      <c r="B1352" s="217"/>
      <c r="F1352" s="88" t="s">
        <v>8</v>
      </c>
      <c r="G1352" s="112" t="s">
        <v>2801</v>
      </c>
      <c r="M1352" s="88" t="s">
        <v>37</v>
      </c>
      <c r="N1352" s="72" t="s">
        <v>33</v>
      </c>
      <c r="O1352" s="72" t="s">
        <v>34</v>
      </c>
      <c r="P1352" s="72" t="s">
        <v>35</v>
      </c>
      <c r="Q1352" s="89" t="s">
        <v>1778</v>
      </c>
      <c r="S1352" s="119" t="s">
        <v>64</v>
      </c>
      <c r="T1352" s="120" t="s">
        <v>2802</v>
      </c>
      <c r="V1352" s="88" t="s">
        <v>79</v>
      </c>
      <c r="W1352" s="89" t="s">
        <v>1726</v>
      </c>
      <c r="Y1352" s="90" t="s">
        <v>92</v>
      </c>
      <c r="Z1352" s="91"/>
      <c r="AA1352" s="122">
        <v>0.12</v>
      </c>
    </row>
    <row r="1353" spans="1:27">
      <c r="A1353" s="216"/>
      <c r="B1353" s="217"/>
      <c r="F1353" s="88" t="s">
        <v>10</v>
      </c>
      <c r="G1353" s="112" t="s">
        <v>1403</v>
      </c>
      <c r="M1353" s="88" t="s">
        <v>2803</v>
      </c>
      <c r="N1353" s="72" t="s">
        <v>33</v>
      </c>
      <c r="O1353" s="72" t="s">
        <v>34</v>
      </c>
      <c r="P1353" s="72" t="s">
        <v>35</v>
      </c>
      <c r="Q1353" s="89" t="s">
        <v>2804</v>
      </c>
      <c r="S1353" s="90" t="s">
        <v>66</v>
      </c>
      <c r="T1353" s="133" t="s">
        <v>2070</v>
      </c>
      <c r="V1353" s="90" t="s">
        <v>82</v>
      </c>
      <c r="W1353" s="92" t="s">
        <v>2805</v>
      </c>
    </row>
    <row r="1354" spans="1:27">
      <c r="A1354" s="216"/>
      <c r="B1354" s="217"/>
      <c r="F1354" s="88" t="s">
        <v>13</v>
      </c>
      <c r="G1354" s="201" t="s">
        <v>2497</v>
      </c>
      <c r="M1354" s="88" t="s">
        <v>49</v>
      </c>
      <c r="N1354" s="72" t="s">
        <v>33</v>
      </c>
      <c r="O1354" s="72" t="s">
        <v>43</v>
      </c>
      <c r="P1354" s="72" t="s">
        <v>33</v>
      </c>
      <c r="Q1354" s="89" t="s">
        <v>2301</v>
      </c>
    </row>
    <row r="1355" spans="1:27">
      <c r="A1355" s="216"/>
      <c r="B1355" s="217"/>
      <c r="F1355" s="88" t="s">
        <v>15</v>
      </c>
      <c r="G1355" s="112" t="s">
        <v>2806</v>
      </c>
      <c r="M1355" s="88" t="s">
        <v>2595</v>
      </c>
      <c r="N1355" s="72" t="s">
        <v>33</v>
      </c>
      <c r="O1355" s="72" t="s">
        <v>43</v>
      </c>
      <c r="P1355" s="72" t="s">
        <v>33</v>
      </c>
      <c r="Q1355" s="89" t="s">
        <v>2780</v>
      </c>
    </row>
    <row r="1356" spans="1:27">
      <c r="A1356" s="216"/>
      <c r="B1356" s="217"/>
      <c r="F1356" s="119" t="s">
        <v>17</v>
      </c>
      <c r="G1356" s="144">
        <v>46065</v>
      </c>
      <c r="M1356" s="88" t="s">
        <v>42</v>
      </c>
      <c r="N1356" s="72" t="s">
        <v>33</v>
      </c>
      <c r="O1356" s="72" t="s">
        <v>34</v>
      </c>
      <c r="P1356" s="72" t="s">
        <v>35</v>
      </c>
      <c r="Q1356" s="89" t="s">
        <v>1798</v>
      </c>
    </row>
    <row r="1357" spans="1:27">
      <c r="A1357" s="218"/>
      <c r="B1357" s="219"/>
      <c r="F1357" s="90" t="s">
        <v>18</v>
      </c>
      <c r="G1357" s="114" t="s">
        <v>19</v>
      </c>
      <c r="M1357" s="88" t="s">
        <v>1972</v>
      </c>
      <c r="N1357" s="72" t="s">
        <v>35</v>
      </c>
      <c r="O1357" s="72" t="s">
        <v>52</v>
      </c>
      <c r="P1357" s="72" t="s">
        <v>35</v>
      </c>
      <c r="Q1357" s="89" t="s">
        <v>2719</v>
      </c>
    </row>
    <row r="1358" spans="1:27">
      <c r="M1358" s="88" t="s">
        <v>1794</v>
      </c>
      <c r="N1358" s="72" t="s">
        <v>35</v>
      </c>
      <c r="O1358" s="72" t="s">
        <v>52</v>
      </c>
      <c r="P1358" s="72" t="s">
        <v>35</v>
      </c>
      <c r="Q1358" s="89" t="s">
        <v>2763</v>
      </c>
    </row>
    <row r="1359" spans="1:27">
      <c r="M1359" s="88" t="s">
        <v>2807</v>
      </c>
      <c r="N1359" s="72" t="s">
        <v>35</v>
      </c>
      <c r="O1359" s="72" t="s">
        <v>52</v>
      </c>
      <c r="P1359" s="72" t="s">
        <v>35</v>
      </c>
      <c r="Q1359" s="89" t="s">
        <v>2808</v>
      </c>
    </row>
    <row r="1360" spans="1:27">
      <c r="M1360" s="88" t="s">
        <v>2545</v>
      </c>
      <c r="N1360" s="72" t="s">
        <v>35</v>
      </c>
      <c r="O1360" s="72" t="s">
        <v>52</v>
      </c>
      <c r="P1360" s="72" t="s">
        <v>35</v>
      </c>
      <c r="Q1360" s="89" t="s">
        <v>2764</v>
      </c>
    </row>
    <row r="1361" spans="1:27">
      <c r="M1361" s="90" t="s">
        <v>1975</v>
      </c>
      <c r="N1361" s="91" t="s">
        <v>35</v>
      </c>
      <c r="O1361" s="91" t="s">
        <v>52</v>
      </c>
      <c r="P1361" s="91" t="s">
        <v>35</v>
      </c>
      <c r="Q1361" s="92" t="s">
        <v>2765</v>
      </c>
    </row>
    <row r="1367" spans="1:27">
      <c r="A1367" s="214" t="s">
        <v>2809</v>
      </c>
      <c r="B1367" s="215"/>
      <c r="F1367" s="85" t="s">
        <v>0</v>
      </c>
      <c r="G1367" s="118" t="s">
        <v>1</v>
      </c>
      <c r="I1367" s="85" t="s">
        <v>20</v>
      </c>
      <c r="J1367" s="86" t="s">
        <v>21</v>
      </c>
      <c r="K1367" s="87" t="s">
        <v>23</v>
      </c>
      <c r="M1367" s="85" t="s">
        <v>27</v>
      </c>
      <c r="N1367" s="86" t="s">
        <v>28</v>
      </c>
      <c r="O1367" s="86" t="s">
        <v>29</v>
      </c>
      <c r="P1367" s="86" t="s">
        <v>30</v>
      </c>
      <c r="Q1367" s="87" t="s">
        <v>31</v>
      </c>
      <c r="S1367" s="85" t="s">
        <v>56</v>
      </c>
      <c r="T1367" s="87" t="s">
        <v>57</v>
      </c>
      <c r="U1367" s="79"/>
      <c r="V1367" s="85" t="s">
        <v>68</v>
      </c>
      <c r="W1367" s="87" t="s">
        <v>69</v>
      </c>
      <c r="Y1367" s="85" t="s">
        <v>85</v>
      </c>
      <c r="Z1367" s="86" t="s">
        <v>88</v>
      </c>
      <c r="AA1367" s="87" t="s">
        <v>89</v>
      </c>
    </row>
    <row r="1368" spans="1:27">
      <c r="A1368" s="216"/>
      <c r="B1368" s="217"/>
      <c r="F1368" s="88" t="s">
        <v>2</v>
      </c>
      <c r="G1368" s="134" t="s">
        <v>2810</v>
      </c>
      <c r="I1368" s="88" t="s">
        <v>24</v>
      </c>
      <c r="J1368" s="72">
        <v>7</v>
      </c>
      <c r="K1368" s="89">
        <v>230</v>
      </c>
      <c r="M1368" s="88" t="s">
        <v>2770</v>
      </c>
      <c r="N1368" s="72" t="s">
        <v>33</v>
      </c>
      <c r="O1368" s="72" t="s">
        <v>34</v>
      </c>
      <c r="P1368" s="72" t="s">
        <v>35</v>
      </c>
      <c r="Q1368" s="89" t="s">
        <v>2771</v>
      </c>
      <c r="S1368" s="88" t="s">
        <v>58</v>
      </c>
      <c r="T1368" s="89" t="s">
        <v>2811</v>
      </c>
      <c r="V1368" s="138" t="s">
        <v>70</v>
      </c>
      <c r="W1368" s="139" t="s">
        <v>2812</v>
      </c>
      <c r="Y1368" s="138" t="s">
        <v>90</v>
      </c>
      <c r="Z1368" s="137">
        <v>230</v>
      </c>
      <c r="AA1368" s="139">
        <v>140</v>
      </c>
    </row>
    <row r="1369" spans="1:27">
      <c r="A1369" s="216"/>
      <c r="B1369" s="217"/>
      <c r="F1369" s="88" t="s">
        <v>4</v>
      </c>
      <c r="G1369" s="112" t="s">
        <v>894</v>
      </c>
      <c r="I1369" s="88" t="s">
        <v>25</v>
      </c>
      <c r="J1369" s="80">
        <v>6</v>
      </c>
      <c r="K1369" s="89">
        <v>115</v>
      </c>
      <c r="M1369" s="88" t="s">
        <v>2813</v>
      </c>
      <c r="N1369" s="72" t="s">
        <v>33</v>
      </c>
      <c r="O1369" s="72" t="s">
        <v>43</v>
      </c>
      <c r="P1369" s="72" t="s">
        <v>33</v>
      </c>
      <c r="Q1369" s="89" t="s">
        <v>1964</v>
      </c>
      <c r="S1369" s="88" t="s">
        <v>60</v>
      </c>
      <c r="T1369" s="89" t="s">
        <v>2772</v>
      </c>
      <c r="V1369" s="135" t="s">
        <v>73</v>
      </c>
      <c r="W1369" s="136" t="s">
        <v>2814</v>
      </c>
      <c r="Y1369" s="88" t="s">
        <v>91</v>
      </c>
      <c r="Z1369" s="72">
        <v>115</v>
      </c>
      <c r="AA1369" s="89">
        <v>160</v>
      </c>
    </row>
    <row r="1370" spans="1:27">
      <c r="A1370" s="216"/>
      <c r="B1370" s="217"/>
      <c r="F1370" s="88" t="s">
        <v>6</v>
      </c>
      <c r="G1370" s="112" t="s">
        <v>895</v>
      </c>
      <c r="I1370" s="90" t="s">
        <v>26</v>
      </c>
      <c r="J1370" s="91"/>
      <c r="K1370" s="92">
        <v>345</v>
      </c>
      <c r="M1370" s="88" t="s">
        <v>37</v>
      </c>
      <c r="N1370" s="72" t="s">
        <v>33</v>
      </c>
      <c r="O1370" s="72" t="s">
        <v>34</v>
      </c>
      <c r="P1370" s="72" t="s">
        <v>35</v>
      </c>
      <c r="Q1370" s="89" t="s">
        <v>1665</v>
      </c>
      <c r="S1370" s="88" t="s">
        <v>62</v>
      </c>
      <c r="T1370" s="89" t="s">
        <v>2815</v>
      </c>
      <c r="V1370" s="88" t="s">
        <v>76</v>
      </c>
      <c r="W1370" s="89" t="s">
        <v>2816</v>
      </c>
      <c r="Y1370" s="88" t="s">
        <v>26</v>
      </c>
      <c r="Z1370" s="72">
        <v>345</v>
      </c>
      <c r="AA1370" s="89">
        <v>300</v>
      </c>
    </row>
    <row r="1371" spans="1:27">
      <c r="A1371" s="216"/>
      <c r="B1371" s="217"/>
      <c r="F1371" s="88" t="s">
        <v>8</v>
      </c>
      <c r="G1371" s="112" t="s">
        <v>1298</v>
      </c>
      <c r="M1371" s="88" t="s">
        <v>2817</v>
      </c>
      <c r="N1371" s="72" t="s">
        <v>33</v>
      </c>
      <c r="O1371" s="72" t="s">
        <v>34</v>
      </c>
      <c r="P1371" s="72" t="s">
        <v>35</v>
      </c>
      <c r="Q1371" s="89" t="s">
        <v>2818</v>
      </c>
      <c r="S1371" s="119" t="s">
        <v>64</v>
      </c>
      <c r="T1371" s="120" t="s">
        <v>2819</v>
      </c>
      <c r="V1371" s="88" t="s">
        <v>79</v>
      </c>
      <c r="W1371" s="89" t="s">
        <v>1584</v>
      </c>
      <c r="Y1371" s="90" t="s">
        <v>92</v>
      </c>
      <c r="Z1371" s="91"/>
      <c r="AA1371" s="122">
        <v>0.13</v>
      </c>
    </row>
    <row r="1372" spans="1:27">
      <c r="A1372" s="216"/>
      <c r="B1372" s="217"/>
      <c r="F1372" s="88" t="s">
        <v>10</v>
      </c>
      <c r="G1372" s="112" t="s">
        <v>2820</v>
      </c>
      <c r="M1372" s="88" t="s">
        <v>1135</v>
      </c>
      <c r="N1372" s="72" t="s">
        <v>33</v>
      </c>
      <c r="O1372" s="72" t="s">
        <v>43</v>
      </c>
      <c r="P1372" s="72" t="s">
        <v>33</v>
      </c>
      <c r="Q1372" s="89" t="s">
        <v>2755</v>
      </c>
      <c r="S1372" s="90" t="s">
        <v>66</v>
      </c>
      <c r="T1372" s="133" t="s">
        <v>2821</v>
      </c>
      <c r="V1372" s="90" t="s">
        <v>82</v>
      </c>
      <c r="W1372" s="92" t="s">
        <v>2822</v>
      </c>
    </row>
    <row r="1373" spans="1:27">
      <c r="A1373" s="216"/>
      <c r="B1373" s="217"/>
      <c r="F1373" s="88" t="s">
        <v>13</v>
      </c>
      <c r="G1373" s="201" t="s">
        <v>2823</v>
      </c>
      <c r="M1373" s="88" t="s">
        <v>2824</v>
      </c>
      <c r="N1373" s="72" t="s">
        <v>33</v>
      </c>
      <c r="O1373" s="72" t="s">
        <v>43</v>
      </c>
      <c r="P1373" s="72" t="s">
        <v>33</v>
      </c>
      <c r="Q1373" s="89" t="s">
        <v>2825</v>
      </c>
    </row>
    <row r="1374" spans="1:27">
      <c r="A1374" s="216"/>
      <c r="B1374" s="217"/>
      <c r="F1374" s="88" t="s">
        <v>15</v>
      </c>
      <c r="G1374" s="112" t="s">
        <v>2826</v>
      </c>
      <c r="M1374" s="88" t="s">
        <v>42</v>
      </c>
      <c r="N1374" s="72" t="s">
        <v>33</v>
      </c>
      <c r="O1374" s="72" t="s">
        <v>34</v>
      </c>
      <c r="P1374" s="72" t="s">
        <v>35</v>
      </c>
      <c r="Q1374" s="89" t="s">
        <v>2787</v>
      </c>
    </row>
    <row r="1375" spans="1:27">
      <c r="A1375" s="216"/>
      <c r="B1375" s="217"/>
      <c r="F1375" s="119" t="s">
        <v>17</v>
      </c>
      <c r="G1375" s="144">
        <v>46073</v>
      </c>
      <c r="M1375" s="88" t="s">
        <v>2827</v>
      </c>
      <c r="N1375" s="72" t="s">
        <v>35</v>
      </c>
      <c r="O1375" s="72" t="s">
        <v>52</v>
      </c>
      <c r="P1375" s="72" t="s">
        <v>35</v>
      </c>
      <c r="Q1375" s="89" t="s">
        <v>2790</v>
      </c>
    </row>
    <row r="1376" spans="1:27">
      <c r="A1376" s="218"/>
      <c r="B1376" s="219"/>
      <c r="F1376" s="90" t="s">
        <v>18</v>
      </c>
      <c r="G1376" s="114" t="s">
        <v>19</v>
      </c>
      <c r="M1376" s="88" t="s">
        <v>1794</v>
      </c>
      <c r="N1376" s="72" t="s">
        <v>35</v>
      </c>
      <c r="O1376" s="72" t="s">
        <v>52</v>
      </c>
      <c r="P1376" s="72" t="s">
        <v>35</v>
      </c>
      <c r="Q1376" s="89" t="s">
        <v>2763</v>
      </c>
    </row>
    <row r="1377" spans="1:27">
      <c r="M1377" s="88" t="s">
        <v>2059</v>
      </c>
      <c r="N1377" s="72" t="s">
        <v>35</v>
      </c>
      <c r="O1377" s="72" t="s">
        <v>52</v>
      </c>
      <c r="P1377" s="72" t="s">
        <v>35</v>
      </c>
      <c r="Q1377" s="89" t="s">
        <v>2746</v>
      </c>
    </row>
    <row r="1378" spans="1:27">
      <c r="M1378" s="88" t="s">
        <v>2545</v>
      </c>
      <c r="N1378" s="72" t="s">
        <v>35</v>
      </c>
      <c r="O1378" s="72" t="s">
        <v>52</v>
      </c>
      <c r="P1378" s="72" t="s">
        <v>35</v>
      </c>
      <c r="Q1378" s="89" t="s">
        <v>2764</v>
      </c>
    </row>
    <row r="1379" spans="1:27">
      <c r="M1379" s="88" t="s">
        <v>1975</v>
      </c>
      <c r="N1379" s="72" t="s">
        <v>35</v>
      </c>
      <c r="O1379" s="72" t="s">
        <v>52</v>
      </c>
      <c r="P1379" s="72" t="s">
        <v>35</v>
      </c>
      <c r="Q1379" s="89" t="s">
        <v>2765</v>
      </c>
    </row>
    <row r="1380" spans="1:27">
      <c r="M1380" s="90" t="s">
        <v>1626</v>
      </c>
      <c r="N1380" s="91" t="s">
        <v>35</v>
      </c>
      <c r="O1380" s="91" t="s">
        <v>52</v>
      </c>
      <c r="P1380" s="91" t="s">
        <v>35</v>
      </c>
      <c r="Q1380" s="92" t="s">
        <v>2749</v>
      </c>
    </row>
    <row r="1385" spans="1:27">
      <c r="A1385" s="214" t="s">
        <v>466</v>
      </c>
      <c r="B1385" s="215"/>
      <c r="F1385" s="85" t="s">
        <v>0</v>
      </c>
      <c r="G1385" s="118" t="s">
        <v>1</v>
      </c>
      <c r="I1385" s="85" t="s">
        <v>20</v>
      </c>
      <c r="J1385" s="86" t="s">
        <v>21</v>
      </c>
      <c r="K1385" s="87" t="s">
        <v>23</v>
      </c>
      <c r="M1385" s="85" t="s">
        <v>27</v>
      </c>
      <c r="N1385" s="86" t="s">
        <v>28</v>
      </c>
      <c r="O1385" s="86" t="s">
        <v>29</v>
      </c>
      <c r="P1385" s="86" t="s">
        <v>30</v>
      </c>
      <c r="Q1385" s="87" t="s">
        <v>31</v>
      </c>
      <c r="S1385" s="85" t="s">
        <v>56</v>
      </c>
      <c r="T1385" s="87" t="s">
        <v>57</v>
      </c>
      <c r="U1385" s="79"/>
      <c r="V1385" s="85" t="s">
        <v>68</v>
      </c>
      <c r="W1385" s="87" t="s">
        <v>69</v>
      </c>
      <c r="Y1385" s="85" t="s">
        <v>85</v>
      </c>
      <c r="Z1385" s="86" t="s">
        <v>88</v>
      </c>
      <c r="AA1385" s="87" t="s">
        <v>89</v>
      </c>
    </row>
    <row r="1386" spans="1:27">
      <c r="A1386" s="216"/>
      <c r="B1386" s="217"/>
      <c r="F1386" s="88" t="s">
        <v>2</v>
      </c>
      <c r="G1386" s="134" t="s">
        <v>466</v>
      </c>
      <c r="I1386" s="88" t="s">
        <v>24</v>
      </c>
      <c r="J1386" s="72">
        <v>7</v>
      </c>
      <c r="K1386" s="89">
        <v>200</v>
      </c>
      <c r="M1386" s="88" t="s">
        <v>2269</v>
      </c>
      <c r="N1386" s="72" t="s">
        <v>33</v>
      </c>
      <c r="O1386" s="72" t="s">
        <v>43</v>
      </c>
      <c r="P1386" s="72" t="s">
        <v>33</v>
      </c>
      <c r="Q1386" s="89" t="s">
        <v>1805</v>
      </c>
      <c r="S1386" s="88" t="s">
        <v>58</v>
      </c>
      <c r="T1386" s="89" t="s">
        <v>2828</v>
      </c>
      <c r="V1386" s="138" t="s">
        <v>70</v>
      </c>
      <c r="W1386" s="139" t="s">
        <v>2829</v>
      </c>
      <c r="Y1386" s="138" t="s">
        <v>90</v>
      </c>
      <c r="Z1386" s="137">
        <v>200</v>
      </c>
      <c r="AA1386" s="139">
        <v>125</v>
      </c>
    </row>
    <row r="1387" spans="1:27">
      <c r="A1387" s="216"/>
      <c r="B1387" s="217"/>
      <c r="F1387" s="88" t="s">
        <v>4</v>
      </c>
      <c r="G1387" s="112" t="s">
        <v>894</v>
      </c>
      <c r="I1387" s="88" t="s">
        <v>25</v>
      </c>
      <c r="J1387" s="80">
        <v>6</v>
      </c>
      <c r="K1387" s="89">
        <v>110</v>
      </c>
      <c r="M1387" s="88" t="s">
        <v>2830</v>
      </c>
      <c r="N1387" s="72" t="s">
        <v>33</v>
      </c>
      <c r="O1387" s="72" t="s">
        <v>34</v>
      </c>
      <c r="P1387" s="72" t="s">
        <v>35</v>
      </c>
      <c r="Q1387" s="89" t="s">
        <v>2831</v>
      </c>
      <c r="S1387" s="88" t="s">
        <v>60</v>
      </c>
      <c r="T1387" s="89" t="s">
        <v>2832</v>
      </c>
      <c r="V1387" s="135" t="s">
        <v>73</v>
      </c>
      <c r="W1387" s="136" t="s">
        <v>2833</v>
      </c>
      <c r="Y1387" s="88" t="s">
        <v>91</v>
      </c>
      <c r="Z1387" s="72">
        <v>110</v>
      </c>
      <c r="AA1387" s="89">
        <v>150</v>
      </c>
    </row>
    <row r="1388" spans="1:27">
      <c r="A1388" s="216"/>
      <c r="B1388" s="217"/>
      <c r="F1388" s="88" t="s">
        <v>6</v>
      </c>
      <c r="G1388" s="112" t="s">
        <v>895</v>
      </c>
      <c r="I1388" s="90" t="s">
        <v>26</v>
      </c>
      <c r="J1388" s="91"/>
      <c r="K1388" s="92">
        <v>310</v>
      </c>
      <c r="M1388" s="88" t="s">
        <v>37</v>
      </c>
      <c r="N1388" s="72" t="s">
        <v>33</v>
      </c>
      <c r="O1388" s="72" t="s">
        <v>34</v>
      </c>
      <c r="P1388" s="72" t="s">
        <v>35</v>
      </c>
      <c r="Q1388" s="89" t="s">
        <v>1778</v>
      </c>
      <c r="S1388" s="88" t="s">
        <v>62</v>
      </c>
      <c r="T1388" s="89" t="s">
        <v>2834</v>
      </c>
      <c r="V1388" s="88" t="s">
        <v>76</v>
      </c>
      <c r="W1388" s="89" t="s">
        <v>2835</v>
      </c>
      <c r="Y1388" s="88" t="s">
        <v>26</v>
      </c>
      <c r="Z1388" s="72">
        <v>310</v>
      </c>
      <c r="AA1388" s="89">
        <v>275</v>
      </c>
    </row>
    <row r="1389" spans="1:27">
      <c r="A1389" s="216"/>
      <c r="B1389" s="217"/>
      <c r="F1389" s="88" t="s">
        <v>8</v>
      </c>
      <c r="G1389" s="112" t="s">
        <v>1552</v>
      </c>
      <c r="M1389" s="88" t="s">
        <v>1135</v>
      </c>
      <c r="N1389" s="72" t="s">
        <v>33</v>
      </c>
      <c r="O1389" s="72" t="s">
        <v>43</v>
      </c>
      <c r="P1389" s="72" t="s">
        <v>33</v>
      </c>
      <c r="Q1389" s="89" t="s">
        <v>2691</v>
      </c>
      <c r="S1389" s="119" t="s">
        <v>64</v>
      </c>
      <c r="T1389" s="120" t="s">
        <v>2836</v>
      </c>
      <c r="V1389" s="88" t="s">
        <v>79</v>
      </c>
      <c r="W1389" s="89" t="s">
        <v>945</v>
      </c>
      <c r="Y1389" s="90" t="s">
        <v>92</v>
      </c>
      <c r="Z1389" s="91"/>
      <c r="AA1389" s="122">
        <v>0.11</v>
      </c>
    </row>
    <row r="1390" spans="1:27">
      <c r="A1390" s="216"/>
      <c r="B1390" s="217"/>
      <c r="F1390" s="88" t="s">
        <v>10</v>
      </c>
      <c r="G1390" s="112" t="s">
        <v>12</v>
      </c>
      <c r="M1390" s="88" t="s">
        <v>42</v>
      </c>
      <c r="N1390" s="72" t="s">
        <v>33</v>
      </c>
      <c r="O1390" s="72" t="s">
        <v>34</v>
      </c>
      <c r="P1390" s="72" t="s">
        <v>35</v>
      </c>
      <c r="Q1390" s="89" t="s">
        <v>2837</v>
      </c>
      <c r="S1390" s="90" t="s">
        <v>66</v>
      </c>
      <c r="T1390" s="133" t="s">
        <v>2838</v>
      </c>
      <c r="V1390" s="90" t="s">
        <v>82</v>
      </c>
      <c r="W1390" s="92" t="s">
        <v>2839</v>
      </c>
    </row>
    <row r="1391" spans="1:27">
      <c r="A1391" s="216"/>
      <c r="B1391" s="217"/>
      <c r="F1391" s="88" t="s">
        <v>13</v>
      </c>
      <c r="G1391" s="201" t="s">
        <v>2840</v>
      </c>
      <c r="M1391" s="88" t="s">
        <v>2841</v>
      </c>
      <c r="N1391" s="72" t="s">
        <v>33</v>
      </c>
      <c r="O1391" s="72" t="s">
        <v>43</v>
      </c>
      <c r="P1391" s="72" t="s">
        <v>33</v>
      </c>
      <c r="Q1391" s="89" t="s">
        <v>2301</v>
      </c>
    </row>
    <row r="1392" spans="1:27">
      <c r="A1392" s="216"/>
      <c r="B1392" s="217"/>
      <c r="F1392" s="88" t="s">
        <v>15</v>
      </c>
      <c r="G1392" s="112" t="s">
        <v>2842</v>
      </c>
      <c r="M1392" s="88" t="s">
        <v>2698</v>
      </c>
      <c r="N1392" s="72" t="s">
        <v>33</v>
      </c>
      <c r="O1392" s="72" t="s">
        <v>34</v>
      </c>
      <c r="P1392" s="72" t="s">
        <v>35</v>
      </c>
      <c r="Q1392" s="89" t="s">
        <v>2761</v>
      </c>
    </row>
    <row r="1393" spans="1:27">
      <c r="A1393" s="216"/>
      <c r="B1393" s="217"/>
      <c r="F1393" s="119" t="s">
        <v>17</v>
      </c>
      <c r="G1393" s="144">
        <v>46057</v>
      </c>
      <c r="M1393" s="88" t="s">
        <v>2843</v>
      </c>
      <c r="N1393" s="72" t="s">
        <v>35</v>
      </c>
      <c r="O1393" s="72" t="s">
        <v>52</v>
      </c>
      <c r="P1393" s="72" t="s">
        <v>35</v>
      </c>
      <c r="Q1393" s="89" t="s">
        <v>2844</v>
      </c>
    </row>
    <row r="1394" spans="1:27">
      <c r="A1394" s="218"/>
      <c r="B1394" s="219"/>
      <c r="F1394" s="90" t="s">
        <v>18</v>
      </c>
      <c r="G1394" s="114" t="s">
        <v>19</v>
      </c>
      <c r="M1394" s="88" t="s">
        <v>1794</v>
      </c>
      <c r="N1394" s="72" t="s">
        <v>35</v>
      </c>
      <c r="O1394" s="72" t="s">
        <v>52</v>
      </c>
      <c r="P1394" s="72" t="s">
        <v>35</v>
      </c>
      <c r="Q1394" s="89" t="s">
        <v>2845</v>
      </c>
    </row>
    <row r="1395" spans="1:27">
      <c r="M1395" s="88" t="s">
        <v>2543</v>
      </c>
      <c r="N1395" s="72" t="s">
        <v>35</v>
      </c>
      <c r="O1395" s="72" t="s">
        <v>52</v>
      </c>
      <c r="P1395" s="72" t="s">
        <v>35</v>
      </c>
      <c r="Q1395" s="89" t="s">
        <v>2846</v>
      </c>
    </row>
    <row r="1396" spans="1:27">
      <c r="M1396" s="88" t="s">
        <v>2545</v>
      </c>
      <c r="N1396" s="72" t="s">
        <v>35</v>
      </c>
      <c r="O1396" s="72" t="s">
        <v>52</v>
      </c>
      <c r="P1396" s="72" t="s">
        <v>35</v>
      </c>
      <c r="Q1396" s="89" t="s">
        <v>2847</v>
      </c>
    </row>
    <row r="1397" spans="1:27">
      <c r="M1397" s="90" t="s">
        <v>1975</v>
      </c>
      <c r="N1397" s="91" t="s">
        <v>35</v>
      </c>
      <c r="O1397" s="91" t="s">
        <v>52</v>
      </c>
      <c r="P1397" s="91" t="s">
        <v>35</v>
      </c>
      <c r="Q1397" s="92" t="s">
        <v>1856</v>
      </c>
    </row>
    <row r="1398" spans="1:27">
      <c r="M1398" s="130"/>
      <c r="N1398" s="130"/>
      <c r="O1398" s="130"/>
      <c r="P1398" s="130"/>
      <c r="Q1398" s="130"/>
    </row>
    <row r="1401" spans="1:27">
      <c r="A1401" s="214" t="s">
        <v>472</v>
      </c>
      <c r="B1401" s="215"/>
      <c r="F1401" s="85" t="s">
        <v>0</v>
      </c>
      <c r="G1401" s="118" t="s">
        <v>1</v>
      </c>
      <c r="I1401" s="85" t="s">
        <v>20</v>
      </c>
      <c r="J1401" s="86" t="s">
        <v>21</v>
      </c>
      <c r="K1401" s="87" t="s">
        <v>23</v>
      </c>
      <c r="M1401" s="85" t="s">
        <v>27</v>
      </c>
      <c r="N1401" s="86" t="s">
        <v>28</v>
      </c>
      <c r="O1401" s="86" t="s">
        <v>29</v>
      </c>
      <c r="P1401" s="86" t="s">
        <v>30</v>
      </c>
      <c r="Q1401" s="87" t="s">
        <v>31</v>
      </c>
      <c r="S1401" s="85" t="s">
        <v>56</v>
      </c>
      <c r="T1401" s="87" t="s">
        <v>57</v>
      </c>
      <c r="U1401" s="79"/>
      <c r="V1401" s="85" t="s">
        <v>68</v>
      </c>
      <c r="W1401" s="87" t="s">
        <v>69</v>
      </c>
      <c r="Y1401" s="85" t="s">
        <v>85</v>
      </c>
      <c r="Z1401" s="86" t="s">
        <v>88</v>
      </c>
      <c r="AA1401" s="87" t="s">
        <v>89</v>
      </c>
    </row>
    <row r="1402" spans="1:27">
      <c r="A1402" s="216"/>
      <c r="B1402" s="217"/>
      <c r="F1402" s="88" t="s">
        <v>2</v>
      </c>
      <c r="G1402" s="134" t="s">
        <v>472</v>
      </c>
      <c r="I1402" s="88" t="s">
        <v>24</v>
      </c>
      <c r="J1402" s="72">
        <v>5</v>
      </c>
      <c r="K1402" s="89">
        <v>135</v>
      </c>
      <c r="M1402" s="88" t="s">
        <v>2848</v>
      </c>
      <c r="N1402" s="72" t="s">
        <v>33</v>
      </c>
      <c r="O1402" s="72" t="s">
        <v>43</v>
      </c>
      <c r="P1402" s="72" t="s">
        <v>33</v>
      </c>
      <c r="Q1402" s="89" t="s">
        <v>2849</v>
      </c>
      <c r="S1402" s="88" t="s">
        <v>58</v>
      </c>
      <c r="T1402" s="89" t="s">
        <v>2850</v>
      </c>
      <c r="V1402" s="138" t="s">
        <v>70</v>
      </c>
      <c r="W1402" s="139" t="s">
        <v>2851</v>
      </c>
      <c r="Y1402" s="138" t="s">
        <v>90</v>
      </c>
      <c r="Z1402" s="137">
        <v>135</v>
      </c>
      <c r="AA1402" s="139">
        <v>85</v>
      </c>
    </row>
    <row r="1403" spans="1:27">
      <c r="A1403" s="216"/>
      <c r="B1403" s="217"/>
      <c r="F1403" s="88" t="s">
        <v>4</v>
      </c>
      <c r="G1403" s="112" t="s">
        <v>894</v>
      </c>
      <c r="I1403" s="88" t="s">
        <v>25</v>
      </c>
      <c r="J1403" s="80">
        <v>5</v>
      </c>
      <c r="K1403" s="89">
        <v>85</v>
      </c>
      <c r="M1403" s="88" t="s">
        <v>37</v>
      </c>
      <c r="N1403" s="72" t="s">
        <v>33</v>
      </c>
      <c r="O1403" s="72" t="s">
        <v>34</v>
      </c>
      <c r="P1403" s="72" t="s">
        <v>35</v>
      </c>
      <c r="Q1403" s="89" t="s">
        <v>2852</v>
      </c>
      <c r="S1403" s="88" t="s">
        <v>60</v>
      </c>
      <c r="T1403" s="89" t="s">
        <v>2853</v>
      </c>
      <c r="V1403" s="135" t="s">
        <v>73</v>
      </c>
      <c r="W1403" s="136" t="s">
        <v>2687</v>
      </c>
      <c r="Y1403" s="88" t="s">
        <v>91</v>
      </c>
      <c r="Z1403" s="72">
        <v>85</v>
      </c>
      <c r="AA1403" s="89">
        <v>115</v>
      </c>
    </row>
    <row r="1404" spans="1:27">
      <c r="A1404" s="216"/>
      <c r="B1404" s="217"/>
      <c r="F1404" s="88" t="s">
        <v>6</v>
      </c>
      <c r="G1404" s="112" t="s">
        <v>1484</v>
      </c>
      <c r="I1404" s="90" t="s">
        <v>26</v>
      </c>
      <c r="J1404" s="91"/>
      <c r="K1404" s="92">
        <v>220</v>
      </c>
      <c r="M1404" s="88" t="s">
        <v>1553</v>
      </c>
      <c r="N1404" s="72" t="s">
        <v>33</v>
      </c>
      <c r="O1404" s="72" t="s">
        <v>43</v>
      </c>
      <c r="P1404" s="72" t="s">
        <v>33</v>
      </c>
      <c r="Q1404" s="89" t="s">
        <v>1811</v>
      </c>
      <c r="S1404" s="88" t="s">
        <v>62</v>
      </c>
      <c r="T1404" s="89" t="s">
        <v>2854</v>
      </c>
      <c r="V1404" s="88" t="s">
        <v>76</v>
      </c>
      <c r="W1404" s="89" t="s">
        <v>2855</v>
      </c>
      <c r="Y1404" s="88" t="s">
        <v>26</v>
      </c>
      <c r="Z1404" s="72">
        <v>220</v>
      </c>
      <c r="AA1404" s="89">
        <v>200</v>
      </c>
    </row>
    <row r="1405" spans="1:27">
      <c r="A1405" s="216"/>
      <c r="B1405" s="217"/>
      <c r="F1405" s="88" t="s">
        <v>8</v>
      </c>
      <c r="G1405" s="112" t="s">
        <v>1227</v>
      </c>
      <c r="M1405" s="88" t="s">
        <v>42</v>
      </c>
      <c r="N1405" s="72" t="s">
        <v>33</v>
      </c>
      <c r="O1405" s="72" t="s">
        <v>34</v>
      </c>
      <c r="P1405" s="72" t="s">
        <v>35</v>
      </c>
      <c r="Q1405" s="89" t="s">
        <v>1798</v>
      </c>
      <c r="S1405" s="119" t="s">
        <v>64</v>
      </c>
      <c r="T1405" s="120" t="s">
        <v>2856</v>
      </c>
      <c r="V1405" s="88" t="s">
        <v>79</v>
      </c>
      <c r="W1405" s="89" t="s">
        <v>1584</v>
      </c>
      <c r="Y1405" s="90" t="s">
        <v>92</v>
      </c>
      <c r="Z1405" s="91"/>
      <c r="AA1405" s="122">
        <v>0.09</v>
      </c>
    </row>
    <row r="1406" spans="1:27">
      <c r="A1406" s="216"/>
      <c r="B1406" s="217"/>
      <c r="F1406" s="88" t="s">
        <v>10</v>
      </c>
      <c r="G1406" s="112" t="s">
        <v>12</v>
      </c>
      <c r="M1406" s="88" t="s">
        <v>2857</v>
      </c>
      <c r="N1406" s="72" t="s">
        <v>33</v>
      </c>
      <c r="O1406" s="72" t="s">
        <v>43</v>
      </c>
      <c r="P1406" s="72" t="s">
        <v>33</v>
      </c>
      <c r="Q1406" s="89" t="s">
        <v>2858</v>
      </c>
      <c r="S1406" s="90" t="s">
        <v>66</v>
      </c>
      <c r="T1406" s="133" t="s">
        <v>2859</v>
      </c>
      <c r="V1406" s="90" t="s">
        <v>82</v>
      </c>
      <c r="W1406" s="92" t="s">
        <v>2860</v>
      </c>
    </row>
    <row r="1407" spans="1:27">
      <c r="A1407" s="216"/>
      <c r="B1407" s="217"/>
      <c r="F1407" s="88" t="s">
        <v>13</v>
      </c>
      <c r="G1407" s="201" t="s">
        <v>2715</v>
      </c>
      <c r="M1407" s="88" t="s">
        <v>2861</v>
      </c>
      <c r="N1407" s="72" t="s">
        <v>35</v>
      </c>
      <c r="O1407" s="72" t="s">
        <v>52</v>
      </c>
      <c r="P1407" s="72" t="s">
        <v>35</v>
      </c>
      <c r="Q1407" s="89" t="s">
        <v>2862</v>
      </c>
    </row>
    <row r="1408" spans="1:27">
      <c r="A1408" s="216"/>
      <c r="B1408" s="217"/>
      <c r="F1408" s="88" t="s">
        <v>15</v>
      </c>
      <c r="G1408" s="112" t="s">
        <v>2863</v>
      </c>
      <c r="M1408" s="88" t="s">
        <v>1679</v>
      </c>
      <c r="N1408" s="72" t="s">
        <v>35</v>
      </c>
      <c r="O1408" s="72" t="s">
        <v>52</v>
      </c>
      <c r="P1408" s="72" t="s">
        <v>35</v>
      </c>
      <c r="Q1408" s="89" t="s">
        <v>2864</v>
      </c>
    </row>
    <row r="1409" spans="1:27">
      <c r="A1409" s="216"/>
      <c r="B1409" s="217"/>
      <c r="F1409" s="119" t="s">
        <v>17</v>
      </c>
      <c r="G1409" s="144">
        <v>46035</v>
      </c>
      <c r="M1409" s="88" t="s">
        <v>2865</v>
      </c>
      <c r="N1409" s="72" t="s">
        <v>35</v>
      </c>
      <c r="O1409" s="72" t="s">
        <v>52</v>
      </c>
      <c r="P1409" s="72" t="s">
        <v>35</v>
      </c>
      <c r="Q1409" s="89" t="s">
        <v>2746</v>
      </c>
    </row>
    <row r="1410" spans="1:27">
      <c r="A1410" s="218"/>
      <c r="B1410" s="219"/>
      <c r="F1410" s="90" t="s">
        <v>18</v>
      </c>
      <c r="G1410" s="114" t="s">
        <v>19</v>
      </c>
      <c r="M1410" s="88" t="s">
        <v>1975</v>
      </c>
      <c r="N1410" s="72" t="s">
        <v>35</v>
      </c>
      <c r="O1410" s="72" t="s">
        <v>52</v>
      </c>
      <c r="P1410" s="72" t="s">
        <v>35</v>
      </c>
      <c r="Q1410" s="89" t="s">
        <v>2866</v>
      </c>
    </row>
    <row r="1411" spans="1:27">
      <c r="M1411" s="90" t="s">
        <v>2545</v>
      </c>
      <c r="N1411" s="91" t="s">
        <v>35</v>
      </c>
      <c r="O1411" s="91" t="s">
        <v>52</v>
      </c>
      <c r="P1411" s="91" t="s">
        <v>35</v>
      </c>
      <c r="Q1411" s="92" t="s">
        <v>2867</v>
      </c>
    </row>
    <row r="1412" spans="1:27">
      <c r="M1412" s="130"/>
      <c r="N1412" s="130"/>
      <c r="O1412" s="130"/>
      <c r="P1412" s="130"/>
      <c r="Q1412" s="130"/>
    </row>
    <row r="1413" spans="1:27">
      <c r="M1413" s="130"/>
      <c r="N1413" s="130"/>
      <c r="O1413" s="130"/>
      <c r="P1413" s="130"/>
      <c r="Q1413" s="130"/>
    </row>
    <row r="1416" spans="1:27">
      <c r="A1416" s="214" t="s">
        <v>480</v>
      </c>
      <c r="B1416" s="215"/>
      <c r="F1416" s="85" t="s">
        <v>0</v>
      </c>
      <c r="G1416" s="118" t="s">
        <v>1</v>
      </c>
      <c r="I1416" s="85" t="s">
        <v>20</v>
      </c>
      <c r="J1416" s="86" t="s">
        <v>21</v>
      </c>
      <c r="K1416" s="87" t="s">
        <v>23</v>
      </c>
      <c r="M1416" s="85" t="s">
        <v>27</v>
      </c>
      <c r="N1416" s="86" t="s">
        <v>28</v>
      </c>
      <c r="O1416" s="86" t="s">
        <v>29</v>
      </c>
      <c r="P1416" s="86" t="s">
        <v>30</v>
      </c>
      <c r="Q1416" s="87" t="s">
        <v>31</v>
      </c>
      <c r="S1416" s="85" t="s">
        <v>56</v>
      </c>
      <c r="T1416" s="87" t="s">
        <v>57</v>
      </c>
      <c r="U1416" s="79"/>
      <c r="V1416" s="85" t="s">
        <v>68</v>
      </c>
      <c r="W1416" s="87" t="s">
        <v>69</v>
      </c>
      <c r="Y1416" s="85" t="s">
        <v>85</v>
      </c>
      <c r="Z1416" s="86" t="s">
        <v>88</v>
      </c>
      <c r="AA1416" s="87" t="s">
        <v>89</v>
      </c>
    </row>
    <row r="1417" spans="1:27">
      <c r="A1417" s="216"/>
      <c r="B1417" s="217"/>
      <c r="F1417" s="88" t="s">
        <v>2</v>
      </c>
      <c r="G1417" s="134" t="s">
        <v>480</v>
      </c>
      <c r="I1417" s="88" t="s">
        <v>24</v>
      </c>
      <c r="J1417" s="72">
        <v>6</v>
      </c>
      <c r="K1417" s="89">
        <v>160</v>
      </c>
      <c r="M1417" s="88" t="s">
        <v>2868</v>
      </c>
      <c r="N1417" s="72" t="s">
        <v>33</v>
      </c>
      <c r="O1417" s="72" t="s">
        <v>34</v>
      </c>
      <c r="P1417" s="72" t="s">
        <v>35</v>
      </c>
      <c r="Q1417" s="89" t="s">
        <v>2869</v>
      </c>
      <c r="S1417" s="88" t="s">
        <v>58</v>
      </c>
      <c r="T1417" s="89" t="s">
        <v>2870</v>
      </c>
      <c r="V1417" s="138" t="s">
        <v>70</v>
      </c>
      <c r="W1417" s="139" t="s">
        <v>2871</v>
      </c>
      <c r="Y1417" s="138" t="s">
        <v>90</v>
      </c>
      <c r="Z1417" s="137">
        <v>160</v>
      </c>
      <c r="AA1417" s="139">
        <v>100</v>
      </c>
    </row>
    <row r="1418" spans="1:27">
      <c r="A1418" s="216"/>
      <c r="B1418" s="217"/>
      <c r="F1418" s="88" t="s">
        <v>4</v>
      </c>
      <c r="G1418" s="112" t="s">
        <v>894</v>
      </c>
      <c r="I1418" s="88" t="s">
        <v>25</v>
      </c>
      <c r="J1418" s="80">
        <v>5</v>
      </c>
      <c r="K1418" s="89">
        <v>95</v>
      </c>
      <c r="M1418" s="88" t="s">
        <v>37</v>
      </c>
      <c r="N1418" s="72" t="s">
        <v>33</v>
      </c>
      <c r="O1418" s="72" t="s">
        <v>34</v>
      </c>
      <c r="P1418" s="72" t="s">
        <v>35</v>
      </c>
      <c r="Q1418" s="89" t="s">
        <v>1778</v>
      </c>
      <c r="S1418" s="88" t="s">
        <v>60</v>
      </c>
      <c r="T1418" s="89" t="s">
        <v>2204</v>
      </c>
      <c r="V1418" s="135" t="s">
        <v>73</v>
      </c>
      <c r="W1418" s="136" t="s">
        <v>2687</v>
      </c>
      <c r="Y1418" s="88" t="s">
        <v>91</v>
      </c>
      <c r="Z1418" s="72">
        <v>95</v>
      </c>
      <c r="AA1418" s="89">
        <v>130</v>
      </c>
    </row>
    <row r="1419" spans="1:27">
      <c r="A1419" s="216"/>
      <c r="B1419" s="217"/>
      <c r="F1419" s="88" t="s">
        <v>6</v>
      </c>
      <c r="G1419" s="112" t="s">
        <v>895</v>
      </c>
      <c r="I1419" s="90" t="s">
        <v>26</v>
      </c>
      <c r="J1419" s="91"/>
      <c r="K1419" s="92">
        <v>255</v>
      </c>
      <c r="M1419" s="88" t="s">
        <v>2872</v>
      </c>
      <c r="N1419" s="72" t="s">
        <v>33</v>
      </c>
      <c r="O1419" s="72" t="s">
        <v>43</v>
      </c>
      <c r="P1419" s="72" t="s">
        <v>33</v>
      </c>
      <c r="Q1419" s="89" t="s">
        <v>1805</v>
      </c>
      <c r="S1419" s="88" t="s">
        <v>62</v>
      </c>
      <c r="T1419" s="89" t="s">
        <v>2873</v>
      </c>
      <c r="V1419" s="88" t="s">
        <v>76</v>
      </c>
      <c r="W1419" s="89" t="s">
        <v>2874</v>
      </c>
      <c r="Y1419" s="88" t="s">
        <v>26</v>
      </c>
      <c r="Z1419" s="72">
        <v>255</v>
      </c>
      <c r="AA1419" s="89">
        <v>230</v>
      </c>
    </row>
    <row r="1420" spans="1:27">
      <c r="A1420" s="216"/>
      <c r="B1420" s="217"/>
      <c r="F1420" s="88" t="s">
        <v>8</v>
      </c>
      <c r="G1420" s="112" t="s">
        <v>2875</v>
      </c>
      <c r="M1420" s="88" t="s">
        <v>1135</v>
      </c>
      <c r="N1420" s="72" t="s">
        <v>33</v>
      </c>
      <c r="O1420" s="72" t="s">
        <v>43</v>
      </c>
      <c r="P1420" s="72" t="s">
        <v>33</v>
      </c>
      <c r="Q1420" s="89" t="s">
        <v>2691</v>
      </c>
      <c r="S1420" s="119" t="s">
        <v>64</v>
      </c>
      <c r="T1420" s="120" t="s">
        <v>2876</v>
      </c>
      <c r="V1420" s="88" t="s">
        <v>79</v>
      </c>
      <c r="W1420" s="89" t="s">
        <v>1584</v>
      </c>
      <c r="Y1420" s="90" t="s">
        <v>92</v>
      </c>
      <c r="Z1420" s="91"/>
      <c r="AA1420" s="122">
        <v>0.1</v>
      </c>
    </row>
    <row r="1421" spans="1:27">
      <c r="A1421" s="216"/>
      <c r="B1421" s="217"/>
      <c r="F1421" s="88" t="s">
        <v>10</v>
      </c>
      <c r="G1421" s="112" t="s">
        <v>12</v>
      </c>
      <c r="M1421" s="88" t="s">
        <v>42</v>
      </c>
      <c r="N1421" s="72" t="s">
        <v>33</v>
      </c>
      <c r="O1421" s="72" t="s">
        <v>34</v>
      </c>
      <c r="P1421" s="72" t="s">
        <v>35</v>
      </c>
      <c r="Q1421" s="89" t="s">
        <v>1798</v>
      </c>
      <c r="S1421" s="90" t="s">
        <v>66</v>
      </c>
      <c r="T1421" s="133" t="s">
        <v>2877</v>
      </c>
      <c r="V1421" s="90" t="s">
        <v>82</v>
      </c>
      <c r="W1421" s="92" t="s">
        <v>2695</v>
      </c>
    </row>
    <row r="1422" spans="1:27">
      <c r="A1422" s="216"/>
      <c r="B1422" s="217"/>
      <c r="F1422" s="88" t="s">
        <v>13</v>
      </c>
      <c r="G1422" s="201" t="s">
        <v>2878</v>
      </c>
      <c r="M1422" s="88" t="s">
        <v>2696</v>
      </c>
      <c r="N1422" s="72" t="s">
        <v>33</v>
      </c>
      <c r="O1422" s="72" t="s">
        <v>43</v>
      </c>
      <c r="P1422" s="72" t="s">
        <v>33</v>
      </c>
      <c r="Q1422" s="89" t="s">
        <v>2301</v>
      </c>
    </row>
    <row r="1423" spans="1:27">
      <c r="A1423" s="216"/>
      <c r="B1423" s="217"/>
      <c r="F1423" s="88" t="s">
        <v>15</v>
      </c>
      <c r="G1423" s="112" t="s">
        <v>2879</v>
      </c>
      <c r="M1423" s="88" t="s">
        <v>2880</v>
      </c>
      <c r="N1423" s="72" t="s">
        <v>35</v>
      </c>
      <c r="O1423" s="72" t="s">
        <v>52</v>
      </c>
      <c r="P1423" s="72" t="s">
        <v>35</v>
      </c>
      <c r="Q1423" s="89" t="s">
        <v>2881</v>
      </c>
    </row>
    <row r="1424" spans="1:27">
      <c r="A1424" s="216"/>
      <c r="B1424" s="217"/>
      <c r="F1424" s="119" t="s">
        <v>17</v>
      </c>
      <c r="G1424" s="144">
        <v>46061</v>
      </c>
      <c r="M1424" s="88" t="s">
        <v>924</v>
      </c>
      <c r="N1424" s="72" t="s">
        <v>35</v>
      </c>
      <c r="O1424" s="72" t="s">
        <v>52</v>
      </c>
      <c r="P1424" s="72" t="s">
        <v>35</v>
      </c>
      <c r="Q1424" s="89" t="s">
        <v>2763</v>
      </c>
    </row>
    <row r="1425" spans="1:27">
      <c r="A1425" s="218"/>
      <c r="B1425" s="219"/>
      <c r="F1425" s="90" t="s">
        <v>18</v>
      </c>
      <c r="G1425" s="114" t="s">
        <v>19</v>
      </c>
      <c r="M1425" s="88" t="s">
        <v>2702</v>
      </c>
      <c r="N1425" s="72" t="s">
        <v>35</v>
      </c>
      <c r="O1425" s="72" t="s">
        <v>52</v>
      </c>
      <c r="P1425" s="72" t="s">
        <v>35</v>
      </c>
      <c r="Q1425" s="89" t="s">
        <v>2746</v>
      </c>
    </row>
    <row r="1426" spans="1:27">
      <c r="M1426" s="88" t="s">
        <v>2545</v>
      </c>
      <c r="N1426" s="72" t="s">
        <v>35</v>
      </c>
      <c r="O1426" s="72" t="s">
        <v>52</v>
      </c>
      <c r="P1426" s="72" t="s">
        <v>35</v>
      </c>
      <c r="Q1426" s="89" t="s">
        <v>2882</v>
      </c>
    </row>
    <row r="1427" spans="1:27">
      <c r="M1427" s="90" t="s">
        <v>1975</v>
      </c>
      <c r="N1427" s="91" t="s">
        <v>35</v>
      </c>
      <c r="O1427" s="91" t="s">
        <v>52</v>
      </c>
      <c r="P1427" s="91" t="s">
        <v>35</v>
      </c>
      <c r="Q1427" s="92" t="s">
        <v>1792</v>
      </c>
    </row>
    <row r="1432" spans="1:27">
      <c r="A1432" s="214" t="s">
        <v>482</v>
      </c>
      <c r="B1432" s="215"/>
      <c r="F1432" s="85" t="s">
        <v>0</v>
      </c>
      <c r="G1432" s="118" t="s">
        <v>1</v>
      </c>
      <c r="I1432" s="85" t="s">
        <v>20</v>
      </c>
      <c r="J1432" s="86" t="s">
        <v>21</v>
      </c>
      <c r="K1432" s="87" t="s">
        <v>23</v>
      </c>
      <c r="M1432" s="85" t="s">
        <v>27</v>
      </c>
      <c r="N1432" s="86" t="s">
        <v>28</v>
      </c>
      <c r="O1432" s="86" t="s">
        <v>29</v>
      </c>
      <c r="P1432" s="86" t="s">
        <v>30</v>
      </c>
      <c r="Q1432" s="87" t="s">
        <v>31</v>
      </c>
      <c r="S1432" s="85" t="s">
        <v>56</v>
      </c>
      <c r="T1432" s="87" t="s">
        <v>57</v>
      </c>
      <c r="U1432" s="79"/>
      <c r="V1432" s="85" t="s">
        <v>68</v>
      </c>
      <c r="W1432" s="87" t="s">
        <v>69</v>
      </c>
      <c r="Y1432" s="85" t="s">
        <v>85</v>
      </c>
      <c r="Z1432" s="86" t="s">
        <v>88</v>
      </c>
      <c r="AA1432" s="87" t="s">
        <v>89</v>
      </c>
    </row>
    <row r="1433" spans="1:27">
      <c r="A1433" s="216"/>
      <c r="B1433" s="217"/>
      <c r="F1433" s="88" t="s">
        <v>2</v>
      </c>
      <c r="G1433" s="134" t="s">
        <v>482</v>
      </c>
      <c r="I1433" s="88" t="s">
        <v>24</v>
      </c>
      <c r="J1433" s="72">
        <v>8</v>
      </c>
      <c r="K1433" s="89">
        <v>210</v>
      </c>
      <c r="M1433" s="88" t="s">
        <v>2883</v>
      </c>
      <c r="N1433" s="72" t="s">
        <v>33</v>
      </c>
      <c r="O1433" s="72" t="s">
        <v>43</v>
      </c>
      <c r="P1433" s="72" t="s">
        <v>33</v>
      </c>
      <c r="Q1433" s="89" t="s">
        <v>2884</v>
      </c>
      <c r="S1433" s="88" t="s">
        <v>58</v>
      </c>
      <c r="T1433" s="89" t="s">
        <v>2885</v>
      </c>
      <c r="V1433" s="138" t="s">
        <v>70</v>
      </c>
      <c r="W1433" s="139" t="s">
        <v>2886</v>
      </c>
      <c r="Y1433" s="138" t="s">
        <v>90</v>
      </c>
      <c r="Z1433" s="137">
        <v>210</v>
      </c>
      <c r="AA1433" s="139">
        <v>130</v>
      </c>
    </row>
    <row r="1434" spans="1:27">
      <c r="A1434" s="216"/>
      <c r="B1434" s="217"/>
      <c r="F1434" s="88" t="s">
        <v>4</v>
      </c>
      <c r="G1434" s="112" t="s">
        <v>894</v>
      </c>
      <c r="I1434" s="88" t="s">
        <v>25</v>
      </c>
      <c r="J1434" s="80">
        <v>6</v>
      </c>
      <c r="K1434" s="89">
        <v>120</v>
      </c>
      <c r="M1434" s="88" t="s">
        <v>32</v>
      </c>
      <c r="N1434" s="72" t="s">
        <v>33</v>
      </c>
      <c r="O1434" s="72" t="s">
        <v>34</v>
      </c>
      <c r="P1434" s="72" t="s">
        <v>35</v>
      </c>
      <c r="Q1434" s="89" t="s">
        <v>2727</v>
      </c>
      <c r="S1434" s="88" t="s">
        <v>60</v>
      </c>
      <c r="T1434" s="89" t="s">
        <v>2887</v>
      </c>
      <c r="V1434" s="135" t="s">
        <v>73</v>
      </c>
      <c r="W1434" s="136" t="s">
        <v>2687</v>
      </c>
      <c r="Y1434" s="88" t="s">
        <v>91</v>
      </c>
      <c r="Z1434" s="72">
        <v>120</v>
      </c>
      <c r="AA1434" s="89">
        <v>165</v>
      </c>
    </row>
    <row r="1435" spans="1:27">
      <c r="A1435" s="216"/>
      <c r="B1435" s="217"/>
      <c r="F1435" s="88" t="s">
        <v>6</v>
      </c>
      <c r="G1435" s="112" t="s">
        <v>1484</v>
      </c>
      <c r="I1435" s="90" t="s">
        <v>26</v>
      </c>
      <c r="J1435" s="91"/>
      <c r="K1435" s="92">
        <v>330</v>
      </c>
      <c r="M1435" s="88" t="s">
        <v>37</v>
      </c>
      <c r="N1435" s="72" t="s">
        <v>33</v>
      </c>
      <c r="O1435" s="72" t="s">
        <v>34</v>
      </c>
      <c r="P1435" s="72" t="s">
        <v>35</v>
      </c>
      <c r="Q1435" s="89" t="s">
        <v>1778</v>
      </c>
      <c r="S1435" s="88" t="s">
        <v>62</v>
      </c>
      <c r="T1435" s="89" t="s">
        <v>2508</v>
      </c>
      <c r="V1435" s="88" t="s">
        <v>76</v>
      </c>
      <c r="W1435" s="89" t="s">
        <v>2888</v>
      </c>
      <c r="Y1435" s="88" t="s">
        <v>26</v>
      </c>
      <c r="Z1435" s="72">
        <v>330</v>
      </c>
      <c r="AA1435" s="89">
        <v>295</v>
      </c>
    </row>
    <row r="1436" spans="1:27">
      <c r="A1436" s="216"/>
      <c r="B1436" s="217"/>
      <c r="F1436" s="88" t="s">
        <v>8</v>
      </c>
      <c r="G1436" s="112" t="s">
        <v>2889</v>
      </c>
      <c r="M1436" s="88" t="s">
        <v>1553</v>
      </c>
      <c r="N1436" s="72" t="s">
        <v>33</v>
      </c>
      <c r="O1436" s="72" t="s">
        <v>43</v>
      </c>
      <c r="P1436" s="72" t="s">
        <v>33</v>
      </c>
      <c r="Q1436" s="89" t="s">
        <v>1811</v>
      </c>
      <c r="S1436" s="119" t="s">
        <v>64</v>
      </c>
      <c r="T1436" s="120" t="s">
        <v>2890</v>
      </c>
      <c r="V1436" s="88" t="s">
        <v>79</v>
      </c>
      <c r="W1436" s="89" t="s">
        <v>945</v>
      </c>
      <c r="Y1436" s="90" t="s">
        <v>92</v>
      </c>
      <c r="Z1436" s="91"/>
      <c r="AA1436" s="122">
        <v>0.11</v>
      </c>
    </row>
    <row r="1437" spans="1:27">
      <c r="A1437" s="216"/>
      <c r="B1437" s="217"/>
      <c r="F1437" s="88" t="s">
        <v>10</v>
      </c>
      <c r="G1437" s="112" t="s">
        <v>12</v>
      </c>
      <c r="M1437" s="88" t="s">
        <v>42</v>
      </c>
      <c r="N1437" s="72" t="s">
        <v>33</v>
      </c>
      <c r="O1437" s="72" t="s">
        <v>34</v>
      </c>
      <c r="P1437" s="72" t="s">
        <v>35</v>
      </c>
      <c r="Q1437" s="89" t="s">
        <v>2837</v>
      </c>
      <c r="S1437" s="90" t="s">
        <v>66</v>
      </c>
      <c r="T1437" s="133" t="s">
        <v>2070</v>
      </c>
      <c r="V1437" s="90" t="s">
        <v>82</v>
      </c>
      <c r="W1437" s="92" t="s">
        <v>2891</v>
      </c>
    </row>
    <row r="1438" spans="1:27">
      <c r="A1438" s="216"/>
      <c r="B1438" s="217"/>
      <c r="F1438" s="88" t="s">
        <v>13</v>
      </c>
      <c r="G1438" s="201" t="s">
        <v>2007</v>
      </c>
      <c r="M1438" s="88" t="s">
        <v>2892</v>
      </c>
      <c r="N1438" s="72" t="s">
        <v>33</v>
      </c>
      <c r="O1438" s="72" t="s">
        <v>43</v>
      </c>
      <c r="P1438" s="72" t="s">
        <v>33</v>
      </c>
      <c r="Q1438" s="89" t="s">
        <v>2893</v>
      </c>
    </row>
    <row r="1439" spans="1:27">
      <c r="A1439" s="216"/>
      <c r="B1439" s="217"/>
      <c r="F1439" s="88" t="s">
        <v>15</v>
      </c>
      <c r="G1439" s="112" t="s">
        <v>2894</v>
      </c>
      <c r="M1439" s="88" t="s">
        <v>2895</v>
      </c>
      <c r="N1439" s="72" t="s">
        <v>33</v>
      </c>
      <c r="O1439" s="72" t="s">
        <v>34</v>
      </c>
      <c r="P1439" s="72" t="s">
        <v>35</v>
      </c>
      <c r="Q1439" s="89" t="s">
        <v>2896</v>
      </c>
    </row>
    <row r="1440" spans="1:27">
      <c r="A1440" s="216"/>
      <c r="B1440" s="217"/>
      <c r="F1440" s="119" t="s">
        <v>17</v>
      </c>
      <c r="G1440" s="144">
        <v>46073</v>
      </c>
      <c r="M1440" s="88" t="s">
        <v>1923</v>
      </c>
      <c r="N1440" s="72" t="s">
        <v>33</v>
      </c>
      <c r="O1440" s="72" t="s">
        <v>43</v>
      </c>
      <c r="P1440" s="72" t="s">
        <v>33</v>
      </c>
      <c r="Q1440" s="89" t="s">
        <v>2567</v>
      </c>
    </row>
    <row r="1441" spans="1:27">
      <c r="A1441" s="218"/>
      <c r="B1441" s="219"/>
      <c r="F1441" s="90" t="s">
        <v>18</v>
      </c>
      <c r="G1441" s="114" t="s">
        <v>19</v>
      </c>
      <c r="M1441" s="88" t="s">
        <v>2880</v>
      </c>
      <c r="N1441" s="72" t="s">
        <v>35</v>
      </c>
      <c r="O1441" s="72" t="s">
        <v>52</v>
      </c>
      <c r="P1441" s="72" t="s">
        <v>35</v>
      </c>
      <c r="Q1441" s="89" t="s">
        <v>1858</v>
      </c>
    </row>
    <row r="1442" spans="1:27">
      <c r="M1442" s="88" t="s">
        <v>1679</v>
      </c>
      <c r="N1442" s="72" t="s">
        <v>35</v>
      </c>
      <c r="O1442" s="72" t="s">
        <v>52</v>
      </c>
      <c r="P1442" s="72" t="s">
        <v>35</v>
      </c>
      <c r="Q1442" s="89" t="s">
        <v>2763</v>
      </c>
    </row>
    <row r="1443" spans="1:27">
      <c r="M1443" s="88" t="s">
        <v>2543</v>
      </c>
      <c r="N1443" s="72" t="s">
        <v>35</v>
      </c>
      <c r="O1443" s="72" t="s">
        <v>52</v>
      </c>
      <c r="P1443" s="72" t="s">
        <v>35</v>
      </c>
      <c r="Q1443" s="89" t="s">
        <v>2041</v>
      </c>
    </row>
    <row r="1444" spans="1:27">
      <c r="M1444" s="88" t="s">
        <v>2545</v>
      </c>
      <c r="N1444" s="72" t="s">
        <v>35</v>
      </c>
      <c r="O1444" s="72" t="s">
        <v>52</v>
      </c>
      <c r="P1444" s="72" t="s">
        <v>35</v>
      </c>
      <c r="Q1444" s="89" t="s">
        <v>2897</v>
      </c>
    </row>
    <row r="1445" spans="1:27">
      <c r="M1445" s="88" t="s">
        <v>1975</v>
      </c>
      <c r="N1445" s="72" t="s">
        <v>35</v>
      </c>
      <c r="O1445" s="72" t="s">
        <v>52</v>
      </c>
      <c r="P1445" s="72" t="s">
        <v>35</v>
      </c>
      <c r="Q1445" s="89" t="s">
        <v>2866</v>
      </c>
    </row>
    <row r="1446" spans="1:27">
      <c r="M1446" s="90" t="s">
        <v>1626</v>
      </c>
      <c r="N1446" s="91" t="s">
        <v>35</v>
      </c>
      <c r="O1446" s="91" t="s">
        <v>52</v>
      </c>
      <c r="P1446" s="91" t="s">
        <v>35</v>
      </c>
      <c r="Q1446" s="92" t="s">
        <v>2898</v>
      </c>
    </row>
    <row r="1452" spans="1:27">
      <c r="A1452" s="214" t="s">
        <v>484</v>
      </c>
      <c r="B1452" s="215"/>
      <c r="F1452" s="85" t="s">
        <v>0</v>
      </c>
      <c r="G1452" s="118" t="s">
        <v>1</v>
      </c>
      <c r="I1452" s="85" t="s">
        <v>20</v>
      </c>
      <c r="J1452" s="86" t="s">
        <v>21</v>
      </c>
      <c r="K1452" s="87" t="s">
        <v>23</v>
      </c>
      <c r="M1452" s="85" t="s">
        <v>27</v>
      </c>
      <c r="N1452" s="86" t="s">
        <v>28</v>
      </c>
      <c r="O1452" s="86" t="s">
        <v>29</v>
      </c>
      <c r="P1452" s="86" t="s">
        <v>30</v>
      </c>
      <c r="Q1452" s="87" t="s">
        <v>31</v>
      </c>
      <c r="S1452" s="85" t="s">
        <v>56</v>
      </c>
      <c r="T1452" s="87" t="s">
        <v>57</v>
      </c>
      <c r="U1452" s="79"/>
      <c r="V1452" s="85" t="s">
        <v>68</v>
      </c>
      <c r="W1452" s="87" t="s">
        <v>69</v>
      </c>
      <c r="Y1452" s="85" t="s">
        <v>85</v>
      </c>
      <c r="Z1452" s="86" t="s">
        <v>88</v>
      </c>
      <c r="AA1452" s="87" t="s">
        <v>89</v>
      </c>
    </row>
    <row r="1453" spans="1:27">
      <c r="A1453" s="216"/>
      <c r="B1453" s="217"/>
      <c r="F1453" s="88" t="s">
        <v>2</v>
      </c>
      <c r="G1453" s="134" t="s">
        <v>484</v>
      </c>
      <c r="I1453" s="88" t="s">
        <v>24</v>
      </c>
      <c r="J1453" s="72">
        <v>6</v>
      </c>
      <c r="K1453" s="89">
        <v>155</v>
      </c>
      <c r="M1453" s="88" t="s">
        <v>2303</v>
      </c>
      <c r="N1453" s="72" t="s">
        <v>33</v>
      </c>
      <c r="O1453" s="72" t="s">
        <v>34</v>
      </c>
      <c r="P1453" s="72" t="s">
        <v>35</v>
      </c>
      <c r="Q1453" s="89" t="s">
        <v>2899</v>
      </c>
      <c r="S1453" s="88" t="s">
        <v>58</v>
      </c>
      <c r="T1453" s="89" t="s">
        <v>2900</v>
      </c>
      <c r="V1453" s="138" t="s">
        <v>70</v>
      </c>
      <c r="W1453" s="139" t="s">
        <v>2901</v>
      </c>
      <c r="Y1453" s="138" t="s">
        <v>90</v>
      </c>
      <c r="Z1453" s="137">
        <v>155</v>
      </c>
      <c r="AA1453" s="139">
        <v>95</v>
      </c>
    </row>
    <row r="1454" spans="1:27">
      <c r="A1454" s="216"/>
      <c r="B1454" s="217"/>
      <c r="F1454" s="88" t="s">
        <v>4</v>
      </c>
      <c r="G1454" s="112" t="s">
        <v>894</v>
      </c>
      <c r="I1454" s="88" t="s">
        <v>25</v>
      </c>
      <c r="J1454" s="80">
        <v>5</v>
      </c>
      <c r="K1454" s="89">
        <v>90</v>
      </c>
      <c r="M1454" s="88" t="s">
        <v>37</v>
      </c>
      <c r="N1454" s="72" t="s">
        <v>33</v>
      </c>
      <c r="O1454" s="72" t="s">
        <v>34</v>
      </c>
      <c r="P1454" s="72" t="s">
        <v>35</v>
      </c>
      <c r="Q1454" s="89" t="s">
        <v>1778</v>
      </c>
      <c r="S1454" s="88" t="s">
        <v>60</v>
      </c>
      <c r="T1454" s="89" t="s">
        <v>2902</v>
      </c>
      <c r="V1454" s="135" t="s">
        <v>73</v>
      </c>
      <c r="W1454" s="136" t="s">
        <v>2903</v>
      </c>
      <c r="Y1454" s="88" t="s">
        <v>91</v>
      </c>
      <c r="Z1454" s="72">
        <v>90</v>
      </c>
      <c r="AA1454" s="89">
        <v>120</v>
      </c>
    </row>
    <row r="1455" spans="1:27">
      <c r="A1455" s="216"/>
      <c r="B1455" s="217"/>
      <c r="F1455" s="88" t="s">
        <v>6</v>
      </c>
      <c r="G1455" s="112" t="s">
        <v>895</v>
      </c>
      <c r="I1455" s="90" t="s">
        <v>26</v>
      </c>
      <c r="J1455" s="91"/>
      <c r="K1455" s="92">
        <v>245</v>
      </c>
      <c r="M1455" s="88" t="s">
        <v>2848</v>
      </c>
      <c r="N1455" s="72" t="s">
        <v>33</v>
      </c>
      <c r="O1455" s="72" t="s">
        <v>43</v>
      </c>
      <c r="P1455" s="72" t="s">
        <v>33</v>
      </c>
      <c r="Q1455" s="89" t="s">
        <v>2904</v>
      </c>
      <c r="S1455" s="88" t="s">
        <v>62</v>
      </c>
      <c r="T1455" s="89" t="s">
        <v>2905</v>
      </c>
      <c r="V1455" s="88" t="s">
        <v>76</v>
      </c>
      <c r="W1455" s="89" t="s">
        <v>2906</v>
      </c>
      <c r="Y1455" s="88" t="s">
        <v>26</v>
      </c>
      <c r="Z1455" s="72">
        <v>245</v>
      </c>
      <c r="AA1455" s="89">
        <v>215</v>
      </c>
    </row>
    <row r="1456" spans="1:27">
      <c r="A1456" s="216"/>
      <c r="B1456" s="217"/>
      <c r="F1456" s="88" t="s">
        <v>8</v>
      </c>
      <c r="G1456" s="112" t="s">
        <v>2907</v>
      </c>
      <c r="M1456" s="88" t="s">
        <v>1553</v>
      </c>
      <c r="N1456" s="72" t="s">
        <v>33</v>
      </c>
      <c r="O1456" s="72" t="s">
        <v>43</v>
      </c>
      <c r="P1456" s="72" t="s">
        <v>33</v>
      </c>
      <c r="Q1456" s="89" t="s">
        <v>2691</v>
      </c>
      <c r="S1456" s="119" t="s">
        <v>64</v>
      </c>
      <c r="T1456" s="120" t="s">
        <v>2908</v>
      </c>
      <c r="V1456" s="88" t="s">
        <v>79</v>
      </c>
      <c r="W1456" s="89" t="s">
        <v>1584</v>
      </c>
      <c r="Y1456" s="90" t="s">
        <v>92</v>
      </c>
      <c r="Z1456" s="91"/>
      <c r="AA1456" s="122">
        <v>0.12</v>
      </c>
    </row>
    <row r="1457" spans="1:27">
      <c r="A1457" s="216"/>
      <c r="B1457" s="217"/>
      <c r="F1457" s="88" t="s">
        <v>10</v>
      </c>
      <c r="G1457" s="112" t="s">
        <v>12</v>
      </c>
      <c r="M1457" s="88" t="s">
        <v>42</v>
      </c>
      <c r="N1457" s="72" t="s">
        <v>33</v>
      </c>
      <c r="O1457" s="72" t="s">
        <v>34</v>
      </c>
      <c r="P1457" s="72" t="s">
        <v>35</v>
      </c>
      <c r="Q1457" s="89" t="s">
        <v>2710</v>
      </c>
      <c r="S1457" s="90" t="s">
        <v>66</v>
      </c>
      <c r="T1457" s="133" t="s">
        <v>1971</v>
      </c>
      <c r="V1457" s="90" t="s">
        <v>82</v>
      </c>
      <c r="W1457" s="92" t="s">
        <v>2909</v>
      </c>
    </row>
    <row r="1458" spans="1:27">
      <c r="A1458" s="216"/>
      <c r="B1458" s="217"/>
      <c r="F1458" s="88" t="s">
        <v>13</v>
      </c>
      <c r="G1458" s="201" t="s">
        <v>2437</v>
      </c>
      <c r="M1458" s="88" t="s">
        <v>2910</v>
      </c>
      <c r="N1458" s="72" t="s">
        <v>33</v>
      </c>
      <c r="O1458" s="72" t="s">
        <v>43</v>
      </c>
      <c r="P1458" s="72" t="s">
        <v>33</v>
      </c>
      <c r="Q1458" s="89" t="s">
        <v>2301</v>
      </c>
    </row>
    <row r="1459" spans="1:27">
      <c r="A1459" s="216"/>
      <c r="B1459" s="217"/>
      <c r="F1459" s="88" t="s">
        <v>15</v>
      </c>
      <c r="G1459" s="112" t="s">
        <v>2911</v>
      </c>
      <c r="M1459" s="88" t="s">
        <v>2880</v>
      </c>
      <c r="N1459" s="72" t="s">
        <v>35</v>
      </c>
      <c r="O1459" s="72" t="s">
        <v>52</v>
      </c>
      <c r="P1459" s="72" t="s">
        <v>35</v>
      </c>
      <c r="Q1459" s="89" t="s">
        <v>2912</v>
      </c>
    </row>
    <row r="1460" spans="1:27">
      <c r="A1460" s="216"/>
      <c r="B1460" s="217"/>
      <c r="F1460" s="119" t="s">
        <v>17</v>
      </c>
      <c r="G1460" s="144">
        <v>46068</v>
      </c>
      <c r="M1460" s="88" t="s">
        <v>1794</v>
      </c>
      <c r="N1460" s="72" t="s">
        <v>35</v>
      </c>
      <c r="O1460" s="72" t="s">
        <v>52</v>
      </c>
      <c r="P1460" s="72" t="s">
        <v>35</v>
      </c>
      <c r="Q1460" s="89" t="s">
        <v>2913</v>
      </c>
    </row>
    <row r="1461" spans="1:27">
      <c r="A1461" s="218"/>
      <c r="B1461" s="219"/>
      <c r="F1461" s="90" t="s">
        <v>18</v>
      </c>
      <c r="G1461" s="114" t="s">
        <v>19</v>
      </c>
      <c r="M1461" s="88" t="s">
        <v>2914</v>
      </c>
      <c r="N1461" s="72" t="s">
        <v>35</v>
      </c>
      <c r="O1461" s="72" t="s">
        <v>52</v>
      </c>
      <c r="P1461" s="72" t="s">
        <v>35</v>
      </c>
      <c r="Q1461" s="89" t="s">
        <v>2915</v>
      </c>
    </row>
    <row r="1462" spans="1:27">
      <c r="M1462" s="88" t="s">
        <v>2545</v>
      </c>
      <c r="N1462" s="72" t="s">
        <v>35</v>
      </c>
      <c r="O1462" s="72" t="s">
        <v>52</v>
      </c>
      <c r="P1462" s="72" t="s">
        <v>35</v>
      </c>
      <c r="Q1462" s="89" t="s">
        <v>2867</v>
      </c>
    </row>
    <row r="1463" spans="1:27">
      <c r="M1463" s="90" t="s">
        <v>1975</v>
      </c>
      <c r="N1463" s="91" t="s">
        <v>35</v>
      </c>
      <c r="O1463" s="91" t="s">
        <v>52</v>
      </c>
      <c r="P1463" s="91" t="s">
        <v>35</v>
      </c>
      <c r="Q1463" s="92" t="s">
        <v>2916</v>
      </c>
    </row>
    <row r="1464" spans="1:27">
      <c r="M1464" s="130"/>
      <c r="N1464" s="130"/>
      <c r="O1464" s="130"/>
      <c r="P1464" s="130"/>
      <c r="Q1464" s="130"/>
    </row>
    <row r="1465" spans="1:27">
      <c r="M1465" s="130"/>
      <c r="N1465" s="130"/>
      <c r="O1465" s="130"/>
      <c r="P1465" s="130"/>
      <c r="Q1465" s="130"/>
    </row>
    <row r="1466" spans="1:27">
      <c r="M1466" s="130"/>
      <c r="N1466" s="130"/>
      <c r="O1466" s="130"/>
      <c r="P1466" s="130"/>
      <c r="Q1466" s="130"/>
    </row>
    <row r="1467" spans="1:27">
      <c r="A1467" s="214" t="s">
        <v>486</v>
      </c>
      <c r="B1467" s="215"/>
      <c r="F1467" s="85" t="s">
        <v>0</v>
      </c>
      <c r="G1467" s="118" t="s">
        <v>1</v>
      </c>
      <c r="I1467" s="85" t="s">
        <v>20</v>
      </c>
      <c r="J1467" s="86" t="s">
        <v>21</v>
      </c>
      <c r="K1467" s="87" t="s">
        <v>23</v>
      </c>
      <c r="M1467" s="85" t="s">
        <v>27</v>
      </c>
      <c r="N1467" s="86" t="s">
        <v>28</v>
      </c>
      <c r="O1467" s="86" t="s">
        <v>29</v>
      </c>
      <c r="P1467" s="86" t="s">
        <v>30</v>
      </c>
      <c r="Q1467" s="87" t="s">
        <v>31</v>
      </c>
      <c r="S1467" s="85" t="s">
        <v>56</v>
      </c>
      <c r="T1467" s="87" t="s">
        <v>57</v>
      </c>
      <c r="U1467" s="79"/>
      <c r="V1467" s="85" t="s">
        <v>68</v>
      </c>
      <c r="W1467" s="87" t="s">
        <v>69</v>
      </c>
      <c r="Y1467" s="85" t="s">
        <v>85</v>
      </c>
      <c r="Z1467" s="86" t="s">
        <v>88</v>
      </c>
      <c r="AA1467" s="87" t="s">
        <v>89</v>
      </c>
    </row>
    <row r="1468" spans="1:27">
      <c r="A1468" s="216"/>
      <c r="B1468" s="217"/>
      <c r="F1468" s="88" t="s">
        <v>2</v>
      </c>
      <c r="G1468" s="134" t="s">
        <v>486</v>
      </c>
      <c r="I1468" s="88" t="s">
        <v>24</v>
      </c>
      <c r="J1468" s="72">
        <v>8</v>
      </c>
      <c r="K1468" s="89">
        <v>230</v>
      </c>
      <c r="M1468" s="88" t="s">
        <v>2917</v>
      </c>
      <c r="N1468" s="72" t="s">
        <v>33</v>
      </c>
      <c r="O1468" s="72" t="s">
        <v>43</v>
      </c>
      <c r="P1468" s="72" t="s">
        <v>33</v>
      </c>
      <c r="Q1468" s="89" t="s">
        <v>2070</v>
      </c>
      <c r="S1468" s="88" t="s">
        <v>58</v>
      </c>
      <c r="T1468" s="89" t="s">
        <v>2918</v>
      </c>
      <c r="V1468" s="138" t="s">
        <v>70</v>
      </c>
      <c r="W1468" s="139" t="s">
        <v>2919</v>
      </c>
      <c r="Y1468" s="138" t="s">
        <v>90</v>
      </c>
      <c r="Z1468" s="137">
        <v>230</v>
      </c>
      <c r="AA1468" s="139">
        <v>145</v>
      </c>
    </row>
    <row r="1469" spans="1:27">
      <c r="A1469" s="216"/>
      <c r="B1469" s="217"/>
      <c r="F1469" s="88" t="s">
        <v>4</v>
      </c>
      <c r="G1469" s="112" t="s">
        <v>894</v>
      </c>
      <c r="I1469" s="88" t="s">
        <v>25</v>
      </c>
      <c r="J1469" s="80">
        <v>6</v>
      </c>
      <c r="K1469" s="89">
        <v>115</v>
      </c>
      <c r="M1469" s="88" t="s">
        <v>2920</v>
      </c>
      <c r="N1469" s="72" t="s">
        <v>33</v>
      </c>
      <c r="O1469" s="72" t="s">
        <v>43</v>
      </c>
      <c r="P1469" s="72" t="s">
        <v>33</v>
      </c>
      <c r="Q1469" s="89" t="s">
        <v>2921</v>
      </c>
      <c r="S1469" s="88" t="s">
        <v>60</v>
      </c>
      <c r="T1469" s="89" t="s">
        <v>2922</v>
      </c>
      <c r="V1469" s="135" t="s">
        <v>73</v>
      </c>
      <c r="W1469" s="136" t="s">
        <v>2923</v>
      </c>
      <c r="Y1469" s="88" t="s">
        <v>91</v>
      </c>
      <c r="Z1469" s="72">
        <v>115</v>
      </c>
      <c r="AA1469" s="89">
        <v>165</v>
      </c>
    </row>
    <row r="1470" spans="1:27">
      <c r="A1470" s="216"/>
      <c r="B1470" s="217"/>
      <c r="F1470" s="88" t="s">
        <v>6</v>
      </c>
      <c r="G1470" s="112" t="s">
        <v>1484</v>
      </c>
      <c r="I1470" s="90" t="s">
        <v>26</v>
      </c>
      <c r="J1470" s="91"/>
      <c r="K1470" s="92">
        <v>345</v>
      </c>
      <c r="M1470" s="88" t="s">
        <v>37</v>
      </c>
      <c r="N1470" s="72" t="s">
        <v>33</v>
      </c>
      <c r="O1470" s="72" t="s">
        <v>34</v>
      </c>
      <c r="P1470" s="72" t="s">
        <v>35</v>
      </c>
      <c r="Q1470" s="89" t="s">
        <v>1665</v>
      </c>
      <c r="S1470" s="88" t="s">
        <v>62</v>
      </c>
      <c r="T1470" s="89" t="s">
        <v>2924</v>
      </c>
      <c r="V1470" s="88" t="s">
        <v>76</v>
      </c>
      <c r="W1470" s="89" t="s">
        <v>2925</v>
      </c>
      <c r="Y1470" s="88" t="s">
        <v>26</v>
      </c>
      <c r="Z1470" s="72">
        <v>345</v>
      </c>
      <c r="AA1470" s="89">
        <v>310</v>
      </c>
    </row>
    <row r="1471" spans="1:27">
      <c r="A1471" s="216"/>
      <c r="B1471" s="217"/>
      <c r="F1471" s="88" t="s">
        <v>8</v>
      </c>
      <c r="G1471" s="112" t="s">
        <v>2778</v>
      </c>
      <c r="M1471" s="88" t="s">
        <v>2926</v>
      </c>
      <c r="N1471" s="72" t="s">
        <v>33</v>
      </c>
      <c r="O1471" s="72" t="s">
        <v>34</v>
      </c>
      <c r="P1471" s="72" t="s">
        <v>35</v>
      </c>
      <c r="Q1471" s="89" t="s">
        <v>2927</v>
      </c>
      <c r="S1471" s="119" t="s">
        <v>64</v>
      </c>
      <c r="T1471" s="120" t="s">
        <v>2928</v>
      </c>
      <c r="V1471" s="88" t="s">
        <v>79</v>
      </c>
      <c r="W1471" s="89" t="s">
        <v>945</v>
      </c>
      <c r="Y1471" s="90" t="s">
        <v>92</v>
      </c>
      <c r="Z1471" s="91"/>
      <c r="AA1471" s="122">
        <v>0.1</v>
      </c>
    </row>
    <row r="1472" spans="1:27">
      <c r="A1472" s="216"/>
      <c r="B1472" s="217"/>
      <c r="F1472" s="88" t="s">
        <v>10</v>
      </c>
      <c r="G1472" s="112" t="s">
        <v>882</v>
      </c>
      <c r="M1472" s="88" t="s">
        <v>42</v>
      </c>
      <c r="N1472" s="72" t="s">
        <v>33</v>
      </c>
      <c r="O1472" s="72" t="s">
        <v>34</v>
      </c>
      <c r="P1472" s="72" t="s">
        <v>35</v>
      </c>
      <c r="Q1472" s="89" t="s">
        <v>2787</v>
      </c>
      <c r="S1472" s="90" t="s">
        <v>66</v>
      </c>
      <c r="T1472" s="133" t="s">
        <v>2929</v>
      </c>
      <c r="V1472" s="90" t="s">
        <v>82</v>
      </c>
      <c r="W1472" s="92" t="s">
        <v>2930</v>
      </c>
    </row>
    <row r="1473" spans="1:27">
      <c r="A1473" s="216"/>
      <c r="B1473" s="217"/>
      <c r="F1473" s="88" t="s">
        <v>13</v>
      </c>
      <c r="G1473" s="201" t="s">
        <v>2931</v>
      </c>
      <c r="M1473" s="88" t="s">
        <v>49</v>
      </c>
      <c r="N1473" s="72" t="s">
        <v>33</v>
      </c>
      <c r="O1473" s="72" t="s">
        <v>43</v>
      </c>
      <c r="P1473" s="72" t="s">
        <v>33</v>
      </c>
      <c r="Q1473" s="89" t="s">
        <v>1734</v>
      </c>
    </row>
    <row r="1474" spans="1:27">
      <c r="A1474" s="216"/>
      <c r="B1474" s="217"/>
      <c r="F1474" s="88" t="s">
        <v>15</v>
      </c>
      <c r="G1474" s="112" t="s">
        <v>2932</v>
      </c>
      <c r="M1474" s="88" t="s">
        <v>2933</v>
      </c>
      <c r="N1474" s="72" t="s">
        <v>33</v>
      </c>
      <c r="O1474" s="72" t="s">
        <v>34</v>
      </c>
      <c r="P1474" s="72" t="s">
        <v>35</v>
      </c>
      <c r="Q1474" s="89" t="s">
        <v>2761</v>
      </c>
    </row>
    <row r="1475" spans="1:27">
      <c r="A1475" s="216"/>
      <c r="B1475" s="217"/>
      <c r="F1475" s="119" t="s">
        <v>17</v>
      </c>
      <c r="G1475" s="144">
        <v>46031</v>
      </c>
      <c r="M1475" s="88" t="s">
        <v>1923</v>
      </c>
      <c r="N1475" s="72" t="s">
        <v>33</v>
      </c>
      <c r="O1475" s="72" t="s">
        <v>43</v>
      </c>
      <c r="P1475" s="72" t="s">
        <v>33</v>
      </c>
      <c r="Q1475" s="89" t="s">
        <v>2934</v>
      </c>
    </row>
    <row r="1476" spans="1:27">
      <c r="A1476" s="218"/>
      <c r="B1476" s="219"/>
      <c r="F1476" s="90" t="s">
        <v>18</v>
      </c>
      <c r="G1476" s="114" t="s">
        <v>19</v>
      </c>
      <c r="M1476" s="88" t="s">
        <v>2935</v>
      </c>
      <c r="N1476" s="72" t="s">
        <v>35</v>
      </c>
      <c r="O1476" s="72" t="s">
        <v>52</v>
      </c>
      <c r="P1476" s="72" t="s">
        <v>35</v>
      </c>
      <c r="Q1476" s="89" t="s">
        <v>1627</v>
      </c>
    </row>
    <row r="1477" spans="1:27">
      <c r="M1477" s="88" t="s">
        <v>1794</v>
      </c>
      <c r="N1477" s="72" t="s">
        <v>35</v>
      </c>
      <c r="O1477" s="72" t="s">
        <v>52</v>
      </c>
      <c r="P1477" s="72" t="s">
        <v>35</v>
      </c>
      <c r="Q1477" s="89" t="s">
        <v>2936</v>
      </c>
    </row>
    <row r="1478" spans="1:27">
      <c r="M1478" s="88" t="s">
        <v>2543</v>
      </c>
      <c r="N1478" s="72" t="s">
        <v>35</v>
      </c>
      <c r="O1478" s="72" t="s">
        <v>52</v>
      </c>
      <c r="P1478" s="72" t="s">
        <v>35</v>
      </c>
      <c r="Q1478" s="89" t="s">
        <v>2937</v>
      </c>
    </row>
    <row r="1479" spans="1:27">
      <c r="M1479" s="88" t="s">
        <v>2545</v>
      </c>
      <c r="N1479" s="72" t="s">
        <v>35</v>
      </c>
      <c r="O1479" s="72" t="s">
        <v>52</v>
      </c>
      <c r="P1479" s="72" t="s">
        <v>35</v>
      </c>
      <c r="Q1479" s="89" t="s">
        <v>2882</v>
      </c>
    </row>
    <row r="1480" spans="1:27">
      <c r="M1480" s="88" t="s">
        <v>1975</v>
      </c>
      <c r="N1480" s="72" t="s">
        <v>35</v>
      </c>
      <c r="O1480" s="72" t="s">
        <v>52</v>
      </c>
      <c r="P1480" s="72" t="s">
        <v>35</v>
      </c>
      <c r="Q1480" s="89" t="s">
        <v>2748</v>
      </c>
    </row>
    <row r="1481" spans="1:27">
      <c r="M1481" s="90" t="s">
        <v>1626</v>
      </c>
      <c r="N1481" s="91" t="s">
        <v>35</v>
      </c>
      <c r="O1481" s="91" t="s">
        <v>52</v>
      </c>
      <c r="P1481" s="91" t="s">
        <v>35</v>
      </c>
      <c r="Q1481" s="92" t="s">
        <v>2938</v>
      </c>
    </row>
    <row r="1486" spans="1:27">
      <c r="A1486" s="214" t="s">
        <v>494</v>
      </c>
      <c r="B1486" s="215"/>
      <c r="F1486" s="85" t="s">
        <v>0</v>
      </c>
      <c r="G1486" s="118" t="s">
        <v>1</v>
      </c>
      <c r="I1486" s="85" t="s">
        <v>20</v>
      </c>
      <c r="J1486" s="86" t="s">
        <v>21</v>
      </c>
      <c r="K1486" s="87" t="s">
        <v>23</v>
      </c>
      <c r="M1486" s="85" t="s">
        <v>27</v>
      </c>
      <c r="N1486" s="86" t="s">
        <v>28</v>
      </c>
      <c r="O1486" s="86" t="s">
        <v>29</v>
      </c>
      <c r="P1486" s="86" t="s">
        <v>30</v>
      </c>
      <c r="Q1486" s="87" t="s">
        <v>31</v>
      </c>
      <c r="S1486" s="85" t="s">
        <v>56</v>
      </c>
      <c r="T1486" s="87" t="s">
        <v>57</v>
      </c>
      <c r="U1486" s="79"/>
      <c r="V1486" s="85" t="s">
        <v>68</v>
      </c>
      <c r="W1486" s="87" t="s">
        <v>69</v>
      </c>
      <c r="Y1486" s="85" t="s">
        <v>85</v>
      </c>
      <c r="Z1486" s="86" t="s">
        <v>88</v>
      </c>
      <c r="AA1486" s="87" t="s">
        <v>89</v>
      </c>
    </row>
    <row r="1487" spans="1:27">
      <c r="A1487" s="216"/>
      <c r="B1487" s="217"/>
      <c r="F1487" s="88" t="s">
        <v>2</v>
      </c>
      <c r="G1487" s="134" t="s">
        <v>2939</v>
      </c>
      <c r="I1487" s="88" t="s">
        <v>24</v>
      </c>
      <c r="J1487" s="72">
        <v>6</v>
      </c>
      <c r="K1487" s="89">
        <v>170</v>
      </c>
      <c r="M1487" s="88" t="s">
        <v>2940</v>
      </c>
      <c r="N1487" s="72" t="s">
        <v>33</v>
      </c>
      <c r="O1487" s="72" t="s">
        <v>43</v>
      </c>
      <c r="P1487" s="72" t="s">
        <v>33</v>
      </c>
      <c r="Q1487" s="89" t="s">
        <v>1805</v>
      </c>
      <c r="S1487" s="88" t="s">
        <v>58</v>
      </c>
      <c r="T1487" s="89" t="s">
        <v>2941</v>
      </c>
      <c r="V1487" s="138" t="s">
        <v>70</v>
      </c>
      <c r="W1487" s="139" t="s">
        <v>2088</v>
      </c>
      <c r="Y1487" s="138" t="s">
        <v>90</v>
      </c>
      <c r="Z1487" s="137">
        <v>170</v>
      </c>
      <c r="AA1487" s="139">
        <v>105</v>
      </c>
    </row>
    <row r="1488" spans="1:27">
      <c r="A1488" s="216"/>
      <c r="B1488" s="217"/>
      <c r="F1488" s="88" t="s">
        <v>4</v>
      </c>
      <c r="G1488" s="112" t="s">
        <v>894</v>
      </c>
      <c r="I1488" s="88" t="s">
        <v>25</v>
      </c>
      <c r="J1488" s="80">
        <v>5</v>
      </c>
      <c r="K1488" s="89">
        <v>95</v>
      </c>
      <c r="M1488" s="88" t="s">
        <v>1430</v>
      </c>
      <c r="N1488" s="72" t="s">
        <v>33</v>
      </c>
      <c r="O1488" s="72" t="s">
        <v>34</v>
      </c>
      <c r="P1488" s="72" t="s">
        <v>35</v>
      </c>
      <c r="Q1488" s="89" t="s">
        <v>2733</v>
      </c>
      <c r="S1488" s="88" t="s">
        <v>60</v>
      </c>
      <c r="T1488" s="89" t="s">
        <v>2942</v>
      </c>
      <c r="V1488" s="135" t="s">
        <v>73</v>
      </c>
      <c r="W1488" s="136" t="s">
        <v>2943</v>
      </c>
      <c r="Y1488" s="88" t="s">
        <v>91</v>
      </c>
      <c r="Z1488" s="72">
        <v>95</v>
      </c>
      <c r="AA1488" s="89">
        <v>135</v>
      </c>
    </row>
    <row r="1489" spans="1:27">
      <c r="A1489" s="216"/>
      <c r="B1489" s="217"/>
      <c r="F1489" s="88" t="s">
        <v>6</v>
      </c>
      <c r="G1489" s="112" t="s">
        <v>895</v>
      </c>
      <c r="I1489" s="90" t="s">
        <v>26</v>
      </c>
      <c r="J1489" s="91"/>
      <c r="K1489" s="92">
        <v>265</v>
      </c>
      <c r="M1489" s="88" t="s">
        <v>37</v>
      </c>
      <c r="N1489" s="72" t="s">
        <v>33</v>
      </c>
      <c r="O1489" s="72" t="s">
        <v>34</v>
      </c>
      <c r="P1489" s="72" t="s">
        <v>35</v>
      </c>
      <c r="Q1489" s="89" t="s">
        <v>1778</v>
      </c>
      <c r="S1489" s="88" t="s">
        <v>62</v>
      </c>
      <c r="T1489" s="89" t="s">
        <v>2854</v>
      </c>
      <c r="V1489" s="88" t="s">
        <v>76</v>
      </c>
      <c r="W1489" s="89" t="s">
        <v>2944</v>
      </c>
      <c r="Y1489" s="88" t="s">
        <v>26</v>
      </c>
      <c r="Z1489" s="72">
        <v>265</v>
      </c>
      <c r="AA1489" s="89">
        <v>240</v>
      </c>
    </row>
    <row r="1490" spans="1:27">
      <c r="A1490" s="216"/>
      <c r="B1490" s="217"/>
      <c r="F1490" s="88" t="s">
        <v>8</v>
      </c>
      <c r="G1490" s="112" t="s">
        <v>2945</v>
      </c>
      <c r="M1490" s="88" t="s">
        <v>2741</v>
      </c>
      <c r="N1490" s="72" t="s">
        <v>33</v>
      </c>
      <c r="O1490" s="72" t="s">
        <v>34</v>
      </c>
      <c r="P1490" s="72" t="s">
        <v>35</v>
      </c>
      <c r="Q1490" s="89" t="s">
        <v>2742</v>
      </c>
      <c r="S1490" s="119" t="s">
        <v>64</v>
      </c>
      <c r="T1490" s="120" t="s">
        <v>2946</v>
      </c>
      <c r="V1490" s="88" t="s">
        <v>79</v>
      </c>
      <c r="W1490" s="89" t="s">
        <v>1584</v>
      </c>
      <c r="Y1490" s="90" t="s">
        <v>92</v>
      </c>
      <c r="Z1490" s="91"/>
      <c r="AA1490" s="122">
        <v>0.09</v>
      </c>
    </row>
    <row r="1491" spans="1:27">
      <c r="A1491" s="216"/>
      <c r="B1491" s="217"/>
      <c r="F1491" s="88" t="s">
        <v>10</v>
      </c>
      <c r="G1491" s="112" t="s">
        <v>2735</v>
      </c>
      <c r="M1491" s="88" t="s">
        <v>42</v>
      </c>
      <c r="N1491" s="72" t="s">
        <v>33</v>
      </c>
      <c r="O1491" s="72" t="s">
        <v>34</v>
      </c>
      <c r="P1491" s="72" t="s">
        <v>35</v>
      </c>
      <c r="Q1491" s="89" t="s">
        <v>2837</v>
      </c>
      <c r="S1491" s="90" t="s">
        <v>66</v>
      </c>
      <c r="T1491" s="133" t="s">
        <v>2947</v>
      </c>
      <c r="V1491" s="90" t="s">
        <v>82</v>
      </c>
      <c r="W1491" s="92" t="s">
        <v>2948</v>
      </c>
    </row>
    <row r="1492" spans="1:27">
      <c r="A1492" s="216"/>
      <c r="B1492" s="217"/>
      <c r="F1492" s="88" t="s">
        <v>13</v>
      </c>
      <c r="G1492" s="201" t="s">
        <v>1876</v>
      </c>
      <c r="M1492" s="88" t="s">
        <v>2020</v>
      </c>
      <c r="N1492" s="72" t="s">
        <v>33</v>
      </c>
      <c r="O1492" s="72" t="s">
        <v>43</v>
      </c>
      <c r="P1492" s="72" t="s">
        <v>33</v>
      </c>
      <c r="Q1492" s="89" t="s">
        <v>2301</v>
      </c>
    </row>
    <row r="1493" spans="1:27">
      <c r="A1493" s="216"/>
      <c r="B1493" s="217"/>
      <c r="F1493" s="88" t="s">
        <v>15</v>
      </c>
      <c r="G1493" s="112" t="s">
        <v>2949</v>
      </c>
      <c r="M1493" s="88" t="s">
        <v>1972</v>
      </c>
      <c r="N1493" s="72" t="s">
        <v>35</v>
      </c>
      <c r="O1493" s="72" t="s">
        <v>52</v>
      </c>
      <c r="P1493" s="72" t="s">
        <v>35</v>
      </c>
      <c r="Q1493" s="89" t="s">
        <v>2950</v>
      </c>
    </row>
    <row r="1494" spans="1:27">
      <c r="A1494" s="216"/>
      <c r="B1494" s="217"/>
      <c r="F1494" s="119" t="s">
        <v>17</v>
      </c>
      <c r="G1494" s="144">
        <v>46051</v>
      </c>
      <c r="M1494" s="88" t="s">
        <v>1794</v>
      </c>
      <c r="N1494" s="72" t="s">
        <v>35</v>
      </c>
      <c r="O1494" s="72" t="s">
        <v>52</v>
      </c>
      <c r="P1494" s="72" t="s">
        <v>35</v>
      </c>
      <c r="Q1494" s="89" t="s">
        <v>2745</v>
      </c>
    </row>
    <row r="1495" spans="1:27">
      <c r="A1495" s="218"/>
      <c r="B1495" s="219"/>
      <c r="F1495" s="90" t="s">
        <v>18</v>
      </c>
      <c r="G1495" s="114" t="s">
        <v>19</v>
      </c>
      <c r="M1495" s="88" t="s">
        <v>2059</v>
      </c>
      <c r="N1495" s="72" t="s">
        <v>35</v>
      </c>
      <c r="O1495" s="72" t="s">
        <v>52</v>
      </c>
      <c r="P1495" s="72" t="s">
        <v>35</v>
      </c>
      <c r="Q1495" s="89" t="s">
        <v>2951</v>
      </c>
    </row>
    <row r="1496" spans="1:27">
      <c r="M1496" s="88" t="s">
        <v>2545</v>
      </c>
      <c r="N1496" s="72" t="s">
        <v>35</v>
      </c>
      <c r="O1496" s="72" t="s">
        <v>52</v>
      </c>
      <c r="P1496" s="72" t="s">
        <v>35</v>
      </c>
      <c r="Q1496" s="89" t="s">
        <v>2882</v>
      </c>
    </row>
    <row r="1497" spans="1:27">
      <c r="M1497" s="90" t="s">
        <v>1975</v>
      </c>
      <c r="N1497" s="91" t="s">
        <v>35</v>
      </c>
      <c r="O1497" s="91" t="s">
        <v>52</v>
      </c>
      <c r="P1497" s="91" t="s">
        <v>35</v>
      </c>
      <c r="Q1497" s="92" t="s">
        <v>2866</v>
      </c>
    </row>
    <row r="1498" spans="1:27">
      <c r="M1498" s="130"/>
      <c r="N1498" s="130"/>
      <c r="O1498" s="130"/>
      <c r="P1498" s="130"/>
      <c r="Q1498" s="130"/>
    </row>
    <row r="1502" spans="1:27">
      <c r="A1502" s="214" t="s">
        <v>496</v>
      </c>
      <c r="B1502" s="215"/>
      <c r="F1502" s="85" t="s">
        <v>0</v>
      </c>
      <c r="G1502" s="118" t="s">
        <v>1</v>
      </c>
      <c r="I1502" s="85" t="s">
        <v>20</v>
      </c>
      <c r="J1502" s="86" t="s">
        <v>21</v>
      </c>
      <c r="K1502" s="87" t="s">
        <v>23</v>
      </c>
      <c r="M1502" s="85" t="s">
        <v>27</v>
      </c>
      <c r="N1502" s="86" t="s">
        <v>28</v>
      </c>
      <c r="O1502" s="86" t="s">
        <v>29</v>
      </c>
      <c r="P1502" s="86" t="s">
        <v>30</v>
      </c>
      <c r="Q1502" s="87" t="s">
        <v>31</v>
      </c>
      <c r="S1502" s="85" t="s">
        <v>56</v>
      </c>
      <c r="T1502" s="87" t="s">
        <v>57</v>
      </c>
      <c r="U1502" s="79"/>
      <c r="V1502" s="85" t="s">
        <v>68</v>
      </c>
      <c r="W1502" s="87" t="s">
        <v>69</v>
      </c>
      <c r="Y1502" s="85" t="s">
        <v>85</v>
      </c>
      <c r="Z1502" s="86" t="s">
        <v>88</v>
      </c>
      <c r="AA1502" s="87" t="s">
        <v>89</v>
      </c>
    </row>
    <row r="1503" spans="1:27">
      <c r="A1503" s="216"/>
      <c r="B1503" s="217"/>
      <c r="F1503" s="88" t="s">
        <v>2</v>
      </c>
      <c r="G1503" s="134" t="s">
        <v>496</v>
      </c>
      <c r="I1503" s="88" t="s">
        <v>24</v>
      </c>
      <c r="J1503" s="72">
        <v>7</v>
      </c>
      <c r="K1503" s="89">
        <v>205</v>
      </c>
      <c r="M1503" s="88" t="s">
        <v>2952</v>
      </c>
      <c r="N1503" s="72" t="s">
        <v>33</v>
      </c>
      <c r="O1503" s="72" t="s">
        <v>43</v>
      </c>
      <c r="P1503" s="72" t="s">
        <v>33</v>
      </c>
      <c r="Q1503" s="89" t="s">
        <v>2953</v>
      </c>
      <c r="S1503" s="88" t="s">
        <v>58</v>
      </c>
      <c r="T1503" s="89" t="s">
        <v>2954</v>
      </c>
      <c r="V1503" s="138" t="s">
        <v>70</v>
      </c>
      <c r="W1503" s="139" t="s">
        <v>2955</v>
      </c>
      <c r="Y1503" s="138" t="s">
        <v>90</v>
      </c>
      <c r="Z1503" s="137">
        <v>205</v>
      </c>
      <c r="AA1503" s="139">
        <v>130</v>
      </c>
    </row>
    <row r="1504" spans="1:27">
      <c r="A1504" s="216"/>
      <c r="B1504" s="217"/>
      <c r="F1504" s="88" t="s">
        <v>4</v>
      </c>
      <c r="G1504" s="112" t="s">
        <v>894</v>
      </c>
      <c r="I1504" s="88" t="s">
        <v>25</v>
      </c>
      <c r="J1504" s="80">
        <v>5</v>
      </c>
      <c r="K1504" s="89">
        <v>100</v>
      </c>
      <c r="M1504" s="88" t="s">
        <v>37</v>
      </c>
      <c r="N1504" s="72" t="s">
        <v>33</v>
      </c>
      <c r="O1504" s="72" t="s">
        <v>34</v>
      </c>
      <c r="P1504" s="72" t="s">
        <v>35</v>
      </c>
      <c r="Q1504" s="89" t="s">
        <v>1778</v>
      </c>
      <c r="S1504" s="88" t="s">
        <v>60</v>
      </c>
      <c r="T1504" s="89" t="s">
        <v>2956</v>
      </c>
      <c r="V1504" s="135" t="s">
        <v>73</v>
      </c>
      <c r="W1504" s="136" t="s">
        <v>2687</v>
      </c>
      <c r="Y1504" s="88" t="s">
        <v>91</v>
      </c>
      <c r="Z1504" s="72">
        <v>100</v>
      </c>
      <c r="AA1504" s="89">
        <v>145</v>
      </c>
    </row>
    <row r="1505" spans="1:27">
      <c r="A1505" s="216"/>
      <c r="B1505" s="217"/>
      <c r="F1505" s="88" t="s">
        <v>6</v>
      </c>
      <c r="G1505" s="112" t="s">
        <v>1484</v>
      </c>
      <c r="I1505" s="90" t="s">
        <v>26</v>
      </c>
      <c r="J1505" s="91"/>
      <c r="K1505" s="92">
        <v>305</v>
      </c>
      <c r="M1505" s="88" t="s">
        <v>1553</v>
      </c>
      <c r="N1505" s="72" t="s">
        <v>33</v>
      </c>
      <c r="O1505" s="72" t="s">
        <v>43</v>
      </c>
      <c r="P1505" s="72" t="s">
        <v>33</v>
      </c>
      <c r="Q1505" s="89" t="s">
        <v>1811</v>
      </c>
      <c r="S1505" s="88" t="s">
        <v>62</v>
      </c>
      <c r="T1505" s="89" t="s">
        <v>2508</v>
      </c>
      <c r="V1505" s="88" t="s">
        <v>76</v>
      </c>
      <c r="W1505" s="89" t="s">
        <v>2957</v>
      </c>
      <c r="Y1505" s="88" t="s">
        <v>26</v>
      </c>
      <c r="Z1505" s="72">
        <v>305</v>
      </c>
      <c r="AA1505" s="89">
        <v>275</v>
      </c>
    </row>
    <row r="1506" spans="1:27">
      <c r="A1506" s="216"/>
      <c r="B1506" s="217"/>
      <c r="F1506" s="88" t="s">
        <v>8</v>
      </c>
      <c r="G1506" s="112" t="s">
        <v>1892</v>
      </c>
      <c r="M1506" s="88" t="s">
        <v>42</v>
      </c>
      <c r="N1506" s="72" t="s">
        <v>33</v>
      </c>
      <c r="O1506" s="72" t="s">
        <v>34</v>
      </c>
      <c r="P1506" s="72" t="s">
        <v>35</v>
      </c>
      <c r="Q1506" s="89" t="s">
        <v>1798</v>
      </c>
      <c r="S1506" s="119" t="s">
        <v>64</v>
      </c>
      <c r="T1506" s="120" t="s">
        <v>2958</v>
      </c>
      <c r="V1506" s="88" t="s">
        <v>79</v>
      </c>
      <c r="W1506" s="89" t="s">
        <v>1584</v>
      </c>
      <c r="Y1506" s="90" t="s">
        <v>92</v>
      </c>
      <c r="Z1506" s="91"/>
      <c r="AA1506" s="122">
        <v>0.1</v>
      </c>
    </row>
    <row r="1507" spans="1:27">
      <c r="A1507" s="216"/>
      <c r="B1507" s="217"/>
      <c r="F1507" s="88" t="s">
        <v>10</v>
      </c>
      <c r="G1507" s="112" t="s">
        <v>2959</v>
      </c>
      <c r="M1507" s="88" t="s">
        <v>49</v>
      </c>
      <c r="N1507" s="72" t="s">
        <v>33</v>
      </c>
      <c r="O1507" s="72" t="s">
        <v>43</v>
      </c>
      <c r="P1507" s="72" t="s">
        <v>33</v>
      </c>
      <c r="Q1507" s="89" t="s">
        <v>2301</v>
      </c>
      <c r="S1507" s="90" t="s">
        <v>66</v>
      </c>
      <c r="T1507" s="133" t="s">
        <v>2960</v>
      </c>
      <c r="V1507" s="90" t="s">
        <v>82</v>
      </c>
      <c r="W1507" s="92" t="s">
        <v>2891</v>
      </c>
    </row>
    <row r="1508" spans="1:27">
      <c r="A1508" s="216"/>
      <c r="B1508" s="217"/>
      <c r="F1508" s="88" t="s">
        <v>13</v>
      </c>
      <c r="G1508" s="201" t="s">
        <v>2007</v>
      </c>
      <c r="M1508" s="88" t="s">
        <v>2698</v>
      </c>
      <c r="N1508" s="72" t="s">
        <v>33</v>
      </c>
      <c r="O1508" s="72" t="s">
        <v>34</v>
      </c>
      <c r="P1508" s="72" t="s">
        <v>35</v>
      </c>
      <c r="Q1508" s="89" t="s">
        <v>2761</v>
      </c>
    </row>
    <row r="1509" spans="1:27">
      <c r="A1509" s="216"/>
      <c r="B1509" s="217"/>
      <c r="F1509" s="88" t="s">
        <v>15</v>
      </c>
      <c r="G1509" s="112" t="s">
        <v>2961</v>
      </c>
      <c r="M1509" s="88" t="s">
        <v>1923</v>
      </c>
      <c r="N1509" s="72" t="s">
        <v>33</v>
      </c>
      <c r="O1509" s="72" t="s">
        <v>43</v>
      </c>
      <c r="P1509" s="72" t="s">
        <v>33</v>
      </c>
      <c r="Q1509" s="89" t="s">
        <v>2934</v>
      </c>
    </row>
    <row r="1510" spans="1:27">
      <c r="A1510" s="216"/>
      <c r="B1510" s="217"/>
      <c r="F1510" s="119" t="s">
        <v>17</v>
      </c>
      <c r="G1510" s="144">
        <v>46065</v>
      </c>
      <c r="M1510" s="88" t="s">
        <v>2962</v>
      </c>
      <c r="N1510" s="72" t="s">
        <v>35</v>
      </c>
      <c r="O1510" s="72" t="s">
        <v>52</v>
      </c>
      <c r="P1510" s="72" t="s">
        <v>35</v>
      </c>
      <c r="Q1510" s="89" t="s">
        <v>1627</v>
      </c>
    </row>
    <row r="1511" spans="1:27">
      <c r="A1511" s="218"/>
      <c r="B1511" s="219"/>
      <c r="F1511" s="90" t="s">
        <v>18</v>
      </c>
      <c r="G1511" s="114" t="s">
        <v>19</v>
      </c>
      <c r="M1511" s="88" t="s">
        <v>1679</v>
      </c>
      <c r="N1511" s="72" t="s">
        <v>35</v>
      </c>
      <c r="O1511" s="72" t="s">
        <v>52</v>
      </c>
      <c r="P1511" s="72" t="s">
        <v>35</v>
      </c>
      <c r="Q1511" s="89" t="s">
        <v>2763</v>
      </c>
    </row>
    <row r="1512" spans="1:27">
      <c r="M1512" s="88" t="s">
        <v>2059</v>
      </c>
      <c r="N1512" s="72" t="s">
        <v>35</v>
      </c>
      <c r="O1512" s="72" t="s">
        <v>52</v>
      </c>
      <c r="P1512" s="72" t="s">
        <v>35</v>
      </c>
      <c r="Q1512" s="89" t="s">
        <v>1742</v>
      </c>
    </row>
    <row r="1513" spans="1:27">
      <c r="M1513" s="88" t="s">
        <v>2545</v>
      </c>
      <c r="N1513" s="72" t="s">
        <v>35</v>
      </c>
      <c r="O1513" s="72" t="s">
        <v>52</v>
      </c>
      <c r="P1513" s="72" t="s">
        <v>35</v>
      </c>
      <c r="Q1513" s="89" t="s">
        <v>2963</v>
      </c>
    </row>
    <row r="1514" spans="1:27">
      <c r="M1514" s="90" t="s">
        <v>1975</v>
      </c>
      <c r="N1514" s="91" t="s">
        <v>35</v>
      </c>
      <c r="O1514" s="91" t="s">
        <v>52</v>
      </c>
      <c r="P1514" s="91" t="s">
        <v>35</v>
      </c>
      <c r="Q1514" s="92" t="s">
        <v>2866</v>
      </c>
    </row>
    <row r="1520" spans="1:27">
      <c r="A1520" s="214" t="s">
        <v>496</v>
      </c>
      <c r="B1520" s="215"/>
      <c r="F1520" s="85" t="s">
        <v>0</v>
      </c>
      <c r="G1520" s="118" t="s">
        <v>1</v>
      </c>
      <c r="I1520" s="85" t="s">
        <v>20</v>
      </c>
      <c r="J1520" s="86" t="s">
        <v>21</v>
      </c>
      <c r="K1520" s="87" t="s">
        <v>23</v>
      </c>
      <c r="M1520" s="85" t="s">
        <v>27</v>
      </c>
      <c r="N1520" s="86" t="s">
        <v>28</v>
      </c>
      <c r="O1520" s="86" t="s">
        <v>29</v>
      </c>
      <c r="P1520" s="86" t="s">
        <v>30</v>
      </c>
      <c r="Q1520" s="87" t="s">
        <v>31</v>
      </c>
      <c r="S1520" s="85" t="s">
        <v>56</v>
      </c>
      <c r="T1520" s="87" t="s">
        <v>57</v>
      </c>
      <c r="U1520" s="79"/>
      <c r="V1520" s="85" t="s">
        <v>68</v>
      </c>
      <c r="W1520" s="87" t="s">
        <v>69</v>
      </c>
      <c r="Y1520" s="85" t="s">
        <v>85</v>
      </c>
      <c r="Z1520" s="86" t="s">
        <v>88</v>
      </c>
      <c r="AA1520" s="87" t="s">
        <v>89</v>
      </c>
    </row>
    <row r="1521" spans="1:27">
      <c r="A1521" s="216"/>
      <c r="B1521" s="217"/>
      <c r="F1521" s="88" t="s">
        <v>2</v>
      </c>
      <c r="G1521" s="134" t="s">
        <v>496</v>
      </c>
      <c r="I1521" s="88" t="s">
        <v>24</v>
      </c>
      <c r="J1521" s="72">
        <v>7</v>
      </c>
      <c r="K1521" s="89">
        <v>215</v>
      </c>
      <c r="M1521" s="88" t="s">
        <v>2964</v>
      </c>
      <c r="N1521" s="72" t="s">
        <v>33</v>
      </c>
      <c r="O1521" s="72" t="s">
        <v>43</v>
      </c>
      <c r="P1521" s="72" t="s">
        <v>33</v>
      </c>
      <c r="Q1521" s="89" t="s">
        <v>2965</v>
      </c>
      <c r="S1521" s="88" t="s">
        <v>58</v>
      </c>
      <c r="T1521" s="89" t="s">
        <v>2966</v>
      </c>
      <c r="V1521" s="138" t="s">
        <v>70</v>
      </c>
      <c r="W1521" s="139" t="s">
        <v>2967</v>
      </c>
      <c r="Y1521" s="138" t="s">
        <v>90</v>
      </c>
      <c r="Z1521" s="137">
        <v>215</v>
      </c>
      <c r="AA1521" s="139">
        <v>135</v>
      </c>
    </row>
    <row r="1522" spans="1:27">
      <c r="A1522" s="216"/>
      <c r="B1522" s="217"/>
      <c r="F1522" s="88" t="s">
        <v>4</v>
      </c>
      <c r="G1522" s="112" t="s">
        <v>894</v>
      </c>
      <c r="I1522" s="88" t="s">
        <v>25</v>
      </c>
      <c r="J1522" s="80">
        <v>6</v>
      </c>
      <c r="K1522" s="89">
        <v>110</v>
      </c>
      <c r="M1522" s="88" t="s">
        <v>37</v>
      </c>
      <c r="N1522" s="72" t="s">
        <v>33</v>
      </c>
      <c r="O1522" s="72" t="s">
        <v>34</v>
      </c>
      <c r="P1522" s="72" t="s">
        <v>35</v>
      </c>
      <c r="Q1522" s="89" t="s">
        <v>2968</v>
      </c>
      <c r="S1522" s="88" t="s">
        <v>60</v>
      </c>
      <c r="T1522" s="89" t="s">
        <v>2969</v>
      </c>
      <c r="V1522" s="135" t="s">
        <v>73</v>
      </c>
      <c r="W1522" s="136" t="s">
        <v>2970</v>
      </c>
      <c r="Y1522" s="88" t="s">
        <v>91</v>
      </c>
      <c r="Z1522" s="72">
        <v>110</v>
      </c>
      <c r="AA1522" s="89">
        <v>155</v>
      </c>
    </row>
    <row r="1523" spans="1:27">
      <c r="A1523" s="216"/>
      <c r="B1523" s="217"/>
      <c r="F1523" s="88" t="s">
        <v>6</v>
      </c>
      <c r="G1523" s="112" t="s">
        <v>895</v>
      </c>
      <c r="I1523" s="90" t="s">
        <v>26</v>
      </c>
      <c r="J1523" s="91"/>
      <c r="K1523" s="92">
        <v>325</v>
      </c>
      <c r="M1523" s="88" t="s">
        <v>1135</v>
      </c>
      <c r="N1523" s="72" t="s">
        <v>33</v>
      </c>
      <c r="O1523" s="72" t="s">
        <v>43</v>
      </c>
      <c r="P1523" s="72" t="s">
        <v>33</v>
      </c>
      <c r="Q1523" s="89" t="s">
        <v>2691</v>
      </c>
      <c r="S1523" s="88" t="s">
        <v>62</v>
      </c>
      <c r="T1523" s="89" t="s">
        <v>2971</v>
      </c>
      <c r="V1523" s="88" t="s">
        <v>76</v>
      </c>
      <c r="W1523" s="89" t="s">
        <v>2972</v>
      </c>
      <c r="Y1523" s="88" t="s">
        <v>26</v>
      </c>
      <c r="Z1523" s="72">
        <v>325</v>
      </c>
      <c r="AA1523" s="89">
        <v>290</v>
      </c>
    </row>
    <row r="1524" spans="1:27">
      <c r="A1524" s="216"/>
      <c r="B1524" s="217"/>
      <c r="F1524" s="88" t="s">
        <v>8</v>
      </c>
      <c r="G1524" s="112" t="s">
        <v>2973</v>
      </c>
      <c r="M1524" s="88" t="s">
        <v>42</v>
      </c>
      <c r="N1524" s="72" t="s">
        <v>33</v>
      </c>
      <c r="O1524" s="72" t="s">
        <v>34</v>
      </c>
      <c r="P1524" s="72" t="s">
        <v>35</v>
      </c>
      <c r="Q1524" s="89" t="s">
        <v>2693</v>
      </c>
      <c r="S1524" s="119" t="s">
        <v>64</v>
      </c>
      <c r="T1524" s="120" t="s">
        <v>2958</v>
      </c>
      <c r="V1524" s="88" t="s">
        <v>79</v>
      </c>
      <c r="W1524" s="89" t="s">
        <v>1584</v>
      </c>
      <c r="Y1524" s="90" t="s">
        <v>92</v>
      </c>
      <c r="Z1524" s="91"/>
      <c r="AA1524" s="122">
        <v>0.11</v>
      </c>
    </row>
    <row r="1525" spans="1:27">
      <c r="A1525" s="216"/>
      <c r="B1525" s="217"/>
      <c r="F1525" s="88" t="s">
        <v>10</v>
      </c>
      <c r="G1525" s="112" t="s">
        <v>2959</v>
      </c>
      <c r="M1525" s="88" t="s">
        <v>2892</v>
      </c>
      <c r="N1525" s="72" t="s">
        <v>33</v>
      </c>
      <c r="O1525" s="72" t="s">
        <v>43</v>
      </c>
      <c r="P1525" s="72" t="s">
        <v>33</v>
      </c>
      <c r="Q1525" s="89" t="s">
        <v>1734</v>
      </c>
      <c r="S1525" s="90" t="s">
        <v>66</v>
      </c>
      <c r="T1525" s="133" t="s">
        <v>2974</v>
      </c>
      <c r="V1525" s="90" t="s">
        <v>82</v>
      </c>
      <c r="W1525" s="92" t="s">
        <v>2891</v>
      </c>
    </row>
    <row r="1526" spans="1:27">
      <c r="A1526" s="216"/>
      <c r="B1526" s="217"/>
      <c r="F1526" s="88" t="s">
        <v>13</v>
      </c>
      <c r="G1526" s="201" t="s">
        <v>2975</v>
      </c>
      <c r="M1526" s="88" t="s">
        <v>1000</v>
      </c>
      <c r="N1526" s="72" t="s">
        <v>33</v>
      </c>
      <c r="O1526" s="72" t="s">
        <v>34</v>
      </c>
      <c r="P1526" s="72" t="s">
        <v>35</v>
      </c>
      <c r="Q1526" s="89" t="s">
        <v>2761</v>
      </c>
    </row>
    <row r="1527" spans="1:27">
      <c r="A1527" s="216"/>
      <c r="B1527" s="217"/>
      <c r="F1527" s="88" t="s">
        <v>15</v>
      </c>
      <c r="G1527" s="112" t="s">
        <v>2976</v>
      </c>
      <c r="M1527" s="88" t="s">
        <v>1923</v>
      </c>
      <c r="N1527" s="72" t="s">
        <v>33</v>
      </c>
      <c r="O1527" s="72" t="s">
        <v>43</v>
      </c>
      <c r="P1527" s="72" t="s">
        <v>33</v>
      </c>
      <c r="Q1527" s="89" t="s">
        <v>2977</v>
      </c>
    </row>
    <row r="1528" spans="1:27">
      <c r="A1528" s="216"/>
      <c r="B1528" s="217"/>
      <c r="F1528" s="119" t="s">
        <v>17</v>
      </c>
      <c r="G1528" s="144">
        <v>46071</v>
      </c>
      <c r="M1528" s="88" t="s">
        <v>2935</v>
      </c>
      <c r="N1528" s="72" t="s">
        <v>35</v>
      </c>
      <c r="O1528" s="72" t="s">
        <v>52</v>
      </c>
      <c r="P1528" s="72" t="s">
        <v>35</v>
      </c>
      <c r="Q1528" s="89" t="s">
        <v>1627</v>
      </c>
    </row>
    <row r="1529" spans="1:27">
      <c r="A1529" s="218"/>
      <c r="B1529" s="219"/>
      <c r="F1529" s="90" t="s">
        <v>18</v>
      </c>
      <c r="G1529" s="114" t="s">
        <v>19</v>
      </c>
      <c r="M1529" s="88" t="s">
        <v>1679</v>
      </c>
      <c r="N1529" s="72" t="s">
        <v>35</v>
      </c>
      <c r="O1529" s="72" t="s">
        <v>52</v>
      </c>
      <c r="P1529" s="72" t="s">
        <v>35</v>
      </c>
      <c r="Q1529" s="89" t="s">
        <v>2701</v>
      </c>
    </row>
    <row r="1530" spans="1:27">
      <c r="M1530" s="88" t="s">
        <v>2543</v>
      </c>
      <c r="N1530" s="72" t="s">
        <v>35</v>
      </c>
      <c r="O1530" s="72" t="s">
        <v>52</v>
      </c>
      <c r="P1530" s="72" t="s">
        <v>35</v>
      </c>
      <c r="Q1530" s="89" t="s">
        <v>2746</v>
      </c>
    </row>
    <row r="1531" spans="1:27">
      <c r="M1531" s="88" t="s">
        <v>2545</v>
      </c>
      <c r="N1531" s="72" t="s">
        <v>35</v>
      </c>
      <c r="O1531" s="72" t="s">
        <v>52</v>
      </c>
      <c r="P1531" s="72" t="s">
        <v>35</v>
      </c>
      <c r="Q1531" s="89" t="s">
        <v>2867</v>
      </c>
    </row>
    <row r="1532" spans="1:27">
      <c r="M1532" s="88" t="s">
        <v>1975</v>
      </c>
      <c r="N1532" s="72" t="s">
        <v>35</v>
      </c>
      <c r="O1532" s="72" t="s">
        <v>52</v>
      </c>
      <c r="P1532" s="72" t="s">
        <v>35</v>
      </c>
      <c r="Q1532" s="89" t="s">
        <v>2866</v>
      </c>
    </row>
    <row r="1533" spans="1:27">
      <c r="M1533" s="90" t="s">
        <v>1626</v>
      </c>
      <c r="N1533" s="91" t="s">
        <v>35</v>
      </c>
      <c r="O1533" s="91" t="s">
        <v>52</v>
      </c>
      <c r="P1533" s="91" t="s">
        <v>35</v>
      </c>
      <c r="Q1533" s="92" t="s">
        <v>2938</v>
      </c>
    </row>
    <row r="1538" spans="1:27">
      <c r="A1538" s="214" t="s">
        <v>498</v>
      </c>
      <c r="B1538" s="215"/>
      <c r="F1538" s="85" t="s">
        <v>0</v>
      </c>
      <c r="G1538" s="118" t="s">
        <v>1</v>
      </c>
      <c r="I1538" s="85" t="s">
        <v>20</v>
      </c>
      <c r="J1538" s="86" t="s">
        <v>21</v>
      </c>
      <c r="K1538" s="87" t="s">
        <v>23</v>
      </c>
      <c r="M1538" s="124" t="s">
        <v>27</v>
      </c>
      <c r="N1538" s="123" t="s">
        <v>28</v>
      </c>
      <c r="O1538" s="123" t="s">
        <v>29</v>
      </c>
      <c r="P1538" s="123" t="s">
        <v>30</v>
      </c>
      <c r="Q1538" s="127" t="s">
        <v>31</v>
      </c>
      <c r="S1538" s="85" t="s">
        <v>56</v>
      </c>
      <c r="T1538" s="87" t="s">
        <v>57</v>
      </c>
      <c r="U1538" s="79"/>
      <c r="V1538" s="85" t="s">
        <v>68</v>
      </c>
      <c r="W1538" s="87" t="s">
        <v>69</v>
      </c>
      <c r="Y1538" s="85" t="s">
        <v>85</v>
      </c>
      <c r="Z1538" s="86" t="s">
        <v>88</v>
      </c>
      <c r="AA1538" s="87" t="s">
        <v>89</v>
      </c>
    </row>
    <row r="1539" spans="1:27">
      <c r="A1539" s="216"/>
      <c r="B1539" s="217"/>
      <c r="F1539" s="88" t="s">
        <v>2</v>
      </c>
      <c r="G1539" s="134" t="s">
        <v>498</v>
      </c>
      <c r="I1539" s="88" t="s">
        <v>24</v>
      </c>
      <c r="J1539" s="72">
        <v>7</v>
      </c>
      <c r="K1539" s="89">
        <v>195</v>
      </c>
      <c r="M1539" s="125" t="s">
        <v>2978</v>
      </c>
      <c r="N1539" s="72" t="s">
        <v>33</v>
      </c>
      <c r="O1539" s="72" t="s">
        <v>43</v>
      </c>
      <c r="P1539" s="72" t="s">
        <v>33</v>
      </c>
      <c r="Q1539" s="128" t="s">
        <v>2979</v>
      </c>
      <c r="S1539" s="88" t="s">
        <v>58</v>
      </c>
      <c r="T1539" s="89" t="s">
        <v>2980</v>
      </c>
      <c r="V1539" s="138" t="s">
        <v>70</v>
      </c>
      <c r="W1539" s="139" t="s">
        <v>2981</v>
      </c>
      <c r="Y1539" s="138" t="s">
        <v>90</v>
      </c>
      <c r="Z1539" s="137">
        <v>195</v>
      </c>
      <c r="AA1539" s="139">
        <v>120</v>
      </c>
    </row>
    <row r="1540" spans="1:27">
      <c r="A1540" s="216"/>
      <c r="B1540" s="217"/>
      <c r="F1540" s="88" t="s">
        <v>4</v>
      </c>
      <c r="G1540" s="112" t="s">
        <v>894</v>
      </c>
      <c r="I1540" s="88" t="s">
        <v>25</v>
      </c>
      <c r="J1540" s="80">
        <v>5</v>
      </c>
      <c r="K1540" s="89">
        <v>100</v>
      </c>
      <c r="M1540" s="125" t="s">
        <v>2940</v>
      </c>
      <c r="N1540" s="72" t="s">
        <v>33</v>
      </c>
      <c r="O1540" s="72" t="s">
        <v>43</v>
      </c>
      <c r="P1540" s="72" t="s">
        <v>33</v>
      </c>
      <c r="Q1540" s="128" t="s">
        <v>1805</v>
      </c>
      <c r="S1540" s="88" t="s">
        <v>60</v>
      </c>
      <c r="T1540" s="89" t="s">
        <v>2982</v>
      </c>
      <c r="V1540" s="135" t="s">
        <v>73</v>
      </c>
      <c r="W1540" s="136" t="s">
        <v>2983</v>
      </c>
      <c r="Y1540" s="88" t="s">
        <v>91</v>
      </c>
      <c r="Z1540" s="72">
        <v>100</v>
      </c>
      <c r="AA1540" s="89">
        <v>140</v>
      </c>
    </row>
    <row r="1541" spans="1:27">
      <c r="A1541" s="216"/>
      <c r="B1541" s="217"/>
      <c r="F1541" s="88" t="s">
        <v>6</v>
      </c>
      <c r="G1541" s="112" t="s">
        <v>1484</v>
      </c>
      <c r="I1541" s="90" t="s">
        <v>26</v>
      </c>
      <c r="J1541" s="91"/>
      <c r="K1541" s="92">
        <v>295</v>
      </c>
      <c r="M1541" s="125" t="s">
        <v>1430</v>
      </c>
      <c r="N1541" s="72" t="s">
        <v>33</v>
      </c>
      <c r="O1541" s="72" t="s">
        <v>34</v>
      </c>
      <c r="P1541" s="72" t="s">
        <v>35</v>
      </c>
      <c r="Q1541" s="128" t="s">
        <v>2733</v>
      </c>
      <c r="S1541" s="88" t="s">
        <v>62</v>
      </c>
      <c r="T1541" s="89" t="s">
        <v>2984</v>
      </c>
      <c r="V1541" s="88" t="s">
        <v>76</v>
      </c>
      <c r="W1541" s="89" t="s">
        <v>2985</v>
      </c>
      <c r="Y1541" s="88" t="s">
        <v>26</v>
      </c>
      <c r="Z1541" s="72">
        <v>295</v>
      </c>
      <c r="AA1541" s="89">
        <v>260</v>
      </c>
    </row>
    <row r="1542" spans="1:27">
      <c r="A1542" s="216"/>
      <c r="B1542" s="217"/>
      <c r="F1542" s="88" t="s">
        <v>8</v>
      </c>
      <c r="G1542" s="112" t="s">
        <v>942</v>
      </c>
      <c r="M1542" s="125" t="s">
        <v>37</v>
      </c>
      <c r="N1542" s="72" t="s">
        <v>33</v>
      </c>
      <c r="O1542" s="72" t="s">
        <v>34</v>
      </c>
      <c r="P1542" s="72" t="s">
        <v>35</v>
      </c>
      <c r="Q1542" s="128" t="s">
        <v>1778</v>
      </c>
      <c r="S1542" s="119" t="s">
        <v>64</v>
      </c>
      <c r="T1542" s="120" t="s">
        <v>2986</v>
      </c>
      <c r="V1542" s="88" t="s">
        <v>79</v>
      </c>
      <c r="W1542" s="89" t="s">
        <v>1584</v>
      </c>
      <c r="Y1542" s="90" t="s">
        <v>92</v>
      </c>
      <c r="Z1542" s="91"/>
      <c r="AA1542" s="122">
        <v>0.12</v>
      </c>
    </row>
    <row r="1543" spans="1:27">
      <c r="A1543" s="216"/>
      <c r="B1543" s="217"/>
      <c r="F1543" s="88" t="s">
        <v>10</v>
      </c>
      <c r="G1543" s="112" t="s">
        <v>2735</v>
      </c>
      <c r="M1543" s="125" t="s">
        <v>42</v>
      </c>
      <c r="N1543" s="72" t="s">
        <v>33</v>
      </c>
      <c r="O1543" s="72" t="s">
        <v>34</v>
      </c>
      <c r="P1543" s="72" t="s">
        <v>35</v>
      </c>
      <c r="Q1543" s="128" t="s">
        <v>2837</v>
      </c>
      <c r="S1543" s="90" t="s">
        <v>66</v>
      </c>
      <c r="T1543" s="133" t="s">
        <v>2987</v>
      </c>
      <c r="V1543" s="90" t="s">
        <v>82</v>
      </c>
      <c r="W1543" s="92" t="s">
        <v>2988</v>
      </c>
    </row>
    <row r="1544" spans="1:27">
      <c r="A1544" s="216"/>
      <c r="B1544" s="217"/>
      <c r="F1544" s="88" t="s">
        <v>13</v>
      </c>
      <c r="G1544" s="201" t="s">
        <v>2989</v>
      </c>
      <c r="M1544" s="125" t="s">
        <v>2990</v>
      </c>
      <c r="N1544" s="72" t="s">
        <v>33</v>
      </c>
      <c r="O1544" s="72" t="s">
        <v>43</v>
      </c>
      <c r="P1544" s="72" t="s">
        <v>33</v>
      </c>
      <c r="Q1544" s="128" t="s">
        <v>2301</v>
      </c>
    </row>
    <row r="1545" spans="1:27">
      <c r="A1545" s="216"/>
      <c r="B1545" s="217"/>
      <c r="F1545" s="88" t="s">
        <v>15</v>
      </c>
      <c r="G1545" s="112" t="s">
        <v>2991</v>
      </c>
      <c r="M1545" s="125" t="s">
        <v>2634</v>
      </c>
      <c r="N1545" s="72" t="s">
        <v>33</v>
      </c>
      <c r="O1545" s="72" t="s">
        <v>34</v>
      </c>
      <c r="P1545" s="72" t="s">
        <v>35</v>
      </c>
      <c r="Q1545" s="128" t="s">
        <v>2992</v>
      </c>
    </row>
    <row r="1546" spans="1:27">
      <c r="A1546" s="216"/>
      <c r="B1546" s="217"/>
      <c r="F1546" s="119" t="s">
        <v>17</v>
      </c>
      <c r="G1546" s="144">
        <v>46047</v>
      </c>
      <c r="M1546" s="125" t="s">
        <v>1972</v>
      </c>
      <c r="N1546" s="72" t="s">
        <v>35</v>
      </c>
      <c r="O1546" s="72" t="s">
        <v>52</v>
      </c>
      <c r="P1546" s="72" t="s">
        <v>35</v>
      </c>
      <c r="Q1546" s="128" t="s">
        <v>2993</v>
      </c>
    </row>
    <row r="1547" spans="1:27">
      <c r="A1547" s="218"/>
      <c r="B1547" s="219"/>
      <c r="F1547" s="90" t="s">
        <v>18</v>
      </c>
      <c r="G1547" s="114" t="s">
        <v>19</v>
      </c>
      <c r="M1547" s="125" t="s">
        <v>1679</v>
      </c>
      <c r="N1547" s="72" t="s">
        <v>35</v>
      </c>
      <c r="O1547" s="72" t="s">
        <v>52</v>
      </c>
      <c r="P1547" s="72" t="s">
        <v>35</v>
      </c>
      <c r="Q1547" s="128" t="s">
        <v>2745</v>
      </c>
    </row>
    <row r="1548" spans="1:27">
      <c r="M1548" s="125" t="s">
        <v>2994</v>
      </c>
      <c r="N1548" s="72" t="s">
        <v>35</v>
      </c>
      <c r="O1548" s="72" t="s">
        <v>52</v>
      </c>
      <c r="P1548" s="72" t="s">
        <v>35</v>
      </c>
      <c r="Q1548" s="128" t="s">
        <v>2746</v>
      </c>
    </row>
    <row r="1549" spans="1:27">
      <c r="M1549" s="125" t="s">
        <v>2545</v>
      </c>
      <c r="N1549" s="72" t="s">
        <v>35</v>
      </c>
      <c r="O1549" s="72" t="s">
        <v>52</v>
      </c>
      <c r="P1549" s="72" t="s">
        <v>35</v>
      </c>
      <c r="Q1549" s="128" t="s">
        <v>2963</v>
      </c>
    </row>
    <row r="1550" spans="1:27">
      <c r="M1550" s="126" t="s">
        <v>1975</v>
      </c>
      <c r="N1550" s="93" t="s">
        <v>35</v>
      </c>
      <c r="O1550" s="93" t="s">
        <v>52</v>
      </c>
      <c r="P1550" s="93" t="s">
        <v>35</v>
      </c>
      <c r="Q1550" s="129" t="s">
        <v>2866</v>
      </c>
    </row>
    <row r="1551" spans="1:27">
      <c r="M1551" s="130"/>
      <c r="N1551" s="130"/>
      <c r="O1551" s="130"/>
      <c r="P1551" s="130"/>
      <c r="Q1551" s="130"/>
    </row>
    <row r="1552" spans="1:27">
      <c r="M1552" s="130"/>
      <c r="N1552" s="130"/>
      <c r="O1552" s="130"/>
      <c r="P1552" s="130"/>
      <c r="Q1552" s="130"/>
    </row>
    <row r="1555" spans="1:27">
      <c r="A1555" s="214" t="s">
        <v>500</v>
      </c>
      <c r="B1555" s="215"/>
      <c r="F1555" s="85" t="s">
        <v>0</v>
      </c>
      <c r="G1555" s="118" t="s">
        <v>1</v>
      </c>
      <c r="I1555" s="85" t="s">
        <v>20</v>
      </c>
      <c r="J1555" s="86" t="s">
        <v>21</v>
      </c>
      <c r="K1555" s="87" t="s">
        <v>23</v>
      </c>
      <c r="M1555" s="85" t="s">
        <v>27</v>
      </c>
      <c r="N1555" s="86" t="s">
        <v>28</v>
      </c>
      <c r="O1555" s="86" t="s">
        <v>29</v>
      </c>
      <c r="P1555" s="86" t="s">
        <v>30</v>
      </c>
      <c r="Q1555" s="87" t="s">
        <v>31</v>
      </c>
      <c r="S1555" s="85" t="s">
        <v>56</v>
      </c>
      <c r="T1555" s="87" t="s">
        <v>57</v>
      </c>
      <c r="U1555" s="79"/>
      <c r="V1555" s="85" t="s">
        <v>68</v>
      </c>
      <c r="W1555" s="87" t="s">
        <v>69</v>
      </c>
      <c r="Y1555" s="85" t="s">
        <v>85</v>
      </c>
      <c r="Z1555" s="86" t="s">
        <v>88</v>
      </c>
      <c r="AA1555" s="87" t="s">
        <v>89</v>
      </c>
    </row>
    <row r="1556" spans="1:27">
      <c r="A1556" s="216"/>
      <c r="B1556" s="217"/>
      <c r="F1556" s="88" t="s">
        <v>2</v>
      </c>
      <c r="G1556" s="134" t="s">
        <v>500</v>
      </c>
      <c r="I1556" s="88" t="s">
        <v>24</v>
      </c>
      <c r="J1556" s="72">
        <v>8</v>
      </c>
      <c r="K1556" s="89">
        <v>225</v>
      </c>
      <c r="M1556" s="88" t="s">
        <v>2995</v>
      </c>
      <c r="N1556" s="72" t="s">
        <v>33</v>
      </c>
      <c r="O1556" s="72" t="s">
        <v>43</v>
      </c>
      <c r="P1556" s="72" t="s">
        <v>33</v>
      </c>
      <c r="Q1556" s="89" t="s">
        <v>2934</v>
      </c>
      <c r="S1556" s="88" t="s">
        <v>58</v>
      </c>
      <c r="T1556" s="89" t="s">
        <v>2029</v>
      </c>
      <c r="V1556" s="138" t="s">
        <v>70</v>
      </c>
      <c r="W1556" s="139" t="s">
        <v>2996</v>
      </c>
      <c r="Y1556" s="138" t="s">
        <v>90</v>
      </c>
      <c r="Z1556" s="137">
        <v>225</v>
      </c>
      <c r="AA1556" s="139">
        <v>140</v>
      </c>
    </row>
    <row r="1557" spans="1:27">
      <c r="A1557" s="216"/>
      <c r="B1557" s="217"/>
      <c r="F1557" s="88" t="s">
        <v>4</v>
      </c>
      <c r="G1557" s="112" t="s">
        <v>894</v>
      </c>
      <c r="I1557" s="88" t="s">
        <v>25</v>
      </c>
      <c r="J1557" s="80">
        <v>5</v>
      </c>
      <c r="K1557" s="89">
        <v>105</v>
      </c>
      <c r="M1557" s="88" t="s">
        <v>2997</v>
      </c>
      <c r="N1557" s="72" t="s">
        <v>33</v>
      </c>
      <c r="O1557" s="72" t="s">
        <v>43</v>
      </c>
      <c r="P1557" s="72" t="s">
        <v>33</v>
      </c>
      <c r="Q1557" s="89" t="s">
        <v>2998</v>
      </c>
      <c r="S1557" s="88" t="s">
        <v>60</v>
      </c>
      <c r="T1557" s="89" t="s">
        <v>2999</v>
      </c>
      <c r="V1557" s="135" t="s">
        <v>73</v>
      </c>
      <c r="W1557" s="136" t="s">
        <v>3000</v>
      </c>
      <c r="Y1557" s="88" t="s">
        <v>91</v>
      </c>
      <c r="Z1557" s="72">
        <v>105</v>
      </c>
      <c r="AA1557" s="89">
        <v>150</v>
      </c>
    </row>
    <row r="1558" spans="1:27">
      <c r="A1558" s="216"/>
      <c r="B1558" s="217"/>
      <c r="F1558" s="88" t="s">
        <v>6</v>
      </c>
      <c r="G1558" s="112" t="s">
        <v>895</v>
      </c>
      <c r="I1558" s="90" t="s">
        <v>26</v>
      </c>
      <c r="J1558" s="91"/>
      <c r="K1558" s="92">
        <v>330</v>
      </c>
      <c r="M1558" s="88" t="s">
        <v>37</v>
      </c>
      <c r="N1558" s="72" t="s">
        <v>33</v>
      </c>
      <c r="O1558" s="72" t="s">
        <v>34</v>
      </c>
      <c r="P1558" s="72" t="s">
        <v>35</v>
      </c>
      <c r="Q1558" s="89" t="s">
        <v>1778</v>
      </c>
      <c r="S1558" s="88" t="s">
        <v>62</v>
      </c>
      <c r="T1558" s="89" t="s">
        <v>2508</v>
      </c>
      <c r="V1558" s="88" t="s">
        <v>76</v>
      </c>
      <c r="W1558" s="89" t="s">
        <v>3001</v>
      </c>
      <c r="Y1558" s="88" t="s">
        <v>26</v>
      </c>
      <c r="Z1558" s="72">
        <v>330</v>
      </c>
      <c r="AA1558" s="89">
        <v>290</v>
      </c>
    </row>
    <row r="1559" spans="1:27">
      <c r="A1559" s="216"/>
      <c r="B1559" s="217"/>
      <c r="F1559" s="88" t="s">
        <v>8</v>
      </c>
      <c r="G1559" s="112" t="s">
        <v>1101</v>
      </c>
      <c r="M1559" s="88" t="s">
        <v>3002</v>
      </c>
      <c r="N1559" s="72" t="s">
        <v>33</v>
      </c>
      <c r="O1559" s="72" t="s">
        <v>34</v>
      </c>
      <c r="P1559" s="72" t="s">
        <v>35</v>
      </c>
      <c r="Q1559" s="89" t="s">
        <v>3003</v>
      </c>
      <c r="S1559" s="119" t="s">
        <v>64</v>
      </c>
      <c r="T1559" s="120" t="s">
        <v>3004</v>
      </c>
      <c r="V1559" s="88" t="s">
        <v>79</v>
      </c>
      <c r="W1559" s="89" t="s">
        <v>945</v>
      </c>
      <c r="Y1559" s="90" t="s">
        <v>92</v>
      </c>
      <c r="Z1559" s="91"/>
      <c r="AA1559" s="122">
        <v>0.12</v>
      </c>
    </row>
    <row r="1560" spans="1:27">
      <c r="A1560" s="216"/>
      <c r="B1560" s="217"/>
      <c r="F1560" s="88" t="s">
        <v>10</v>
      </c>
      <c r="G1560" s="112" t="s">
        <v>882</v>
      </c>
      <c r="M1560" s="88" t="s">
        <v>42</v>
      </c>
      <c r="N1560" s="72" t="s">
        <v>33</v>
      </c>
      <c r="O1560" s="72" t="s">
        <v>34</v>
      </c>
      <c r="P1560" s="72" t="s">
        <v>35</v>
      </c>
      <c r="Q1560" s="89" t="s">
        <v>2787</v>
      </c>
      <c r="S1560" s="90" t="s">
        <v>66</v>
      </c>
      <c r="T1560" s="133" t="s">
        <v>2070</v>
      </c>
      <c r="V1560" s="90" t="s">
        <v>82</v>
      </c>
      <c r="W1560" s="92" t="s">
        <v>3005</v>
      </c>
    </row>
    <row r="1561" spans="1:27">
      <c r="A1561" s="216"/>
      <c r="B1561" s="217"/>
      <c r="F1561" s="88" t="s">
        <v>13</v>
      </c>
      <c r="G1561" s="201" t="s">
        <v>2562</v>
      </c>
      <c r="M1561" s="88" t="s">
        <v>3006</v>
      </c>
      <c r="N1561" s="72" t="s">
        <v>33</v>
      </c>
      <c r="O1561" s="72" t="s">
        <v>43</v>
      </c>
      <c r="P1561" s="72" t="s">
        <v>33</v>
      </c>
      <c r="Q1561" s="89" t="s">
        <v>1734</v>
      </c>
    </row>
    <row r="1562" spans="1:27">
      <c r="A1562" s="216"/>
      <c r="B1562" s="217"/>
      <c r="F1562" s="88" t="s">
        <v>15</v>
      </c>
      <c r="G1562" s="112" t="s">
        <v>3007</v>
      </c>
      <c r="M1562" s="88" t="s">
        <v>2933</v>
      </c>
      <c r="N1562" s="72" t="s">
        <v>33</v>
      </c>
      <c r="O1562" s="72" t="s">
        <v>34</v>
      </c>
      <c r="P1562" s="72" t="s">
        <v>35</v>
      </c>
      <c r="Q1562" s="89" t="s">
        <v>2761</v>
      </c>
    </row>
    <row r="1563" spans="1:27">
      <c r="A1563" s="216"/>
      <c r="B1563" s="217"/>
      <c r="F1563" s="119" t="s">
        <v>17</v>
      </c>
      <c r="G1563" s="144">
        <v>46056</v>
      </c>
      <c r="M1563" s="88" t="s">
        <v>1923</v>
      </c>
      <c r="N1563" s="72" t="s">
        <v>33</v>
      </c>
      <c r="O1563" s="72" t="s">
        <v>43</v>
      </c>
      <c r="P1563" s="72" t="s">
        <v>33</v>
      </c>
      <c r="Q1563" s="89" t="s">
        <v>3008</v>
      </c>
    </row>
    <row r="1564" spans="1:27">
      <c r="A1564" s="218"/>
      <c r="B1564" s="219"/>
      <c r="F1564" s="90" t="s">
        <v>18</v>
      </c>
      <c r="G1564" s="114" t="s">
        <v>19</v>
      </c>
      <c r="M1564" s="119" t="s">
        <v>1972</v>
      </c>
      <c r="N1564" s="93" t="s">
        <v>35</v>
      </c>
      <c r="O1564" s="93" t="s">
        <v>52</v>
      </c>
      <c r="P1564" s="93" t="s">
        <v>35</v>
      </c>
      <c r="Q1564" s="120" t="s">
        <v>1627</v>
      </c>
    </row>
    <row r="1565" spans="1:27">
      <c r="M1565" s="88" t="s">
        <v>1679</v>
      </c>
      <c r="N1565" s="72" t="s">
        <v>35</v>
      </c>
      <c r="O1565" s="72" t="s">
        <v>52</v>
      </c>
      <c r="P1565" s="72" t="s">
        <v>35</v>
      </c>
      <c r="Q1565" s="89" t="s">
        <v>2936</v>
      </c>
    </row>
    <row r="1566" spans="1:27">
      <c r="M1566" s="88" t="s">
        <v>2543</v>
      </c>
      <c r="N1566" s="72" t="s">
        <v>35</v>
      </c>
      <c r="O1566" s="72" t="s">
        <v>52</v>
      </c>
      <c r="P1566" s="72" t="s">
        <v>35</v>
      </c>
      <c r="Q1566" s="89" t="s">
        <v>2746</v>
      </c>
    </row>
    <row r="1567" spans="1:27">
      <c r="M1567" s="88" t="s">
        <v>2545</v>
      </c>
      <c r="N1567" s="72" t="s">
        <v>35</v>
      </c>
      <c r="O1567" s="72" t="s">
        <v>52</v>
      </c>
      <c r="P1567" s="72" t="s">
        <v>35</v>
      </c>
      <c r="Q1567" s="89" t="s">
        <v>2867</v>
      </c>
    </row>
    <row r="1568" spans="1:27">
      <c r="M1568" s="90" t="s">
        <v>1975</v>
      </c>
      <c r="N1568" s="91" t="s">
        <v>35</v>
      </c>
      <c r="O1568" s="91" t="s">
        <v>52</v>
      </c>
      <c r="P1568" s="91" t="s">
        <v>35</v>
      </c>
      <c r="Q1568" s="92" t="s">
        <v>2866</v>
      </c>
    </row>
    <row r="1575" spans="1:27">
      <c r="A1575" s="214" t="s">
        <v>502</v>
      </c>
      <c r="B1575" s="215"/>
      <c r="F1575" s="85" t="s">
        <v>0</v>
      </c>
      <c r="G1575" s="118" t="s">
        <v>1</v>
      </c>
      <c r="I1575" s="85" t="s">
        <v>20</v>
      </c>
      <c r="J1575" s="86" t="s">
        <v>21</v>
      </c>
      <c r="K1575" s="87" t="s">
        <v>23</v>
      </c>
      <c r="M1575" s="85" t="s">
        <v>27</v>
      </c>
      <c r="N1575" s="86" t="s">
        <v>28</v>
      </c>
      <c r="O1575" s="86" t="s">
        <v>29</v>
      </c>
      <c r="P1575" s="86" t="s">
        <v>30</v>
      </c>
      <c r="Q1575" s="87" t="s">
        <v>31</v>
      </c>
      <c r="S1575" s="85" t="s">
        <v>56</v>
      </c>
      <c r="T1575" s="87" t="s">
        <v>57</v>
      </c>
      <c r="U1575" s="79"/>
      <c r="V1575" s="85" t="s">
        <v>68</v>
      </c>
      <c r="W1575" s="87" t="s">
        <v>69</v>
      </c>
      <c r="Y1575" s="85" t="s">
        <v>85</v>
      </c>
      <c r="Z1575" s="86" t="s">
        <v>88</v>
      </c>
      <c r="AA1575" s="87" t="s">
        <v>89</v>
      </c>
    </row>
    <row r="1576" spans="1:27">
      <c r="A1576" s="216"/>
      <c r="B1576" s="217"/>
      <c r="F1576" s="88" t="s">
        <v>2</v>
      </c>
      <c r="G1576" s="134" t="s">
        <v>502</v>
      </c>
      <c r="I1576" s="88" t="s">
        <v>24</v>
      </c>
      <c r="J1576" s="72">
        <v>6</v>
      </c>
      <c r="K1576" s="89">
        <v>165</v>
      </c>
      <c r="M1576" s="88" t="s">
        <v>3009</v>
      </c>
      <c r="N1576" s="72" t="s">
        <v>33</v>
      </c>
      <c r="O1576" s="72" t="s">
        <v>43</v>
      </c>
      <c r="P1576" s="72" t="s">
        <v>33</v>
      </c>
      <c r="Q1576" s="89" t="s">
        <v>1805</v>
      </c>
      <c r="S1576" s="88" t="s">
        <v>58</v>
      </c>
      <c r="T1576" s="89" t="s">
        <v>2029</v>
      </c>
      <c r="V1576" s="138" t="s">
        <v>70</v>
      </c>
      <c r="W1576" s="139" t="s">
        <v>2088</v>
      </c>
      <c r="Y1576" s="138" t="s">
        <v>90</v>
      </c>
      <c r="Z1576" s="137">
        <v>165</v>
      </c>
      <c r="AA1576" s="139">
        <v>100</v>
      </c>
    </row>
    <row r="1577" spans="1:27">
      <c r="A1577" s="216"/>
      <c r="B1577" s="217"/>
      <c r="F1577" s="88" t="s">
        <v>4</v>
      </c>
      <c r="G1577" s="112" t="s">
        <v>894</v>
      </c>
      <c r="I1577" s="88" t="s">
        <v>25</v>
      </c>
      <c r="J1577" s="80">
        <v>6</v>
      </c>
      <c r="K1577" s="89">
        <v>95</v>
      </c>
      <c r="M1577" s="88" t="s">
        <v>32</v>
      </c>
      <c r="N1577" s="72" t="s">
        <v>33</v>
      </c>
      <c r="O1577" s="72" t="s">
        <v>34</v>
      </c>
      <c r="P1577" s="72" t="s">
        <v>35</v>
      </c>
      <c r="Q1577" s="89" t="s">
        <v>2869</v>
      </c>
      <c r="S1577" s="88" t="s">
        <v>60</v>
      </c>
      <c r="T1577" s="89" t="s">
        <v>3010</v>
      </c>
      <c r="V1577" s="135" t="s">
        <v>73</v>
      </c>
      <c r="W1577" s="136" t="s">
        <v>2687</v>
      </c>
      <c r="Y1577" s="88" t="s">
        <v>91</v>
      </c>
      <c r="Z1577" s="72">
        <v>95</v>
      </c>
      <c r="AA1577" s="89">
        <v>130</v>
      </c>
    </row>
    <row r="1578" spans="1:27">
      <c r="A1578" s="216"/>
      <c r="B1578" s="217"/>
      <c r="F1578" s="88" t="s">
        <v>6</v>
      </c>
      <c r="G1578" s="112" t="s">
        <v>1484</v>
      </c>
      <c r="I1578" s="90" t="s">
        <v>26</v>
      </c>
      <c r="J1578" s="91"/>
      <c r="K1578" s="92">
        <v>260</v>
      </c>
      <c r="M1578" s="88" t="s">
        <v>37</v>
      </c>
      <c r="N1578" s="72" t="s">
        <v>33</v>
      </c>
      <c r="O1578" s="72" t="s">
        <v>34</v>
      </c>
      <c r="P1578" s="72" t="s">
        <v>35</v>
      </c>
      <c r="Q1578" s="89" t="s">
        <v>1778</v>
      </c>
      <c r="S1578" s="88" t="s">
        <v>62</v>
      </c>
      <c r="T1578" s="89" t="s">
        <v>2854</v>
      </c>
      <c r="V1578" s="88" t="s">
        <v>76</v>
      </c>
      <c r="W1578" s="89" t="s">
        <v>3011</v>
      </c>
      <c r="Y1578" s="88" t="s">
        <v>26</v>
      </c>
      <c r="Z1578" s="72">
        <v>260</v>
      </c>
      <c r="AA1578" s="89">
        <v>230</v>
      </c>
    </row>
    <row r="1579" spans="1:27">
      <c r="A1579" s="216"/>
      <c r="B1579" s="217"/>
      <c r="F1579" s="88" t="s">
        <v>8</v>
      </c>
      <c r="G1579" s="112" t="s">
        <v>2510</v>
      </c>
      <c r="M1579" s="88" t="s">
        <v>1553</v>
      </c>
      <c r="N1579" s="72" t="s">
        <v>33</v>
      </c>
      <c r="O1579" s="72" t="s">
        <v>43</v>
      </c>
      <c r="P1579" s="72" t="s">
        <v>33</v>
      </c>
      <c r="Q1579" s="89" t="s">
        <v>1811</v>
      </c>
      <c r="S1579" s="119" t="s">
        <v>64</v>
      </c>
      <c r="T1579" s="120" t="s">
        <v>2946</v>
      </c>
      <c r="V1579" s="88" t="s">
        <v>79</v>
      </c>
      <c r="W1579" s="89" t="s">
        <v>1584</v>
      </c>
      <c r="Y1579" s="90" t="s">
        <v>92</v>
      </c>
      <c r="Z1579" s="91"/>
      <c r="AA1579" s="122">
        <v>0.12</v>
      </c>
    </row>
    <row r="1580" spans="1:27">
      <c r="A1580" s="216"/>
      <c r="B1580" s="217"/>
      <c r="F1580" s="88" t="s">
        <v>10</v>
      </c>
      <c r="G1580" s="112" t="s">
        <v>12</v>
      </c>
      <c r="M1580" s="88" t="s">
        <v>42</v>
      </c>
      <c r="N1580" s="72" t="s">
        <v>33</v>
      </c>
      <c r="O1580" s="72" t="s">
        <v>34</v>
      </c>
      <c r="P1580" s="72" t="s">
        <v>35</v>
      </c>
      <c r="Q1580" s="89" t="s">
        <v>2837</v>
      </c>
      <c r="S1580" s="90" t="s">
        <v>66</v>
      </c>
      <c r="T1580" s="133" t="s">
        <v>2859</v>
      </c>
      <c r="V1580" s="90" t="s">
        <v>82</v>
      </c>
      <c r="W1580" s="92" t="s">
        <v>2516</v>
      </c>
    </row>
    <row r="1581" spans="1:27">
      <c r="A1581" s="216"/>
      <c r="B1581" s="217"/>
      <c r="F1581" s="88" t="s">
        <v>13</v>
      </c>
      <c r="G1581" s="201" t="s">
        <v>2383</v>
      </c>
      <c r="M1581" s="88" t="s">
        <v>3012</v>
      </c>
      <c r="N1581" s="72" t="s">
        <v>33</v>
      </c>
      <c r="O1581" s="72" t="s">
        <v>43</v>
      </c>
      <c r="P1581" s="72" t="s">
        <v>33</v>
      </c>
      <c r="Q1581" s="89" t="s">
        <v>2301</v>
      </c>
    </row>
    <row r="1582" spans="1:27">
      <c r="A1582" s="216"/>
      <c r="B1582" s="217"/>
      <c r="F1582" s="88" t="s">
        <v>15</v>
      </c>
      <c r="G1582" s="112" t="s">
        <v>3013</v>
      </c>
      <c r="M1582" s="88" t="s">
        <v>1972</v>
      </c>
      <c r="N1582" s="72" t="s">
        <v>35</v>
      </c>
      <c r="O1582" s="72" t="s">
        <v>52</v>
      </c>
      <c r="P1582" s="72" t="s">
        <v>35</v>
      </c>
      <c r="Q1582" s="89" t="s">
        <v>3014</v>
      </c>
    </row>
    <row r="1583" spans="1:27">
      <c r="A1583" s="216"/>
      <c r="B1583" s="217"/>
      <c r="F1583" s="119" t="s">
        <v>17</v>
      </c>
      <c r="G1583" s="144">
        <v>46063</v>
      </c>
      <c r="M1583" s="88" t="s">
        <v>1679</v>
      </c>
      <c r="N1583" s="72" t="s">
        <v>35</v>
      </c>
      <c r="O1583" s="72" t="s">
        <v>52</v>
      </c>
      <c r="P1583" s="72" t="s">
        <v>35</v>
      </c>
      <c r="Q1583" s="89" t="s">
        <v>2763</v>
      </c>
    </row>
    <row r="1584" spans="1:27">
      <c r="A1584" s="218"/>
      <c r="B1584" s="219"/>
      <c r="F1584" s="90" t="s">
        <v>18</v>
      </c>
      <c r="G1584" s="114" t="s">
        <v>19</v>
      </c>
      <c r="M1584" s="119" t="s">
        <v>3015</v>
      </c>
      <c r="N1584" s="93" t="s">
        <v>35</v>
      </c>
      <c r="O1584" s="93" t="s">
        <v>52</v>
      </c>
      <c r="P1584" s="93" t="s">
        <v>35</v>
      </c>
      <c r="Q1584" s="120" t="s">
        <v>2746</v>
      </c>
    </row>
    <row r="1585" spans="1:27">
      <c r="M1585" s="88" t="s">
        <v>2545</v>
      </c>
      <c r="N1585" s="72" t="s">
        <v>35</v>
      </c>
      <c r="O1585" s="72" t="s">
        <v>52</v>
      </c>
      <c r="P1585" s="72" t="s">
        <v>35</v>
      </c>
      <c r="Q1585" s="89" t="s">
        <v>2963</v>
      </c>
    </row>
    <row r="1586" spans="1:27">
      <c r="M1586" s="88" t="s">
        <v>1975</v>
      </c>
      <c r="N1586" s="72" t="s">
        <v>35</v>
      </c>
      <c r="O1586" s="72" t="s">
        <v>52</v>
      </c>
      <c r="P1586" s="72" t="s">
        <v>35</v>
      </c>
      <c r="Q1586" s="89" t="s">
        <v>2866</v>
      </c>
    </row>
    <row r="1587" spans="1:27">
      <c r="M1587" s="90" t="s">
        <v>1626</v>
      </c>
      <c r="N1587" s="91" t="s">
        <v>35</v>
      </c>
      <c r="O1587" s="91" t="s">
        <v>52</v>
      </c>
      <c r="P1587" s="91" t="s">
        <v>35</v>
      </c>
      <c r="Q1587" s="92" t="s">
        <v>2898</v>
      </c>
    </row>
    <row r="1588" spans="1:27">
      <c r="M1588" s="130"/>
      <c r="N1588" s="130"/>
      <c r="O1588" s="130"/>
      <c r="P1588" s="130"/>
      <c r="Q1588" s="130"/>
    </row>
    <row r="1593" spans="1:27">
      <c r="A1593" s="214" t="s">
        <v>3016</v>
      </c>
      <c r="B1593" s="215"/>
      <c r="F1593" s="85" t="s">
        <v>0</v>
      </c>
      <c r="G1593" s="118" t="s">
        <v>1</v>
      </c>
      <c r="I1593" s="85" t="s">
        <v>20</v>
      </c>
      <c r="J1593" s="86" t="s">
        <v>21</v>
      </c>
      <c r="K1593" s="87" t="s">
        <v>23</v>
      </c>
      <c r="M1593" s="85" t="s">
        <v>27</v>
      </c>
      <c r="N1593" s="86" t="s">
        <v>28</v>
      </c>
      <c r="O1593" s="86" t="s">
        <v>29</v>
      </c>
      <c r="P1593" s="86" t="s">
        <v>30</v>
      </c>
      <c r="Q1593" s="87" t="s">
        <v>31</v>
      </c>
      <c r="S1593" s="85" t="s">
        <v>56</v>
      </c>
      <c r="T1593" s="87" t="s">
        <v>57</v>
      </c>
      <c r="U1593" s="79"/>
      <c r="V1593" s="85" t="s">
        <v>68</v>
      </c>
      <c r="W1593" s="87" t="s">
        <v>69</v>
      </c>
      <c r="Y1593" s="85" t="s">
        <v>85</v>
      </c>
      <c r="Z1593" s="86" t="s">
        <v>88</v>
      </c>
      <c r="AA1593" s="87" t="s">
        <v>89</v>
      </c>
    </row>
    <row r="1594" spans="1:27">
      <c r="A1594" s="216"/>
      <c r="B1594" s="217"/>
      <c r="F1594" s="88" t="s">
        <v>2</v>
      </c>
      <c r="G1594" s="134" t="s">
        <v>3016</v>
      </c>
      <c r="I1594" s="88" t="s">
        <v>24</v>
      </c>
      <c r="J1594" s="72">
        <v>6</v>
      </c>
      <c r="K1594" s="89">
        <v>160</v>
      </c>
      <c r="M1594" s="88" t="s">
        <v>3017</v>
      </c>
      <c r="N1594" s="72" t="s">
        <v>33</v>
      </c>
      <c r="O1594" s="72" t="s">
        <v>43</v>
      </c>
      <c r="P1594" s="72" t="s">
        <v>33</v>
      </c>
      <c r="Q1594" s="89" t="s">
        <v>1805</v>
      </c>
      <c r="S1594" s="88" t="s">
        <v>58</v>
      </c>
      <c r="T1594" s="89" t="s">
        <v>2794</v>
      </c>
      <c r="V1594" s="138" t="s">
        <v>70</v>
      </c>
      <c r="W1594" s="139" t="s">
        <v>3018</v>
      </c>
      <c r="Y1594" s="138" t="s">
        <v>90</v>
      </c>
      <c r="Z1594" s="137">
        <v>160</v>
      </c>
      <c r="AA1594" s="139">
        <v>100</v>
      </c>
    </row>
    <row r="1595" spans="1:27">
      <c r="A1595" s="216"/>
      <c r="B1595" s="217"/>
      <c r="F1595" s="88" t="s">
        <v>4</v>
      </c>
      <c r="G1595" s="112" t="s">
        <v>894</v>
      </c>
      <c r="I1595" s="88" t="s">
        <v>25</v>
      </c>
      <c r="J1595" s="80">
        <v>5</v>
      </c>
      <c r="K1595" s="89">
        <v>90</v>
      </c>
      <c r="M1595" s="88" t="s">
        <v>32</v>
      </c>
      <c r="N1595" s="72" t="s">
        <v>33</v>
      </c>
      <c r="O1595" s="72" t="s">
        <v>34</v>
      </c>
      <c r="P1595" s="72" t="s">
        <v>35</v>
      </c>
      <c r="Q1595" s="89" t="s">
        <v>3019</v>
      </c>
      <c r="S1595" s="88" t="s">
        <v>60</v>
      </c>
      <c r="T1595" s="89" t="s">
        <v>2204</v>
      </c>
      <c r="V1595" s="135" t="s">
        <v>73</v>
      </c>
      <c r="W1595" s="136" t="s">
        <v>3020</v>
      </c>
      <c r="Y1595" s="88" t="s">
        <v>91</v>
      </c>
      <c r="Z1595" s="72">
        <v>90</v>
      </c>
      <c r="AA1595" s="89">
        <v>125</v>
      </c>
    </row>
    <row r="1596" spans="1:27">
      <c r="A1596" s="216"/>
      <c r="B1596" s="217"/>
      <c r="F1596" s="88" t="s">
        <v>6</v>
      </c>
      <c r="G1596" s="112" t="s">
        <v>1484</v>
      </c>
      <c r="I1596" s="90" t="s">
        <v>26</v>
      </c>
      <c r="J1596" s="91"/>
      <c r="K1596" s="92">
        <v>250</v>
      </c>
      <c r="M1596" s="88" t="s">
        <v>37</v>
      </c>
      <c r="N1596" s="72" t="s">
        <v>33</v>
      </c>
      <c r="O1596" s="72" t="s">
        <v>34</v>
      </c>
      <c r="P1596" s="72" t="s">
        <v>35</v>
      </c>
      <c r="Q1596" s="89" t="s">
        <v>1665</v>
      </c>
      <c r="S1596" s="88" t="s">
        <v>62</v>
      </c>
      <c r="T1596" s="89" t="s">
        <v>2984</v>
      </c>
      <c r="V1596" s="88" t="s">
        <v>76</v>
      </c>
      <c r="W1596" s="89" t="s">
        <v>3021</v>
      </c>
      <c r="Y1596" s="88" t="s">
        <v>26</v>
      </c>
      <c r="Z1596" s="72">
        <v>250</v>
      </c>
      <c r="AA1596" s="89">
        <v>225</v>
      </c>
    </row>
    <row r="1597" spans="1:27">
      <c r="A1597" s="216"/>
      <c r="B1597" s="217"/>
      <c r="F1597" s="88" t="s">
        <v>8</v>
      </c>
      <c r="G1597" s="112" t="s">
        <v>911</v>
      </c>
      <c r="M1597" s="88" t="s">
        <v>1135</v>
      </c>
      <c r="N1597" s="72" t="s">
        <v>33</v>
      </c>
      <c r="O1597" s="72" t="s">
        <v>43</v>
      </c>
      <c r="P1597" s="72" t="s">
        <v>33</v>
      </c>
      <c r="Q1597" s="89" t="s">
        <v>2691</v>
      </c>
      <c r="S1597" s="119" t="s">
        <v>64</v>
      </c>
      <c r="T1597" s="120" t="s">
        <v>3022</v>
      </c>
      <c r="V1597" s="88" t="s">
        <v>79</v>
      </c>
      <c r="W1597" s="89" t="s">
        <v>1584</v>
      </c>
      <c r="Y1597" s="90" t="s">
        <v>92</v>
      </c>
      <c r="Z1597" s="91"/>
      <c r="AA1597" s="122">
        <v>0.1</v>
      </c>
    </row>
    <row r="1598" spans="1:27">
      <c r="A1598" s="216"/>
      <c r="B1598" s="217"/>
      <c r="F1598" s="88" t="s">
        <v>10</v>
      </c>
      <c r="G1598" s="112" t="s">
        <v>12</v>
      </c>
      <c r="M1598" s="88" t="s">
        <v>42</v>
      </c>
      <c r="N1598" s="72" t="s">
        <v>33</v>
      </c>
      <c r="O1598" s="72" t="s">
        <v>34</v>
      </c>
      <c r="P1598" s="72" t="s">
        <v>35</v>
      </c>
      <c r="Q1598" s="89" t="s">
        <v>2837</v>
      </c>
      <c r="S1598" s="90" t="s">
        <v>66</v>
      </c>
      <c r="T1598" s="133" t="s">
        <v>1988</v>
      </c>
      <c r="V1598" s="90" t="s">
        <v>82</v>
      </c>
      <c r="W1598" s="92" t="s">
        <v>2988</v>
      </c>
    </row>
    <row r="1599" spans="1:27">
      <c r="A1599" s="216"/>
      <c r="B1599" s="217"/>
      <c r="F1599" s="88" t="s">
        <v>13</v>
      </c>
      <c r="G1599" s="201" t="s">
        <v>2487</v>
      </c>
      <c r="M1599" s="88" t="s">
        <v>3023</v>
      </c>
      <c r="N1599" s="72" t="s">
        <v>33</v>
      </c>
      <c r="O1599" s="72" t="s">
        <v>43</v>
      </c>
      <c r="P1599" s="72" t="s">
        <v>33</v>
      </c>
      <c r="Q1599" s="89" t="s">
        <v>2301</v>
      </c>
    </row>
    <row r="1600" spans="1:27">
      <c r="A1600" s="216"/>
      <c r="B1600" s="217"/>
      <c r="F1600" s="88" t="s">
        <v>15</v>
      </c>
      <c r="G1600" s="112" t="s">
        <v>3024</v>
      </c>
      <c r="M1600" s="88" t="s">
        <v>1972</v>
      </c>
      <c r="N1600" s="72" t="s">
        <v>35</v>
      </c>
      <c r="O1600" s="72" t="s">
        <v>52</v>
      </c>
      <c r="P1600" s="72" t="s">
        <v>35</v>
      </c>
      <c r="Q1600" s="89" t="s">
        <v>2719</v>
      </c>
    </row>
    <row r="1601" spans="1:27">
      <c r="A1601" s="216"/>
      <c r="B1601" s="217"/>
      <c r="F1601" s="119" t="s">
        <v>17</v>
      </c>
      <c r="G1601" s="144">
        <v>46040</v>
      </c>
      <c r="M1601" s="88" t="s">
        <v>1794</v>
      </c>
      <c r="N1601" s="72" t="s">
        <v>35</v>
      </c>
      <c r="O1601" s="72" t="s">
        <v>52</v>
      </c>
      <c r="P1601" s="72" t="s">
        <v>35</v>
      </c>
      <c r="Q1601" s="89" t="s">
        <v>2845</v>
      </c>
    </row>
    <row r="1602" spans="1:27">
      <c r="A1602" s="218"/>
      <c r="B1602" s="219"/>
      <c r="F1602" s="90" t="s">
        <v>18</v>
      </c>
      <c r="G1602" s="114" t="s">
        <v>19</v>
      </c>
      <c r="M1602" s="119" t="s">
        <v>2543</v>
      </c>
      <c r="N1602" s="93" t="s">
        <v>35</v>
      </c>
      <c r="O1602" s="93" t="s">
        <v>52</v>
      </c>
      <c r="P1602" s="93" t="s">
        <v>35</v>
      </c>
      <c r="Q1602" s="120" t="s">
        <v>3025</v>
      </c>
    </row>
    <row r="1603" spans="1:27">
      <c r="M1603" s="88" t="s">
        <v>2545</v>
      </c>
      <c r="N1603" s="72" t="s">
        <v>35</v>
      </c>
      <c r="O1603" s="72" t="s">
        <v>52</v>
      </c>
      <c r="P1603" s="72" t="s">
        <v>35</v>
      </c>
      <c r="Q1603" s="89" t="s">
        <v>2882</v>
      </c>
    </row>
    <row r="1604" spans="1:27">
      <c r="M1604" s="90" t="s">
        <v>1975</v>
      </c>
      <c r="N1604" s="91" t="s">
        <v>35</v>
      </c>
      <c r="O1604" s="91" t="s">
        <v>52</v>
      </c>
      <c r="P1604" s="91" t="s">
        <v>35</v>
      </c>
      <c r="Q1604" s="92" t="s">
        <v>2866</v>
      </c>
    </row>
    <row r="1605" spans="1:27">
      <c r="M1605" s="130"/>
      <c r="N1605" s="130"/>
      <c r="O1605" s="130"/>
      <c r="P1605" s="130"/>
      <c r="Q1605" s="130"/>
    </row>
    <row r="1611" spans="1:27">
      <c r="A1611" s="214" t="s">
        <v>506</v>
      </c>
      <c r="B1611" s="215"/>
      <c r="F1611" s="85" t="s">
        <v>0</v>
      </c>
      <c r="G1611" s="118" t="s">
        <v>1</v>
      </c>
      <c r="I1611" s="85" t="s">
        <v>20</v>
      </c>
      <c r="J1611" s="86" t="s">
        <v>21</v>
      </c>
      <c r="K1611" s="87" t="s">
        <v>23</v>
      </c>
      <c r="M1611" s="85" t="s">
        <v>27</v>
      </c>
      <c r="N1611" s="86" t="s">
        <v>28</v>
      </c>
      <c r="O1611" s="86" t="s">
        <v>29</v>
      </c>
      <c r="P1611" s="86" t="s">
        <v>30</v>
      </c>
      <c r="Q1611" s="87" t="s">
        <v>31</v>
      </c>
      <c r="S1611" s="85" t="s">
        <v>56</v>
      </c>
      <c r="T1611" s="87" t="s">
        <v>57</v>
      </c>
      <c r="U1611" s="79"/>
      <c r="V1611" s="85" t="s">
        <v>68</v>
      </c>
      <c r="W1611" s="87" t="s">
        <v>69</v>
      </c>
      <c r="Y1611" s="85" t="s">
        <v>85</v>
      </c>
      <c r="Z1611" s="86" t="s">
        <v>88</v>
      </c>
      <c r="AA1611" s="87" t="s">
        <v>89</v>
      </c>
    </row>
    <row r="1612" spans="1:27">
      <c r="A1612" s="216"/>
      <c r="B1612" s="217"/>
      <c r="F1612" s="88" t="s">
        <v>2</v>
      </c>
      <c r="G1612" s="134" t="s">
        <v>506</v>
      </c>
      <c r="I1612" s="88" t="s">
        <v>24</v>
      </c>
      <c r="J1612" s="72">
        <v>7</v>
      </c>
      <c r="K1612" s="89">
        <v>195</v>
      </c>
      <c r="M1612" s="88" t="s">
        <v>3026</v>
      </c>
      <c r="N1612" s="72" t="s">
        <v>33</v>
      </c>
      <c r="O1612" s="72" t="s">
        <v>34</v>
      </c>
      <c r="P1612" s="72" t="s">
        <v>35</v>
      </c>
      <c r="Q1612" s="89" t="s">
        <v>2793</v>
      </c>
      <c r="S1612" s="88" t="s">
        <v>58</v>
      </c>
      <c r="T1612" s="89" t="s">
        <v>2811</v>
      </c>
      <c r="V1612" s="138" t="s">
        <v>70</v>
      </c>
      <c r="W1612" s="139" t="s">
        <v>3027</v>
      </c>
      <c r="Y1612" s="138" t="s">
        <v>90</v>
      </c>
      <c r="Z1612" s="137">
        <v>195</v>
      </c>
      <c r="AA1612" s="139">
        <v>120</v>
      </c>
    </row>
    <row r="1613" spans="1:27">
      <c r="A1613" s="216"/>
      <c r="B1613" s="217"/>
      <c r="F1613" s="88" t="s">
        <v>4</v>
      </c>
      <c r="G1613" s="112" t="s">
        <v>894</v>
      </c>
      <c r="I1613" s="88" t="s">
        <v>25</v>
      </c>
      <c r="J1613" s="80">
        <v>5</v>
      </c>
      <c r="K1613" s="89">
        <v>105</v>
      </c>
      <c r="M1613" s="88" t="s">
        <v>1517</v>
      </c>
      <c r="N1613" s="72" t="s">
        <v>33</v>
      </c>
      <c r="O1613" s="72" t="s">
        <v>43</v>
      </c>
      <c r="P1613" s="72" t="s">
        <v>33</v>
      </c>
      <c r="Q1613" s="89" t="s">
        <v>1984</v>
      </c>
      <c r="S1613" s="88" t="s">
        <v>60</v>
      </c>
      <c r="T1613" s="89" t="s">
        <v>3028</v>
      </c>
      <c r="V1613" s="135" t="s">
        <v>73</v>
      </c>
      <c r="W1613" s="136" t="s">
        <v>3029</v>
      </c>
      <c r="Y1613" s="88" t="s">
        <v>91</v>
      </c>
      <c r="Z1613" s="72">
        <v>105</v>
      </c>
      <c r="AA1613" s="89">
        <v>150</v>
      </c>
    </row>
    <row r="1614" spans="1:27">
      <c r="A1614" s="216"/>
      <c r="B1614" s="217"/>
      <c r="F1614" s="88" t="s">
        <v>6</v>
      </c>
      <c r="G1614" s="112" t="s">
        <v>895</v>
      </c>
      <c r="I1614" s="90" t="s">
        <v>26</v>
      </c>
      <c r="J1614" s="91"/>
      <c r="K1614" s="92">
        <v>300</v>
      </c>
      <c r="M1614" s="88" t="s">
        <v>37</v>
      </c>
      <c r="N1614" s="72" t="s">
        <v>33</v>
      </c>
      <c r="O1614" s="72" t="s">
        <v>34</v>
      </c>
      <c r="P1614" s="72" t="s">
        <v>35</v>
      </c>
      <c r="Q1614" s="89" t="s">
        <v>1778</v>
      </c>
      <c r="S1614" s="88" t="s">
        <v>62</v>
      </c>
      <c r="T1614" s="89" t="s">
        <v>2508</v>
      </c>
      <c r="V1614" s="88" t="s">
        <v>76</v>
      </c>
      <c r="W1614" s="89" t="s">
        <v>3030</v>
      </c>
      <c r="Y1614" s="88" t="s">
        <v>26</v>
      </c>
      <c r="Z1614" s="72">
        <v>300</v>
      </c>
      <c r="AA1614" s="89">
        <v>270</v>
      </c>
    </row>
    <row r="1615" spans="1:27">
      <c r="A1615" s="216"/>
      <c r="B1615" s="217"/>
      <c r="F1615" s="88" t="s">
        <v>8</v>
      </c>
      <c r="G1615" s="112" t="s">
        <v>2801</v>
      </c>
      <c r="M1615" s="88" t="s">
        <v>1135</v>
      </c>
      <c r="N1615" s="72" t="s">
        <v>33</v>
      </c>
      <c r="O1615" s="72" t="s">
        <v>43</v>
      </c>
      <c r="P1615" s="72" t="s">
        <v>33</v>
      </c>
      <c r="Q1615" s="89" t="s">
        <v>1811</v>
      </c>
      <c r="S1615" s="119" t="s">
        <v>64</v>
      </c>
      <c r="T1615" s="120" t="s">
        <v>2958</v>
      </c>
      <c r="V1615" s="88" t="s">
        <v>79</v>
      </c>
      <c r="W1615" s="89" t="s">
        <v>945</v>
      </c>
      <c r="Y1615" s="90" t="s">
        <v>92</v>
      </c>
      <c r="Z1615" s="91"/>
      <c r="AA1615" s="122">
        <v>0.1</v>
      </c>
    </row>
    <row r="1616" spans="1:27">
      <c r="A1616" s="216"/>
      <c r="B1616" s="217"/>
      <c r="F1616" s="88" t="s">
        <v>10</v>
      </c>
      <c r="G1616" s="112" t="s">
        <v>3031</v>
      </c>
      <c r="M1616" s="88" t="s">
        <v>42</v>
      </c>
      <c r="N1616" s="72" t="s">
        <v>33</v>
      </c>
      <c r="O1616" s="72" t="s">
        <v>34</v>
      </c>
      <c r="P1616" s="72" t="s">
        <v>35</v>
      </c>
      <c r="Q1616" s="89" t="s">
        <v>2837</v>
      </c>
      <c r="S1616" s="90" t="s">
        <v>66</v>
      </c>
      <c r="T1616" s="133" t="s">
        <v>1971</v>
      </c>
      <c r="V1616" s="90" t="s">
        <v>82</v>
      </c>
      <c r="W1616" s="92" t="s">
        <v>3032</v>
      </c>
    </row>
    <row r="1617" spans="1:27">
      <c r="A1617" s="216"/>
      <c r="B1617" s="217"/>
      <c r="F1617" s="88" t="s">
        <v>13</v>
      </c>
      <c r="G1617" s="201" t="s">
        <v>3033</v>
      </c>
      <c r="M1617" s="88" t="s">
        <v>3034</v>
      </c>
      <c r="N1617" s="72" t="s">
        <v>33</v>
      </c>
      <c r="O1617" s="72" t="s">
        <v>43</v>
      </c>
      <c r="P1617" s="72" t="s">
        <v>33</v>
      </c>
      <c r="Q1617" s="89" t="s">
        <v>2301</v>
      </c>
    </row>
    <row r="1618" spans="1:27">
      <c r="A1618" s="216"/>
      <c r="B1618" s="217"/>
      <c r="F1618" s="88" t="s">
        <v>15</v>
      </c>
      <c r="G1618" s="112" t="s">
        <v>3035</v>
      </c>
      <c r="M1618" s="88" t="s">
        <v>3036</v>
      </c>
      <c r="N1618" s="72" t="s">
        <v>33</v>
      </c>
      <c r="O1618" s="72" t="s">
        <v>34</v>
      </c>
      <c r="P1618" s="72" t="s">
        <v>35</v>
      </c>
      <c r="Q1618" s="89" t="s">
        <v>2818</v>
      </c>
    </row>
    <row r="1619" spans="1:27">
      <c r="A1619" s="216"/>
      <c r="B1619" s="217"/>
      <c r="F1619" s="119" t="s">
        <v>17</v>
      </c>
      <c r="G1619" s="144">
        <v>46058</v>
      </c>
      <c r="M1619" s="88" t="s">
        <v>3037</v>
      </c>
      <c r="N1619" s="72" t="s">
        <v>35</v>
      </c>
      <c r="O1619" s="72" t="s">
        <v>52</v>
      </c>
      <c r="P1619" s="72" t="s">
        <v>35</v>
      </c>
      <c r="Q1619" s="89" t="s">
        <v>2790</v>
      </c>
    </row>
    <row r="1620" spans="1:27">
      <c r="A1620" s="218"/>
      <c r="B1620" s="219"/>
      <c r="F1620" s="90" t="s">
        <v>18</v>
      </c>
      <c r="G1620" s="114" t="s">
        <v>19</v>
      </c>
      <c r="M1620" s="88" t="s">
        <v>1679</v>
      </c>
      <c r="N1620" s="72" t="s">
        <v>35</v>
      </c>
      <c r="O1620" s="72" t="s">
        <v>52</v>
      </c>
      <c r="P1620" s="72" t="s">
        <v>35</v>
      </c>
      <c r="Q1620" s="89" t="s">
        <v>2763</v>
      </c>
    </row>
    <row r="1621" spans="1:27">
      <c r="M1621" s="88" t="s">
        <v>2543</v>
      </c>
      <c r="N1621" s="72" t="s">
        <v>35</v>
      </c>
      <c r="O1621" s="72" t="s">
        <v>52</v>
      </c>
      <c r="P1621" s="72" t="s">
        <v>35</v>
      </c>
      <c r="Q1621" s="89" t="s">
        <v>2041</v>
      </c>
    </row>
    <row r="1622" spans="1:27">
      <c r="M1622" s="88" t="s">
        <v>2545</v>
      </c>
      <c r="N1622" s="72" t="s">
        <v>35</v>
      </c>
      <c r="O1622" s="72" t="s">
        <v>52</v>
      </c>
      <c r="P1622" s="72" t="s">
        <v>35</v>
      </c>
      <c r="Q1622" s="89" t="s">
        <v>2882</v>
      </c>
    </row>
    <row r="1623" spans="1:27">
      <c r="M1623" s="90" t="s">
        <v>1975</v>
      </c>
      <c r="N1623" s="91" t="s">
        <v>35</v>
      </c>
      <c r="O1623" s="91" t="s">
        <v>52</v>
      </c>
      <c r="P1623" s="91" t="s">
        <v>35</v>
      </c>
      <c r="Q1623" s="92" t="s">
        <v>2866</v>
      </c>
    </row>
    <row r="1629" spans="1:27">
      <c r="A1629" s="214" t="s">
        <v>3038</v>
      </c>
      <c r="B1629" s="215"/>
      <c r="F1629" s="85" t="s">
        <v>0</v>
      </c>
      <c r="G1629" s="118" t="s">
        <v>1</v>
      </c>
      <c r="I1629" s="85" t="s">
        <v>20</v>
      </c>
      <c r="J1629" s="86" t="s">
        <v>21</v>
      </c>
      <c r="K1629" s="87" t="s">
        <v>23</v>
      </c>
      <c r="M1629" s="85" t="s">
        <v>27</v>
      </c>
      <c r="N1629" s="86" t="s">
        <v>28</v>
      </c>
      <c r="O1629" s="86" t="s">
        <v>29</v>
      </c>
      <c r="P1629" s="86" t="s">
        <v>30</v>
      </c>
      <c r="Q1629" s="87" t="s">
        <v>31</v>
      </c>
      <c r="S1629" s="85" t="s">
        <v>56</v>
      </c>
      <c r="T1629" s="87" t="s">
        <v>57</v>
      </c>
      <c r="U1629" s="79"/>
      <c r="V1629" s="85" t="s">
        <v>68</v>
      </c>
      <c r="W1629" s="87" t="s">
        <v>69</v>
      </c>
      <c r="Y1629" s="85" t="s">
        <v>85</v>
      </c>
      <c r="Z1629" s="86" t="s">
        <v>88</v>
      </c>
      <c r="AA1629" s="87" t="s">
        <v>89</v>
      </c>
    </row>
    <row r="1630" spans="1:27">
      <c r="A1630" s="216"/>
      <c r="B1630" s="217"/>
      <c r="F1630" s="88" t="s">
        <v>2</v>
      </c>
      <c r="G1630" s="134" t="s">
        <v>3039</v>
      </c>
      <c r="I1630" s="88" t="s">
        <v>24</v>
      </c>
      <c r="J1630" s="72">
        <v>8</v>
      </c>
      <c r="K1630" s="89">
        <v>215</v>
      </c>
      <c r="M1630" s="88" t="s">
        <v>2574</v>
      </c>
      <c r="N1630" s="72" t="s">
        <v>33</v>
      </c>
      <c r="O1630" s="72" t="s">
        <v>34</v>
      </c>
      <c r="P1630" s="72" t="s">
        <v>35</v>
      </c>
      <c r="Q1630" s="89" t="s">
        <v>2793</v>
      </c>
      <c r="S1630" s="88" t="s">
        <v>58</v>
      </c>
      <c r="T1630" s="89" t="s">
        <v>2029</v>
      </c>
      <c r="V1630" s="138" t="s">
        <v>70</v>
      </c>
      <c r="W1630" s="139" t="s">
        <v>2795</v>
      </c>
      <c r="Y1630" s="138" t="s">
        <v>90</v>
      </c>
      <c r="Z1630" s="137">
        <v>215</v>
      </c>
      <c r="AA1630" s="139">
        <v>135</v>
      </c>
    </row>
    <row r="1631" spans="1:27">
      <c r="A1631" s="216"/>
      <c r="B1631" s="217"/>
      <c r="F1631" s="88" t="s">
        <v>4</v>
      </c>
      <c r="G1631" s="112" t="s">
        <v>894</v>
      </c>
      <c r="I1631" s="88" t="s">
        <v>25</v>
      </c>
      <c r="J1631" s="80">
        <v>5</v>
      </c>
      <c r="K1631" s="89">
        <v>115</v>
      </c>
      <c r="M1631" s="88" t="s">
        <v>1517</v>
      </c>
      <c r="N1631" s="72" t="s">
        <v>33</v>
      </c>
      <c r="O1631" s="72" t="s">
        <v>43</v>
      </c>
      <c r="P1631" s="72" t="s">
        <v>33</v>
      </c>
      <c r="Q1631" s="89" t="s">
        <v>1964</v>
      </c>
      <c r="S1631" s="88" t="s">
        <v>60</v>
      </c>
      <c r="T1631" s="89" t="s">
        <v>3040</v>
      </c>
      <c r="V1631" s="135" t="s">
        <v>73</v>
      </c>
      <c r="W1631" s="136" t="s">
        <v>3041</v>
      </c>
      <c r="Y1631" s="88" t="s">
        <v>91</v>
      </c>
      <c r="Z1631" s="72">
        <v>115</v>
      </c>
      <c r="AA1631" s="89">
        <v>160</v>
      </c>
    </row>
    <row r="1632" spans="1:27">
      <c r="A1632" s="216"/>
      <c r="B1632" s="217"/>
      <c r="F1632" s="88" t="s">
        <v>6</v>
      </c>
      <c r="G1632" s="112" t="s">
        <v>1484</v>
      </c>
      <c r="I1632" s="90" t="s">
        <v>26</v>
      </c>
      <c r="J1632" s="91"/>
      <c r="K1632" s="92">
        <v>330</v>
      </c>
      <c r="M1632" s="88" t="s">
        <v>1841</v>
      </c>
      <c r="N1632" s="72" t="s">
        <v>33</v>
      </c>
      <c r="O1632" s="72" t="s">
        <v>43</v>
      </c>
      <c r="P1632" s="72" t="s">
        <v>33</v>
      </c>
      <c r="Q1632" s="89" t="s">
        <v>3042</v>
      </c>
      <c r="S1632" s="88" t="s">
        <v>62</v>
      </c>
      <c r="T1632" s="89" t="s">
        <v>2984</v>
      </c>
      <c r="V1632" s="88" t="s">
        <v>76</v>
      </c>
      <c r="W1632" s="89" t="s">
        <v>3043</v>
      </c>
      <c r="Y1632" s="88" t="s">
        <v>26</v>
      </c>
      <c r="Z1632" s="72">
        <v>330</v>
      </c>
      <c r="AA1632" s="89">
        <v>295</v>
      </c>
    </row>
    <row r="1633" spans="1:27">
      <c r="A1633" s="216"/>
      <c r="B1633" s="217"/>
      <c r="F1633" s="88" t="s">
        <v>8</v>
      </c>
      <c r="G1633" s="112" t="s">
        <v>1298</v>
      </c>
      <c r="M1633" s="88" t="s">
        <v>37</v>
      </c>
      <c r="N1633" s="72" t="s">
        <v>33</v>
      </c>
      <c r="O1633" s="72" t="s">
        <v>34</v>
      </c>
      <c r="P1633" s="72" t="s">
        <v>35</v>
      </c>
      <c r="Q1633" s="89" t="s">
        <v>1778</v>
      </c>
      <c r="S1633" s="119" t="s">
        <v>64</v>
      </c>
      <c r="T1633" s="120" t="s">
        <v>3044</v>
      </c>
      <c r="V1633" s="88" t="s">
        <v>79</v>
      </c>
      <c r="W1633" s="89" t="s">
        <v>1726</v>
      </c>
      <c r="Y1633" s="90" t="s">
        <v>92</v>
      </c>
      <c r="Z1633" s="91"/>
      <c r="AA1633" s="122">
        <v>0.11</v>
      </c>
    </row>
    <row r="1634" spans="1:27">
      <c r="A1634" s="216"/>
      <c r="B1634" s="217"/>
      <c r="F1634" s="88" t="s">
        <v>10</v>
      </c>
      <c r="G1634" s="112" t="s">
        <v>3045</v>
      </c>
      <c r="M1634" s="88" t="s">
        <v>42</v>
      </c>
      <c r="N1634" s="72" t="s">
        <v>33</v>
      </c>
      <c r="O1634" s="72" t="s">
        <v>34</v>
      </c>
      <c r="P1634" s="72" t="s">
        <v>35</v>
      </c>
      <c r="Q1634" s="89" t="s">
        <v>2837</v>
      </c>
      <c r="S1634" s="90" t="s">
        <v>66</v>
      </c>
      <c r="T1634" s="133" t="s">
        <v>1988</v>
      </c>
      <c r="V1634" s="90" t="s">
        <v>82</v>
      </c>
      <c r="W1634" s="92" t="s">
        <v>3046</v>
      </c>
    </row>
    <row r="1635" spans="1:27">
      <c r="A1635" s="216"/>
      <c r="B1635" s="217"/>
      <c r="F1635" s="88" t="s">
        <v>13</v>
      </c>
      <c r="G1635" s="112" t="s">
        <v>3047</v>
      </c>
      <c r="M1635" s="88" t="s">
        <v>49</v>
      </c>
      <c r="N1635" s="72" t="s">
        <v>33</v>
      </c>
      <c r="O1635" s="72" t="s">
        <v>43</v>
      </c>
      <c r="P1635" s="72" t="s">
        <v>33</v>
      </c>
      <c r="Q1635" s="89" t="s">
        <v>2301</v>
      </c>
    </row>
    <row r="1636" spans="1:27">
      <c r="A1636" s="216"/>
      <c r="B1636" s="217"/>
      <c r="F1636" s="88" t="s">
        <v>15</v>
      </c>
      <c r="G1636" s="112" t="s">
        <v>3048</v>
      </c>
      <c r="M1636" s="88" t="s">
        <v>1574</v>
      </c>
      <c r="N1636" s="72" t="s">
        <v>33</v>
      </c>
      <c r="O1636" s="72" t="s">
        <v>34</v>
      </c>
      <c r="P1636" s="72" t="s">
        <v>35</v>
      </c>
      <c r="Q1636" s="89" t="s">
        <v>2818</v>
      </c>
    </row>
    <row r="1637" spans="1:27">
      <c r="A1637" s="216"/>
      <c r="B1637" s="217"/>
      <c r="F1637" s="119" t="s">
        <v>17</v>
      </c>
      <c r="G1637" s="144">
        <v>46063</v>
      </c>
      <c r="M1637" s="88" t="s">
        <v>3049</v>
      </c>
      <c r="N1637" s="72" t="s">
        <v>33</v>
      </c>
      <c r="O1637" s="72" t="s">
        <v>43</v>
      </c>
      <c r="P1637" s="72" t="s">
        <v>33</v>
      </c>
      <c r="Q1637" s="89" t="s">
        <v>2780</v>
      </c>
    </row>
    <row r="1638" spans="1:27">
      <c r="A1638" s="218"/>
      <c r="B1638" s="219"/>
      <c r="F1638" s="90" t="s">
        <v>18</v>
      </c>
      <c r="G1638" s="114" t="s">
        <v>19</v>
      </c>
      <c r="M1638" s="88" t="s">
        <v>1972</v>
      </c>
      <c r="N1638" s="72" t="s">
        <v>35</v>
      </c>
      <c r="O1638" s="72" t="s">
        <v>52</v>
      </c>
      <c r="P1638" s="72" t="s">
        <v>35</v>
      </c>
      <c r="Q1638" s="89" t="s">
        <v>1627</v>
      </c>
    </row>
    <row r="1639" spans="1:27">
      <c r="M1639" s="88" t="s">
        <v>1679</v>
      </c>
      <c r="N1639" s="72" t="s">
        <v>35</v>
      </c>
      <c r="O1639" s="72" t="s">
        <v>52</v>
      </c>
      <c r="P1639" s="72" t="s">
        <v>35</v>
      </c>
      <c r="Q1639" s="89" t="s">
        <v>2763</v>
      </c>
    </row>
    <row r="1640" spans="1:27">
      <c r="M1640" s="88" t="s">
        <v>2059</v>
      </c>
      <c r="N1640" s="72" t="s">
        <v>35</v>
      </c>
      <c r="O1640" s="72" t="s">
        <v>52</v>
      </c>
      <c r="P1640" s="72" t="s">
        <v>35</v>
      </c>
      <c r="Q1640" s="89" t="s">
        <v>2041</v>
      </c>
    </row>
    <row r="1641" spans="1:27">
      <c r="M1641" s="88" t="s">
        <v>2545</v>
      </c>
      <c r="N1641" s="72" t="s">
        <v>35</v>
      </c>
      <c r="O1641" s="72" t="s">
        <v>52</v>
      </c>
      <c r="P1641" s="72" t="s">
        <v>35</v>
      </c>
      <c r="Q1641" s="89" t="s">
        <v>2963</v>
      </c>
    </row>
    <row r="1642" spans="1:27">
      <c r="M1642" s="90" t="s">
        <v>1975</v>
      </c>
      <c r="N1642" s="91" t="s">
        <v>35</v>
      </c>
      <c r="O1642" s="91" t="s">
        <v>52</v>
      </c>
      <c r="P1642" s="91" t="s">
        <v>35</v>
      </c>
      <c r="Q1642" s="92" t="s">
        <v>2866</v>
      </c>
    </row>
    <row r="1648" spans="1:27">
      <c r="A1648" s="214" t="s">
        <v>510</v>
      </c>
      <c r="B1648" s="215"/>
      <c r="F1648" s="85" t="s">
        <v>0</v>
      </c>
      <c r="G1648" s="118" t="s">
        <v>1</v>
      </c>
      <c r="I1648" s="85" t="s">
        <v>20</v>
      </c>
      <c r="J1648" s="86" t="s">
        <v>21</v>
      </c>
      <c r="K1648" s="87" t="s">
        <v>23</v>
      </c>
      <c r="M1648" s="85" t="s">
        <v>27</v>
      </c>
      <c r="N1648" s="86" t="s">
        <v>28</v>
      </c>
      <c r="O1648" s="86" t="s">
        <v>29</v>
      </c>
      <c r="P1648" s="86" t="s">
        <v>30</v>
      </c>
      <c r="Q1648" s="87" t="s">
        <v>31</v>
      </c>
      <c r="S1648" s="85" t="s">
        <v>56</v>
      </c>
      <c r="T1648" s="87" t="s">
        <v>57</v>
      </c>
      <c r="U1648" s="79"/>
      <c r="V1648" s="85" t="s">
        <v>68</v>
      </c>
      <c r="W1648" s="87" t="s">
        <v>69</v>
      </c>
      <c r="Y1648" s="85" t="s">
        <v>85</v>
      </c>
      <c r="Z1648" s="86" t="s">
        <v>88</v>
      </c>
      <c r="AA1648" s="87" t="s">
        <v>89</v>
      </c>
    </row>
    <row r="1649" spans="1:27">
      <c r="A1649" s="216"/>
      <c r="B1649" s="217"/>
      <c r="F1649" s="88" t="s">
        <v>2</v>
      </c>
      <c r="G1649" s="134" t="s">
        <v>510</v>
      </c>
      <c r="I1649" s="88" t="s">
        <v>24</v>
      </c>
      <c r="J1649" s="72">
        <v>5</v>
      </c>
      <c r="K1649" s="89">
        <v>140</v>
      </c>
      <c r="M1649" s="88" t="s">
        <v>1102</v>
      </c>
      <c r="N1649" s="72" t="s">
        <v>33</v>
      </c>
      <c r="O1649" s="72" t="s">
        <v>43</v>
      </c>
      <c r="P1649" s="72" t="s">
        <v>33</v>
      </c>
      <c r="Q1649" s="89" t="s">
        <v>1984</v>
      </c>
      <c r="S1649" s="88" t="s">
        <v>58</v>
      </c>
      <c r="T1649" s="89" t="s">
        <v>3050</v>
      </c>
      <c r="V1649" s="138" t="s">
        <v>70</v>
      </c>
      <c r="W1649" s="139" t="s">
        <v>3051</v>
      </c>
      <c r="Y1649" s="138" t="s">
        <v>90</v>
      </c>
      <c r="Z1649" s="137">
        <v>140</v>
      </c>
      <c r="AA1649" s="139">
        <v>85</v>
      </c>
    </row>
    <row r="1650" spans="1:27">
      <c r="A1650" s="216"/>
      <c r="B1650" s="217"/>
      <c r="F1650" s="88" t="s">
        <v>4</v>
      </c>
      <c r="G1650" s="112" t="s">
        <v>894</v>
      </c>
      <c r="I1650" s="88" t="s">
        <v>25</v>
      </c>
      <c r="J1650" s="80">
        <v>6</v>
      </c>
      <c r="K1650" s="89">
        <v>110</v>
      </c>
      <c r="M1650" s="88" t="s">
        <v>37</v>
      </c>
      <c r="N1650" s="72" t="s">
        <v>33</v>
      </c>
      <c r="O1650" s="72" t="s">
        <v>34</v>
      </c>
      <c r="P1650" s="72" t="s">
        <v>35</v>
      </c>
      <c r="Q1650" s="89" t="s">
        <v>1778</v>
      </c>
      <c r="S1650" s="88" t="s">
        <v>60</v>
      </c>
      <c r="T1650" s="89" t="s">
        <v>3052</v>
      </c>
      <c r="V1650" s="135" t="s">
        <v>73</v>
      </c>
      <c r="W1650" s="136" t="s">
        <v>2687</v>
      </c>
      <c r="Y1650" s="88" t="s">
        <v>91</v>
      </c>
      <c r="Z1650" s="72">
        <v>110</v>
      </c>
      <c r="AA1650" s="89">
        <v>145</v>
      </c>
    </row>
    <row r="1651" spans="1:27">
      <c r="A1651" s="216"/>
      <c r="B1651" s="217"/>
      <c r="F1651" s="88" t="s">
        <v>6</v>
      </c>
      <c r="G1651" s="112" t="s">
        <v>895</v>
      </c>
      <c r="I1651" s="90" t="s">
        <v>26</v>
      </c>
      <c r="J1651" s="91"/>
      <c r="K1651" s="92">
        <v>250</v>
      </c>
      <c r="M1651" s="88" t="s">
        <v>1553</v>
      </c>
      <c r="N1651" s="72" t="s">
        <v>33</v>
      </c>
      <c r="O1651" s="72" t="s">
        <v>43</v>
      </c>
      <c r="P1651" s="72" t="s">
        <v>33</v>
      </c>
      <c r="Q1651" s="89" t="s">
        <v>1811</v>
      </c>
      <c r="S1651" s="88" t="s">
        <v>62</v>
      </c>
      <c r="T1651" s="89" t="s">
        <v>3053</v>
      </c>
      <c r="V1651" s="88" t="s">
        <v>76</v>
      </c>
      <c r="W1651" s="89" t="s">
        <v>3054</v>
      </c>
      <c r="Y1651" s="88" t="s">
        <v>26</v>
      </c>
      <c r="Z1651" s="72">
        <v>250</v>
      </c>
      <c r="AA1651" s="89">
        <v>230</v>
      </c>
    </row>
    <row r="1652" spans="1:27">
      <c r="A1652" s="216"/>
      <c r="B1652" s="217"/>
      <c r="F1652" s="88" t="s">
        <v>8</v>
      </c>
      <c r="G1652" s="112" t="s">
        <v>2973</v>
      </c>
      <c r="M1652" s="88" t="s">
        <v>42</v>
      </c>
      <c r="N1652" s="72" t="s">
        <v>33</v>
      </c>
      <c r="O1652" s="72" t="s">
        <v>34</v>
      </c>
      <c r="P1652" s="72" t="s">
        <v>35</v>
      </c>
      <c r="Q1652" s="89" t="s">
        <v>2837</v>
      </c>
      <c r="S1652" s="119" t="s">
        <v>64</v>
      </c>
      <c r="T1652" s="120" t="s">
        <v>3055</v>
      </c>
      <c r="V1652" s="88" t="s">
        <v>79</v>
      </c>
      <c r="W1652" s="89" t="s">
        <v>1584</v>
      </c>
      <c r="Y1652" s="90" t="s">
        <v>92</v>
      </c>
      <c r="Z1652" s="91"/>
      <c r="AA1652" s="122">
        <v>0.08</v>
      </c>
    </row>
    <row r="1653" spans="1:27">
      <c r="A1653" s="216"/>
      <c r="B1653" s="217"/>
      <c r="F1653" s="88" t="s">
        <v>10</v>
      </c>
      <c r="G1653" s="112" t="s">
        <v>12</v>
      </c>
      <c r="M1653" s="88" t="s">
        <v>49</v>
      </c>
      <c r="N1653" s="72" t="s">
        <v>33</v>
      </c>
      <c r="O1653" s="72" t="s">
        <v>43</v>
      </c>
      <c r="P1653" s="72" t="s">
        <v>33</v>
      </c>
      <c r="Q1653" s="89" t="s">
        <v>2301</v>
      </c>
      <c r="S1653" s="90" t="s">
        <v>66</v>
      </c>
      <c r="T1653" s="133" t="s">
        <v>3056</v>
      </c>
      <c r="V1653" s="90" t="s">
        <v>82</v>
      </c>
      <c r="W1653" s="92" t="s">
        <v>2891</v>
      </c>
    </row>
    <row r="1654" spans="1:27">
      <c r="A1654" s="216"/>
      <c r="B1654" s="217"/>
      <c r="F1654" s="88" t="s">
        <v>13</v>
      </c>
      <c r="G1654" s="112" t="s">
        <v>3057</v>
      </c>
      <c r="M1654" s="88" t="s">
        <v>3058</v>
      </c>
      <c r="N1654" s="72" t="s">
        <v>35</v>
      </c>
      <c r="O1654" s="72" t="s">
        <v>52</v>
      </c>
      <c r="P1654" s="72" t="s">
        <v>35</v>
      </c>
      <c r="Q1654" s="89" t="s">
        <v>3059</v>
      </c>
    </row>
    <row r="1655" spans="1:27">
      <c r="A1655" s="216"/>
      <c r="B1655" s="217"/>
      <c r="F1655" s="88" t="s">
        <v>15</v>
      </c>
      <c r="G1655" s="112" t="s">
        <v>3060</v>
      </c>
      <c r="M1655" s="88" t="s">
        <v>3061</v>
      </c>
      <c r="N1655" s="72" t="s">
        <v>35</v>
      </c>
      <c r="O1655" s="72" t="s">
        <v>52</v>
      </c>
      <c r="P1655" s="72" t="s">
        <v>35</v>
      </c>
      <c r="Q1655" s="89" t="s">
        <v>3062</v>
      </c>
    </row>
    <row r="1656" spans="1:27">
      <c r="A1656" s="216"/>
      <c r="B1656" s="217"/>
      <c r="F1656" s="119" t="s">
        <v>17</v>
      </c>
      <c r="G1656" s="144">
        <v>46060</v>
      </c>
      <c r="M1656" s="88" t="s">
        <v>924</v>
      </c>
      <c r="N1656" s="72" t="s">
        <v>35</v>
      </c>
      <c r="O1656" s="72" t="s">
        <v>52</v>
      </c>
      <c r="P1656" s="72" t="s">
        <v>35</v>
      </c>
      <c r="Q1656" s="89" t="s">
        <v>2763</v>
      </c>
    </row>
    <row r="1657" spans="1:27">
      <c r="A1657" s="218"/>
      <c r="B1657" s="219"/>
      <c r="F1657" s="90" t="s">
        <v>18</v>
      </c>
      <c r="G1657" s="114" t="s">
        <v>19</v>
      </c>
      <c r="M1657" s="88" t="s">
        <v>3063</v>
      </c>
      <c r="N1657" s="72" t="s">
        <v>35</v>
      </c>
      <c r="O1657" s="72" t="s">
        <v>52</v>
      </c>
      <c r="P1657" s="72" t="s">
        <v>35</v>
      </c>
      <c r="Q1657" s="89" t="s">
        <v>2041</v>
      </c>
    </row>
    <row r="1658" spans="1:27">
      <c r="M1658" s="88" t="s">
        <v>2545</v>
      </c>
      <c r="N1658" s="72" t="s">
        <v>35</v>
      </c>
      <c r="O1658" s="72" t="s">
        <v>52</v>
      </c>
      <c r="P1658" s="72" t="s">
        <v>35</v>
      </c>
      <c r="Q1658" s="89" t="s">
        <v>2867</v>
      </c>
    </row>
    <row r="1659" spans="1:27">
      <c r="M1659" s="90" t="s">
        <v>1975</v>
      </c>
      <c r="N1659" s="91" t="s">
        <v>35</v>
      </c>
      <c r="O1659" s="91" t="s">
        <v>52</v>
      </c>
      <c r="P1659" s="91" t="s">
        <v>35</v>
      </c>
      <c r="Q1659" s="92" t="s">
        <v>2866</v>
      </c>
    </row>
    <row r="1660" spans="1:27">
      <c r="M1660" s="130"/>
      <c r="N1660" s="130"/>
      <c r="O1660" s="130"/>
      <c r="P1660" s="130"/>
      <c r="Q1660" s="130"/>
    </row>
    <row r="1661" spans="1:27">
      <c r="M1661" s="130"/>
      <c r="N1661" s="130"/>
      <c r="O1661" s="130"/>
      <c r="P1661" s="130"/>
      <c r="Q1661" s="130"/>
    </row>
    <row r="1665" spans="1:27">
      <c r="A1665" s="214" t="s">
        <v>3064</v>
      </c>
      <c r="B1665" s="215"/>
      <c r="F1665" s="85" t="s">
        <v>0</v>
      </c>
      <c r="G1665" s="118" t="s">
        <v>1</v>
      </c>
      <c r="I1665" s="85" t="s">
        <v>20</v>
      </c>
      <c r="J1665" s="86" t="s">
        <v>21</v>
      </c>
      <c r="K1665" s="87" t="s">
        <v>23</v>
      </c>
      <c r="M1665" s="85" t="s">
        <v>27</v>
      </c>
      <c r="N1665" s="86" t="s">
        <v>28</v>
      </c>
      <c r="O1665" s="86" t="s">
        <v>29</v>
      </c>
      <c r="P1665" s="86" t="s">
        <v>30</v>
      </c>
      <c r="Q1665" s="87" t="s">
        <v>31</v>
      </c>
      <c r="S1665" s="85" t="s">
        <v>56</v>
      </c>
      <c r="T1665" s="87" t="s">
        <v>57</v>
      </c>
      <c r="U1665" s="79"/>
      <c r="V1665" s="85" t="s">
        <v>68</v>
      </c>
      <c r="W1665" s="87" t="s">
        <v>69</v>
      </c>
      <c r="Y1665" s="85" t="s">
        <v>85</v>
      </c>
      <c r="Z1665" s="86" t="s">
        <v>88</v>
      </c>
      <c r="AA1665" s="87" t="s">
        <v>89</v>
      </c>
    </row>
    <row r="1666" spans="1:27">
      <c r="A1666" s="216"/>
      <c r="B1666" s="217"/>
      <c r="F1666" s="88" t="s">
        <v>2</v>
      </c>
      <c r="G1666" s="134" t="s">
        <v>3065</v>
      </c>
      <c r="I1666" s="88" t="s">
        <v>24</v>
      </c>
      <c r="J1666" s="72">
        <v>7</v>
      </c>
      <c r="K1666" s="89">
        <v>180</v>
      </c>
      <c r="M1666" s="88" t="s">
        <v>3066</v>
      </c>
      <c r="N1666" s="72" t="s">
        <v>33</v>
      </c>
      <c r="O1666" s="72" t="s">
        <v>43</v>
      </c>
      <c r="P1666" s="72" t="s">
        <v>33</v>
      </c>
      <c r="Q1666" s="89" t="s">
        <v>3067</v>
      </c>
      <c r="S1666" s="88" t="s">
        <v>58</v>
      </c>
      <c r="T1666" s="89" t="s">
        <v>2966</v>
      </c>
      <c r="V1666" s="138" t="s">
        <v>70</v>
      </c>
      <c r="W1666" s="139" t="s">
        <v>3068</v>
      </c>
      <c r="Y1666" s="138" t="s">
        <v>90</v>
      </c>
      <c r="Z1666" s="137">
        <v>180</v>
      </c>
      <c r="AA1666" s="139">
        <v>110</v>
      </c>
    </row>
    <row r="1667" spans="1:27">
      <c r="A1667" s="216"/>
      <c r="B1667" s="217"/>
      <c r="F1667" s="88" t="s">
        <v>4</v>
      </c>
      <c r="G1667" s="112" t="s">
        <v>894</v>
      </c>
      <c r="I1667" s="88" t="s">
        <v>25</v>
      </c>
      <c r="J1667" s="80">
        <v>5</v>
      </c>
      <c r="K1667" s="89">
        <v>95</v>
      </c>
      <c r="M1667" s="88" t="s">
        <v>37</v>
      </c>
      <c r="N1667" s="72" t="s">
        <v>33</v>
      </c>
      <c r="O1667" s="72" t="s">
        <v>34</v>
      </c>
      <c r="P1667" s="72" t="s">
        <v>35</v>
      </c>
      <c r="Q1667" s="89" t="s">
        <v>1778</v>
      </c>
      <c r="S1667" s="88" t="s">
        <v>60</v>
      </c>
      <c r="T1667" s="89" t="s">
        <v>3069</v>
      </c>
      <c r="V1667" s="135" t="s">
        <v>73</v>
      </c>
      <c r="W1667" s="136" t="s">
        <v>2687</v>
      </c>
      <c r="Y1667" s="88" t="s">
        <v>91</v>
      </c>
      <c r="Z1667" s="72">
        <v>95</v>
      </c>
      <c r="AA1667" s="89">
        <v>135</v>
      </c>
    </row>
    <row r="1668" spans="1:27">
      <c r="A1668" s="216"/>
      <c r="B1668" s="217"/>
      <c r="F1668" s="88" t="s">
        <v>6</v>
      </c>
      <c r="G1668" s="112" t="s">
        <v>1484</v>
      </c>
      <c r="I1668" s="90" t="s">
        <v>26</v>
      </c>
      <c r="J1668" s="91"/>
      <c r="K1668" s="92">
        <v>275</v>
      </c>
      <c r="M1668" s="88" t="s">
        <v>1037</v>
      </c>
      <c r="N1668" s="72" t="s">
        <v>33</v>
      </c>
      <c r="O1668" s="72" t="s">
        <v>34</v>
      </c>
      <c r="P1668" s="72" t="s">
        <v>35</v>
      </c>
      <c r="Q1668" s="89" t="s">
        <v>3070</v>
      </c>
      <c r="S1668" s="88" t="s">
        <v>62</v>
      </c>
      <c r="T1668" s="89" t="s">
        <v>2508</v>
      </c>
      <c r="V1668" s="88" t="s">
        <v>76</v>
      </c>
      <c r="W1668" s="89" t="s">
        <v>2906</v>
      </c>
      <c r="Y1668" s="88" t="s">
        <v>26</v>
      </c>
      <c r="Z1668" s="72">
        <v>275</v>
      </c>
      <c r="AA1668" s="89">
        <v>245</v>
      </c>
    </row>
    <row r="1669" spans="1:27">
      <c r="A1669" s="216"/>
      <c r="B1669" s="217"/>
      <c r="F1669" s="88" t="s">
        <v>8</v>
      </c>
      <c r="G1669" s="112" t="s">
        <v>2973</v>
      </c>
      <c r="M1669" s="88" t="s">
        <v>1553</v>
      </c>
      <c r="N1669" s="72" t="s">
        <v>33</v>
      </c>
      <c r="O1669" s="72" t="s">
        <v>43</v>
      </c>
      <c r="P1669" s="72" t="s">
        <v>33</v>
      </c>
      <c r="Q1669" s="89" t="s">
        <v>2691</v>
      </c>
      <c r="S1669" s="119" t="s">
        <v>64</v>
      </c>
      <c r="T1669" s="120" t="s">
        <v>3071</v>
      </c>
      <c r="V1669" s="88" t="s">
        <v>79</v>
      </c>
      <c r="W1669" s="89" t="s">
        <v>1584</v>
      </c>
      <c r="Y1669" s="90" t="s">
        <v>92</v>
      </c>
      <c r="Z1669" s="91"/>
      <c r="AA1669" s="122">
        <v>0.11</v>
      </c>
    </row>
    <row r="1670" spans="1:27">
      <c r="A1670" s="216"/>
      <c r="B1670" s="217"/>
      <c r="F1670" s="88" t="s">
        <v>10</v>
      </c>
      <c r="G1670" s="112" t="s">
        <v>12</v>
      </c>
      <c r="M1670" s="88" t="s">
        <v>42</v>
      </c>
      <c r="N1670" s="72" t="s">
        <v>33</v>
      </c>
      <c r="O1670" s="72" t="s">
        <v>34</v>
      </c>
      <c r="P1670" s="72" t="s">
        <v>35</v>
      </c>
      <c r="Q1670" s="89" t="s">
        <v>2710</v>
      </c>
      <c r="S1670" s="90" t="s">
        <v>66</v>
      </c>
      <c r="T1670" s="133" t="s">
        <v>3072</v>
      </c>
      <c r="V1670" s="90" t="s">
        <v>82</v>
      </c>
      <c r="W1670" s="92" t="s">
        <v>3073</v>
      </c>
    </row>
    <row r="1671" spans="1:27">
      <c r="A1671" s="216"/>
      <c r="B1671" s="217"/>
      <c r="F1671" s="88" t="s">
        <v>13</v>
      </c>
      <c r="G1671" s="201" t="s">
        <v>2007</v>
      </c>
      <c r="M1671" s="88" t="s">
        <v>2910</v>
      </c>
      <c r="N1671" s="72" t="s">
        <v>33</v>
      </c>
      <c r="O1671" s="72" t="s">
        <v>43</v>
      </c>
      <c r="P1671" s="72" t="s">
        <v>33</v>
      </c>
      <c r="Q1671" s="89" t="s">
        <v>1734</v>
      </c>
    </row>
    <row r="1672" spans="1:27">
      <c r="A1672" s="216"/>
      <c r="B1672" s="217"/>
      <c r="F1672" s="88" t="s">
        <v>15</v>
      </c>
      <c r="G1672" s="112" t="s">
        <v>3074</v>
      </c>
      <c r="M1672" s="88" t="s">
        <v>2698</v>
      </c>
      <c r="N1672" s="72" t="s">
        <v>33</v>
      </c>
      <c r="O1672" s="72" t="s">
        <v>34</v>
      </c>
      <c r="P1672" s="72" t="s">
        <v>35</v>
      </c>
      <c r="Q1672" s="89" t="s">
        <v>2761</v>
      </c>
    </row>
    <row r="1673" spans="1:27">
      <c r="A1673" s="216"/>
      <c r="B1673" s="217"/>
      <c r="F1673" s="119" t="s">
        <v>17</v>
      </c>
      <c r="G1673" s="144">
        <v>46058</v>
      </c>
      <c r="M1673" s="88" t="s">
        <v>2962</v>
      </c>
      <c r="N1673" s="72" t="s">
        <v>35</v>
      </c>
      <c r="O1673" s="72" t="s">
        <v>52</v>
      </c>
      <c r="P1673" s="72" t="s">
        <v>35</v>
      </c>
      <c r="Q1673" s="89" t="s">
        <v>1627</v>
      </c>
    </row>
    <row r="1674" spans="1:27">
      <c r="A1674" s="218"/>
      <c r="B1674" s="219"/>
      <c r="F1674" s="90" t="s">
        <v>18</v>
      </c>
      <c r="G1674" s="114" t="s">
        <v>19</v>
      </c>
      <c r="M1674" s="88" t="s">
        <v>1679</v>
      </c>
      <c r="N1674" s="72" t="s">
        <v>35</v>
      </c>
      <c r="O1674" s="72" t="s">
        <v>52</v>
      </c>
      <c r="P1674" s="72" t="s">
        <v>35</v>
      </c>
      <c r="Q1674" s="89" t="s">
        <v>2845</v>
      </c>
    </row>
    <row r="1675" spans="1:27">
      <c r="M1675" s="88" t="s">
        <v>2059</v>
      </c>
      <c r="N1675" s="72" t="s">
        <v>35</v>
      </c>
      <c r="O1675" s="72" t="s">
        <v>52</v>
      </c>
      <c r="P1675" s="72" t="s">
        <v>35</v>
      </c>
      <c r="Q1675" s="89" t="s">
        <v>2937</v>
      </c>
    </row>
    <row r="1676" spans="1:27">
      <c r="M1676" s="88" t="s">
        <v>2545</v>
      </c>
      <c r="N1676" s="72" t="s">
        <v>35</v>
      </c>
      <c r="O1676" s="72" t="s">
        <v>52</v>
      </c>
      <c r="P1676" s="72" t="s">
        <v>35</v>
      </c>
      <c r="Q1676" s="89" t="s">
        <v>2963</v>
      </c>
    </row>
    <row r="1677" spans="1:27">
      <c r="M1677" s="90" t="s">
        <v>1975</v>
      </c>
      <c r="N1677" s="91" t="s">
        <v>35</v>
      </c>
      <c r="O1677" s="91" t="s">
        <v>52</v>
      </c>
      <c r="P1677" s="91" t="s">
        <v>35</v>
      </c>
      <c r="Q1677" s="92" t="s">
        <v>1770</v>
      </c>
    </row>
    <row r="1682" spans="1:27">
      <c r="A1682" s="214" t="s">
        <v>3075</v>
      </c>
      <c r="B1682" s="215"/>
      <c r="F1682" s="85" t="s">
        <v>0</v>
      </c>
      <c r="G1682" s="118" t="s">
        <v>1</v>
      </c>
      <c r="I1682" s="85" t="s">
        <v>20</v>
      </c>
      <c r="J1682" s="86" t="s">
        <v>21</v>
      </c>
      <c r="K1682" s="87" t="s">
        <v>23</v>
      </c>
      <c r="M1682" s="85" t="s">
        <v>27</v>
      </c>
      <c r="N1682" s="86" t="s">
        <v>28</v>
      </c>
      <c r="O1682" s="86" t="s">
        <v>29</v>
      </c>
      <c r="P1682" s="86" t="s">
        <v>30</v>
      </c>
      <c r="Q1682" s="87" t="s">
        <v>31</v>
      </c>
      <c r="S1682" s="85" t="s">
        <v>56</v>
      </c>
      <c r="T1682" s="87" t="s">
        <v>57</v>
      </c>
      <c r="U1682" s="79"/>
      <c r="V1682" s="85" t="s">
        <v>68</v>
      </c>
      <c r="W1682" s="87" t="s">
        <v>69</v>
      </c>
      <c r="Y1682" s="85" t="s">
        <v>85</v>
      </c>
      <c r="Z1682" s="86" t="s">
        <v>88</v>
      </c>
      <c r="AA1682" s="87" t="s">
        <v>89</v>
      </c>
    </row>
    <row r="1683" spans="1:27">
      <c r="A1683" s="216"/>
      <c r="B1683" s="217"/>
      <c r="F1683" s="88" t="s">
        <v>2</v>
      </c>
      <c r="G1683" s="134" t="s">
        <v>3076</v>
      </c>
      <c r="I1683" s="88" t="s">
        <v>24</v>
      </c>
      <c r="J1683" s="72">
        <v>6</v>
      </c>
      <c r="K1683" s="89">
        <v>165</v>
      </c>
      <c r="M1683" s="88" t="s">
        <v>3077</v>
      </c>
      <c r="N1683" s="72" t="s">
        <v>33</v>
      </c>
      <c r="O1683" s="72" t="s">
        <v>43</v>
      </c>
      <c r="P1683" s="72" t="s">
        <v>33</v>
      </c>
      <c r="Q1683" s="89" t="s">
        <v>1805</v>
      </c>
      <c r="S1683" s="88" t="s">
        <v>58</v>
      </c>
      <c r="T1683" s="89" t="s">
        <v>3078</v>
      </c>
      <c r="V1683" s="138" t="s">
        <v>70</v>
      </c>
      <c r="W1683" s="139" t="s">
        <v>3079</v>
      </c>
      <c r="Y1683" s="138" t="s">
        <v>90</v>
      </c>
      <c r="Z1683" s="137">
        <v>165</v>
      </c>
      <c r="AA1683" s="139">
        <v>100</v>
      </c>
    </row>
    <row r="1684" spans="1:27">
      <c r="A1684" s="216"/>
      <c r="B1684" s="217"/>
      <c r="F1684" s="88" t="s">
        <v>4</v>
      </c>
      <c r="G1684" s="112" t="s">
        <v>894</v>
      </c>
      <c r="I1684" s="88" t="s">
        <v>25</v>
      </c>
      <c r="J1684" s="80">
        <v>5</v>
      </c>
      <c r="K1684" s="89">
        <v>105</v>
      </c>
      <c r="M1684" s="88" t="s">
        <v>1886</v>
      </c>
      <c r="N1684" s="72" t="s">
        <v>33</v>
      </c>
      <c r="O1684" s="72" t="s">
        <v>34</v>
      </c>
      <c r="P1684" s="72" t="s">
        <v>35</v>
      </c>
      <c r="Q1684" s="89" t="s">
        <v>3041</v>
      </c>
      <c r="S1684" s="88" t="s">
        <v>60</v>
      </c>
      <c r="T1684" s="89" t="s">
        <v>2887</v>
      </c>
      <c r="V1684" s="135" t="s">
        <v>73</v>
      </c>
      <c r="W1684" s="136" t="s">
        <v>2818</v>
      </c>
      <c r="Y1684" s="88" t="s">
        <v>91</v>
      </c>
      <c r="Z1684" s="72">
        <v>105</v>
      </c>
      <c r="AA1684" s="89">
        <v>140</v>
      </c>
    </row>
    <row r="1685" spans="1:27">
      <c r="A1685" s="216"/>
      <c r="B1685" s="217"/>
      <c r="F1685" s="88" t="s">
        <v>6</v>
      </c>
      <c r="G1685" s="112" t="s">
        <v>895</v>
      </c>
      <c r="I1685" s="90" t="s">
        <v>26</v>
      </c>
      <c r="J1685" s="91"/>
      <c r="K1685" s="92">
        <v>270</v>
      </c>
      <c r="M1685" s="88" t="s">
        <v>37</v>
      </c>
      <c r="N1685" s="72" t="s">
        <v>33</v>
      </c>
      <c r="O1685" s="72" t="s">
        <v>34</v>
      </c>
      <c r="P1685" s="72" t="s">
        <v>35</v>
      </c>
      <c r="Q1685" s="89" t="s">
        <v>1665</v>
      </c>
      <c r="S1685" s="88" t="s">
        <v>62</v>
      </c>
      <c r="T1685" s="89" t="s">
        <v>2854</v>
      </c>
      <c r="V1685" s="88" t="s">
        <v>76</v>
      </c>
      <c r="W1685" s="89" t="s">
        <v>3080</v>
      </c>
      <c r="Y1685" s="88" t="s">
        <v>26</v>
      </c>
      <c r="Z1685" s="72">
        <v>270</v>
      </c>
      <c r="AA1685" s="89">
        <v>240</v>
      </c>
    </row>
    <row r="1686" spans="1:27">
      <c r="A1686" s="216"/>
      <c r="B1686" s="217"/>
      <c r="F1686" s="88" t="s">
        <v>8</v>
      </c>
      <c r="G1686" s="112" t="s">
        <v>3081</v>
      </c>
      <c r="M1686" s="88" t="s">
        <v>1517</v>
      </c>
      <c r="N1686" s="72" t="s">
        <v>33</v>
      </c>
      <c r="O1686" s="72" t="s">
        <v>43</v>
      </c>
      <c r="P1686" s="72" t="s">
        <v>33</v>
      </c>
      <c r="Q1686" s="89" t="s">
        <v>2274</v>
      </c>
      <c r="S1686" s="119" t="s">
        <v>64</v>
      </c>
      <c r="T1686" s="120" t="s">
        <v>3082</v>
      </c>
      <c r="V1686" s="88" t="s">
        <v>79</v>
      </c>
      <c r="W1686" s="89" t="s">
        <v>1726</v>
      </c>
      <c r="Y1686" s="90" t="s">
        <v>92</v>
      </c>
      <c r="Z1686" s="91"/>
      <c r="AA1686" s="122">
        <v>0.11</v>
      </c>
    </row>
    <row r="1687" spans="1:27">
      <c r="A1687" s="216"/>
      <c r="B1687" s="217"/>
      <c r="F1687" s="88" t="s">
        <v>10</v>
      </c>
      <c r="G1687" s="112" t="s">
        <v>3083</v>
      </c>
      <c r="M1687" s="88" t="s">
        <v>42</v>
      </c>
      <c r="N1687" s="72" t="s">
        <v>33</v>
      </c>
      <c r="O1687" s="72" t="s">
        <v>34</v>
      </c>
      <c r="P1687" s="72" t="s">
        <v>35</v>
      </c>
      <c r="Q1687" s="89" t="s">
        <v>1798</v>
      </c>
      <c r="S1687" s="90" t="s">
        <v>66</v>
      </c>
      <c r="T1687" s="133" t="s">
        <v>2947</v>
      </c>
      <c r="V1687" s="90" t="s">
        <v>82</v>
      </c>
      <c r="W1687" s="92" t="s">
        <v>3084</v>
      </c>
    </row>
    <row r="1688" spans="1:27">
      <c r="A1688" s="216"/>
      <c r="B1688" s="217"/>
      <c r="F1688" s="88" t="s">
        <v>13</v>
      </c>
      <c r="G1688" s="201" t="s">
        <v>1876</v>
      </c>
      <c r="M1688" s="88" t="s">
        <v>2234</v>
      </c>
      <c r="N1688" s="72" t="s">
        <v>33</v>
      </c>
      <c r="O1688" s="72" t="s">
        <v>43</v>
      </c>
      <c r="P1688" s="72" t="s">
        <v>33</v>
      </c>
      <c r="Q1688" s="89" t="s">
        <v>2301</v>
      </c>
    </row>
    <row r="1689" spans="1:27">
      <c r="A1689" s="216"/>
      <c r="B1689" s="217"/>
      <c r="F1689" s="88" t="s">
        <v>15</v>
      </c>
      <c r="G1689" s="112" t="s">
        <v>2976</v>
      </c>
      <c r="M1689" s="88" t="s">
        <v>1972</v>
      </c>
      <c r="N1689" s="72" t="s">
        <v>35</v>
      </c>
      <c r="O1689" s="72" t="s">
        <v>52</v>
      </c>
      <c r="P1689" s="72" t="s">
        <v>35</v>
      </c>
      <c r="Q1689" s="89" t="s">
        <v>1858</v>
      </c>
    </row>
    <row r="1690" spans="1:27">
      <c r="A1690" s="216"/>
      <c r="B1690" s="217"/>
      <c r="F1690" s="119" t="s">
        <v>17</v>
      </c>
      <c r="G1690" s="144">
        <v>46040</v>
      </c>
      <c r="M1690" s="88" t="s">
        <v>1679</v>
      </c>
      <c r="N1690" s="72" t="s">
        <v>35</v>
      </c>
      <c r="O1690" s="72" t="s">
        <v>52</v>
      </c>
      <c r="P1690" s="72" t="s">
        <v>35</v>
      </c>
      <c r="Q1690" s="89" t="s">
        <v>2763</v>
      </c>
    </row>
    <row r="1691" spans="1:27">
      <c r="A1691" s="218"/>
      <c r="B1691" s="219"/>
      <c r="F1691" s="90" t="s">
        <v>18</v>
      </c>
      <c r="G1691" s="114" t="s">
        <v>19</v>
      </c>
      <c r="M1691" s="88" t="s">
        <v>2059</v>
      </c>
      <c r="N1691" s="72" t="s">
        <v>35</v>
      </c>
      <c r="O1691" s="72" t="s">
        <v>52</v>
      </c>
      <c r="P1691" s="72" t="s">
        <v>35</v>
      </c>
      <c r="Q1691" s="89" t="s">
        <v>3085</v>
      </c>
    </row>
    <row r="1692" spans="1:27">
      <c r="M1692" s="88" t="s">
        <v>2545</v>
      </c>
      <c r="N1692" s="72" t="s">
        <v>35</v>
      </c>
      <c r="O1692" s="72" t="s">
        <v>52</v>
      </c>
      <c r="P1692" s="72" t="s">
        <v>35</v>
      </c>
      <c r="Q1692" s="89" t="s">
        <v>2963</v>
      </c>
    </row>
    <row r="1693" spans="1:27">
      <c r="M1693" s="90" t="s">
        <v>1975</v>
      </c>
      <c r="N1693" s="91" t="s">
        <v>35</v>
      </c>
      <c r="O1693" s="91" t="s">
        <v>52</v>
      </c>
      <c r="P1693" s="91" t="s">
        <v>35</v>
      </c>
      <c r="Q1693" s="92" t="s">
        <v>1792</v>
      </c>
    </row>
    <row r="1694" spans="1:27">
      <c r="M1694" s="130"/>
      <c r="N1694" s="130"/>
      <c r="O1694" s="130"/>
      <c r="P1694" s="130"/>
      <c r="Q1694" s="130"/>
    </row>
    <row r="1695" spans="1:27">
      <c r="M1695" s="130"/>
      <c r="N1695" s="130"/>
      <c r="O1695" s="130"/>
      <c r="P1695" s="130"/>
      <c r="Q1695" s="130"/>
    </row>
    <row r="1698" spans="1:27">
      <c r="A1698" s="214" t="s">
        <v>516</v>
      </c>
      <c r="B1698" s="215"/>
      <c r="F1698" s="85" t="s">
        <v>0</v>
      </c>
      <c r="G1698" s="118" t="s">
        <v>1</v>
      </c>
      <c r="I1698" s="85" t="s">
        <v>20</v>
      </c>
      <c r="J1698" s="86" t="s">
        <v>21</v>
      </c>
      <c r="K1698" s="87" t="s">
        <v>23</v>
      </c>
      <c r="M1698" s="85" t="s">
        <v>27</v>
      </c>
      <c r="N1698" s="86" t="s">
        <v>28</v>
      </c>
      <c r="O1698" s="86" t="s">
        <v>29</v>
      </c>
      <c r="P1698" s="86" t="s">
        <v>30</v>
      </c>
      <c r="Q1698" s="87" t="s">
        <v>31</v>
      </c>
      <c r="S1698" s="85" t="s">
        <v>56</v>
      </c>
      <c r="T1698" s="87" t="s">
        <v>57</v>
      </c>
      <c r="U1698" s="79"/>
      <c r="V1698" s="85" t="s">
        <v>68</v>
      </c>
      <c r="W1698" s="87" t="s">
        <v>69</v>
      </c>
      <c r="Y1698" s="85" t="s">
        <v>85</v>
      </c>
      <c r="Z1698" s="86" t="s">
        <v>88</v>
      </c>
      <c r="AA1698" s="87" t="s">
        <v>89</v>
      </c>
    </row>
    <row r="1699" spans="1:27">
      <c r="A1699" s="216"/>
      <c r="B1699" s="217"/>
      <c r="F1699" s="88" t="s">
        <v>2</v>
      </c>
      <c r="G1699" s="134" t="s">
        <v>516</v>
      </c>
      <c r="I1699" s="88" t="s">
        <v>24</v>
      </c>
      <c r="J1699" s="72">
        <v>8</v>
      </c>
      <c r="K1699" s="89">
        <v>240</v>
      </c>
      <c r="M1699" s="88" t="s">
        <v>3086</v>
      </c>
      <c r="N1699" s="72" t="s">
        <v>33</v>
      </c>
      <c r="O1699" s="72" t="s">
        <v>43</v>
      </c>
      <c r="P1699" s="72" t="s">
        <v>33</v>
      </c>
      <c r="Q1699" s="89" t="s">
        <v>3087</v>
      </c>
      <c r="S1699" s="88" t="s">
        <v>58</v>
      </c>
      <c r="T1699" s="89" t="s">
        <v>2941</v>
      </c>
      <c r="V1699" s="138" t="s">
        <v>70</v>
      </c>
      <c r="W1699" s="139" t="s">
        <v>3088</v>
      </c>
      <c r="Y1699" s="138" t="s">
        <v>90</v>
      </c>
      <c r="Z1699" s="137">
        <v>240</v>
      </c>
      <c r="AA1699" s="139">
        <v>150</v>
      </c>
    </row>
    <row r="1700" spans="1:27">
      <c r="A1700" s="216"/>
      <c r="B1700" s="217"/>
      <c r="F1700" s="88" t="s">
        <v>4</v>
      </c>
      <c r="G1700" s="112" t="s">
        <v>894</v>
      </c>
      <c r="I1700" s="88" t="s">
        <v>25</v>
      </c>
      <c r="J1700" s="80">
        <v>5</v>
      </c>
      <c r="K1700" s="89">
        <v>110</v>
      </c>
      <c r="M1700" s="88" t="s">
        <v>37</v>
      </c>
      <c r="N1700" s="72" t="s">
        <v>33</v>
      </c>
      <c r="O1700" s="72" t="s">
        <v>34</v>
      </c>
      <c r="P1700" s="72" t="s">
        <v>35</v>
      </c>
      <c r="Q1700" s="89" t="s">
        <v>1778</v>
      </c>
      <c r="S1700" s="88" t="s">
        <v>60</v>
      </c>
      <c r="T1700" s="89" t="s">
        <v>3089</v>
      </c>
      <c r="V1700" s="135" t="s">
        <v>73</v>
      </c>
      <c r="W1700" s="136" t="s">
        <v>2687</v>
      </c>
      <c r="Y1700" s="88" t="s">
        <v>91</v>
      </c>
      <c r="Z1700" s="72">
        <v>110</v>
      </c>
      <c r="AA1700" s="89">
        <v>160</v>
      </c>
    </row>
    <row r="1701" spans="1:27">
      <c r="A1701" s="216"/>
      <c r="B1701" s="217"/>
      <c r="F1701" s="88" t="s">
        <v>6</v>
      </c>
      <c r="G1701" s="112" t="s">
        <v>1484</v>
      </c>
      <c r="I1701" s="90" t="s">
        <v>26</v>
      </c>
      <c r="J1701" s="91"/>
      <c r="K1701" s="92">
        <v>350</v>
      </c>
      <c r="M1701" s="88" t="s">
        <v>1553</v>
      </c>
      <c r="N1701" s="72" t="s">
        <v>33</v>
      </c>
      <c r="O1701" s="72" t="s">
        <v>43</v>
      </c>
      <c r="P1701" s="72" t="s">
        <v>33</v>
      </c>
      <c r="Q1701" s="89" t="s">
        <v>2691</v>
      </c>
      <c r="S1701" s="88" t="s">
        <v>62</v>
      </c>
      <c r="T1701" s="89" t="s">
        <v>3090</v>
      </c>
      <c r="V1701" s="88" t="s">
        <v>76</v>
      </c>
      <c r="W1701" s="89" t="s">
        <v>3091</v>
      </c>
      <c r="Y1701" s="88" t="s">
        <v>26</v>
      </c>
      <c r="Z1701" s="72">
        <v>350</v>
      </c>
      <c r="AA1701" s="89">
        <v>310</v>
      </c>
    </row>
    <row r="1702" spans="1:27">
      <c r="A1702" s="216"/>
      <c r="B1702" s="217"/>
      <c r="F1702" s="88" t="s">
        <v>8</v>
      </c>
      <c r="G1702" s="112" t="s">
        <v>1913</v>
      </c>
      <c r="M1702" s="88" t="s">
        <v>42</v>
      </c>
      <c r="N1702" s="72" t="s">
        <v>33</v>
      </c>
      <c r="O1702" s="72" t="s">
        <v>34</v>
      </c>
      <c r="P1702" s="72" t="s">
        <v>35</v>
      </c>
      <c r="Q1702" s="89" t="s">
        <v>2837</v>
      </c>
      <c r="S1702" s="119" t="s">
        <v>64</v>
      </c>
      <c r="T1702" s="120" t="s">
        <v>3092</v>
      </c>
      <c r="V1702" s="88" t="s">
        <v>79</v>
      </c>
      <c r="W1702" s="89" t="s">
        <v>1584</v>
      </c>
      <c r="Y1702" s="90" t="s">
        <v>92</v>
      </c>
      <c r="Z1702" s="91"/>
      <c r="AA1702" s="122">
        <v>0.11</v>
      </c>
    </row>
    <row r="1703" spans="1:27">
      <c r="A1703" s="216"/>
      <c r="B1703" s="217"/>
      <c r="F1703" s="88" t="s">
        <v>10</v>
      </c>
      <c r="G1703" s="112" t="s">
        <v>3093</v>
      </c>
      <c r="M1703" s="88" t="s">
        <v>3094</v>
      </c>
      <c r="N1703" s="72" t="s">
        <v>33</v>
      </c>
      <c r="O1703" s="72" t="s">
        <v>43</v>
      </c>
      <c r="P1703" s="72" t="s">
        <v>33</v>
      </c>
      <c r="Q1703" s="89" t="s">
        <v>1734</v>
      </c>
      <c r="S1703" s="90" t="s">
        <v>66</v>
      </c>
      <c r="T1703" s="133" t="s">
        <v>3095</v>
      </c>
      <c r="V1703" s="90" t="s">
        <v>82</v>
      </c>
      <c r="W1703" s="92" t="s">
        <v>3096</v>
      </c>
    </row>
    <row r="1704" spans="1:27">
      <c r="A1704" s="216"/>
      <c r="B1704" s="217"/>
      <c r="F1704" s="88" t="s">
        <v>13</v>
      </c>
      <c r="G1704" s="201" t="s">
        <v>3097</v>
      </c>
      <c r="M1704" s="88" t="s">
        <v>3098</v>
      </c>
      <c r="N1704" s="72" t="s">
        <v>33</v>
      </c>
      <c r="O1704" s="72" t="s">
        <v>34</v>
      </c>
      <c r="P1704" s="72" t="s">
        <v>35</v>
      </c>
      <c r="Q1704" s="89" t="s">
        <v>2761</v>
      </c>
    </row>
    <row r="1705" spans="1:27">
      <c r="A1705" s="216"/>
      <c r="B1705" s="217"/>
      <c r="F1705" s="88" t="s">
        <v>15</v>
      </c>
      <c r="G1705" s="112" t="s">
        <v>3099</v>
      </c>
      <c r="M1705" s="88" t="s">
        <v>1923</v>
      </c>
      <c r="N1705" s="72" t="s">
        <v>33</v>
      </c>
      <c r="O1705" s="72" t="s">
        <v>43</v>
      </c>
      <c r="P1705" s="72" t="s">
        <v>33</v>
      </c>
      <c r="Q1705" s="89" t="s">
        <v>2934</v>
      </c>
    </row>
    <row r="1706" spans="1:27">
      <c r="A1706" s="216"/>
      <c r="B1706" s="217"/>
      <c r="F1706" s="119" t="s">
        <v>17</v>
      </c>
      <c r="G1706" s="144">
        <v>46063</v>
      </c>
      <c r="M1706" s="88" t="s">
        <v>3100</v>
      </c>
      <c r="N1706" s="72" t="s">
        <v>33</v>
      </c>
      <c r="O1706" s="72" t="s">
        <v>43</v>
      </c>
      <c r="P1706" s="72" t="s">
        <v>33</v>
      </c>
      <c r="Q1706" s="89" t="s">
        <v>3101</v>
      </c>
    </row>
    <row r="1707" spans="1:27">
      <c r="A1707" s="218"/>
      <c r="B1707" s="219"/>
      <c r="F1707" s="90" t="s">
        <v>18</v>
      </c>
      <c r="G1707" s="114" t="s">
        <v>19</v>
      </c>
      <c r="M1707" s="88" t="s">
        <v>1972</v>
      </c>
      <c r="N1707" s="72" t="s">
        <v>35</v>
      </c>
      <c r="O1707" s="72" t="s">
        <v>52</v>
      </c>
      <c r="P1707" s="72" t="s">
        <v>35</v>
      </c>
      <c r="Q1707" s="89" t="s">
        <v>1627</v>
      </c>
    </row>
    <row r="1708" spans="1:27">
      <c r="M1708" s="88" t="s">
        <v>1679</v>
      </c>
      <c r="N1708" s="72" t="s">
        <v>35</v>
      </c>
      <c r="O1708" s="72" t="s">
        <v>52</v>
      </c>
      <c r="P1708" s="72" t="s">
        <v>35</v>
      </c>
      <c r="Q1708" s="89" t="s">
        <v>2845</v>
      </c>
    </row>
    <row r="1709" spans="1:27">
      <c r="M1709" s="88" t="s">
        <v>2059</v>
      </c>
      <c r="N1709" s="72" t="s">
        <v>35</v>
      </c>
      <c r="O1709" s="72" t="s">
        <v>52</v>
      </c>
      <c r="P1709" s="72" t="s">
        <v>35</v>
      </c>
      <c r="Q1709" s="89" t="s">
        <v>2041</v>
      </c>
    </row>
    <row r="1710" spans="1:27">
      <c r="M1710" s="88" t="s">
        <v>2545</v>
      </c>
      <c r="N1710" s="72" t="s">
        <v>35</v>
      </c>
      <c r="O1710" s="72" t="s">
        <v>52</v>
      </c>
      <c r="P1710" s="72" t="s">
        <v>35</v>
      </c>
      <c r="Q1710" s="89" t="s">
        <v>2882</v>
      </c>
    </row>
    <row r="1711" spans="1:27">
      <c r="M1711" s="90" t="s">
        <v>1975</v>
      </c>
      <c r="N1711" s="91" t="s">
        <v>35</v>
      </c>
      <c r="O1711" s="91" t="s">
        <v>52</v>
      </c>
      <c r="P1711" s="91" t="s">
        <v>35</v>
      </c>
      <c r="Q1711" s="92" t="s">
        <v>2866</v>
      </c>
    </row>
    <row r="1717" spans="1:27">
      <c r="A1717" s="214" t="s">
        <v>3102</v>
      </c>
      <c r="B1717" s="215"/>
      <c r="F1717" s="85" t="s">
        <v>0</v>
      </c>
      <c r="G1717" s="118" t="s">
        <v>1</v>
      </c>
      <c r="I1717" s="85" t="s">
        <v>20</v>
      </c>
      <c r="J1717" s="86" t="s">
        <v>21</v>
      </c>
      <c r="K1717" s="87" t="s">
        <v>23</v>
      </c>
      <c r="M1717" s="85" t="s">
        <v>27</v>
      </c>
      <c r="N1717" s="86" t="s">
        <v>28</v>
      </c>
      <c r="O1717" s="86" t="s">
        <v>29</v>
      </c>
      <c r="P1717" s="86" t="s">
        <v>30</v>
      </c>
      <c r="Q1717" s="87" t="s">
        <v>31</v>
      </c>
      <c r="S1717" s="85" t="s">
        <v>56</v>
      </c>
      <c r="T1717" s="87" t="s">
        <v>57</v>
      </c>
      <c r="U1717" s="79"/>
      <c r="V1717" s="85" t="s">
        <v>68</v>
      </c>
      <c r="W1717" s="87" t="s">
        <v>69</v>
      </c>
      <c r="Y1717" s="85" t="s">
        <v>85</v>
      </c>
      <c r="Z1717" s="86" t="s">
        <v>88</v>
      </c>
      <c r="AA1717" s="87" t="s">
        <v>89</v>
      </c>
    </row>
    <row r="1718" spans="1:27">
      <c r="A1718" s="216"/>
      <c r="B1718" s="217"/>
      <c r="F1718" s="88" t="s">
        <v>2</v>
      </c>
      <c r="G1718" s="134" t="s">
        <v>3102</v>
      </c>
      <c r="I1718" s="88" t="s">
        <v>24</v>
      </c>
      <c r="J1718" s="72">
        <v>5</v>
      </c>
      <c r="K1718" s="89">
        <v>120</v>
      </c>
      <c r="M1718" s="88" t="s">
        <v>2376</v>
      </c>
      <c r="N1718" s="72" t="s">
        <v>33</v>
      </c>
      <c r="O1718" s="72" t="s">
        <v>43</v>
      </c>
      <c r="P1718" s="72" t="s">
        <v>33</v>
      </c>
      <c r="Q1718" s="89" t="s">
        <v>1984</v>
      </c>
      <c r="S1718" s="88" t="s">
        <v>58</v>
      </c>
      <c r="T1718" s="89" t="s">
        <v>3103</v>
      </c>
      <c r="V1718" s="138" t="s">
        <v>70</v>
      </c>
      <c r="W1718" s="139" t="s">
        <v>3104</v>
      </c>
      <c r="Y1718" s="138" t="s">
        <v>90</v>
      </c>
      <c r="Z1718" s="137">
        <v>120</v>
      </c>
      <c r="AA1718" s="139">
        <v>75</v>
      </c>
    </row>
    <row r="1719" spans="1:27">
      <c r="A1719" s="216"/>
      <c r="B1719" s="217"/>
      <c r="F1719" s="88" t="s">
        <v>4</v>
      </c>
      <c r="G1719" s="112" t="s">
        <v>894</v>
      </c>
      <c r="I1719" s="88" t="s">
        <v>25</v>
      </c>
      <c r="J1719" s="80">
        <v>6</v>
      </c>
      <c r="K1719" s="89">
        <v>95</v>
      </c>
      <c r="M1719" s="88" t="s">
        <v>37</v>
      </c>
      <c r="N1719" s="72" t="s">
        <v>33</v>
      </c>
      <c r="O1719" s="72" t="s">
        <v>34</v>
      </c>
      <c r="P1719" s="72" t="s">
        <v>35</v>
      </c>
      <c r="Q1719" s="89" t="s">
        <v>1778</v>
      </c>
      <c r="S1719" s="88" t="s">
        <v>60</v>
      </c>
      <c r="T1719" s="89" t="s">
        <v>2887</v>
      </c>
      <c r="V1719" s="135" t="s">
        <v>73</v>
      </c>
      <c r="W1719" s="136" t="s">
        <v>3020</v>
      </c>
      <c r="Y1719" s="88" t="s">
        <v>91</v>
      </c>
      <c r="Z1719" s="72">
        <v>95</v>
      </c>
      <c r="AA1719" s="89">
        <v>125</v>
      </c>
    </row>
    <row r="1720" spans="1:27">
      <c r="A1720" s="216"/>
      <c r="B1720" s="217"/>
      <c r="F1720" s="88" t="s">
        <v>6</v>
      </c>
      <c r="G1720" s="112" t="s">
        <v>895</v>
      </c>
      <c r="I1720" s="90" t="s">
        <v>26</v>
      </c>
      <c r="J1720" s="91"/>
      <c r="K1720" s="92">
        <v>215</v>
      </c>
      <c r="M1720" s="88" t="s">
        <v>32</v>
      </c>
      <c r="N1720" s="72" t="s">
        <v>33</v>
      </c>
      <c r="O1720" s="72" t="s">
        <v>34</v>
      </c>
      <c r="P1720" s="72" t="s">
        <v>35</v>
      </c>
      <c r="Q1720" s="89" t="s">
        <v>3105</v>
      </c>
      <c r="S1720" s="88" t="s">
        <v>62</v>
      </c>
      <c r="T1720" s="89" t="s">
        <v>3106</v>
      </c>
      <c r="V1720" s="88" t="s">
        <v>76</v>
      </c>
      <c r="W1720" s="89" t="s">
        <v>3107</v>
      </c>
      <c r="Y1720" s="88" t="s">
        <v>26</v>
      </c>
      <c r="Z1720" s="72">
        <v>215</v>
      </c>
      <c r="AA1720" s="89">
        <v>200</v>
      </c>
    </row>
    <row r="1721" spans="1:27">
      <c r="A1721" s="216"/>
      <c r="B1721" s="217"/>
      <c r="F1721" s="88" t="s">
        <v>8</v>
      </c>
      <c r="G1721" s="112" t="s">
        <v>3108</v>
      </c>
      <c r="M1721" s="88" t="s">
        <v>1553</v>
      </c>
      <c r="N1721" s="72" t="s">
        <v>33</v>
      </c>
      <c r="O1721" s="72" t="s">
        <v>43</v>
      </c>
      <c r="P1721" s="72" t="s">
        <v>33</v>
      </c>
      <c r="Q1721" s="89" t="s">
        <v>1811</v>
      </c>
      <c r="S1721" s="119" t="s">
        <v>64</v>
      </c>
      <c r="T1721" s="120" t="s">
        <v>3109</v>
      </c>
      <c r="V1721" s="88" t="s">
        <v>79</v>
      </c>
      <c r="W1721" s="89" t="s">
        <v>1584</v>
      </c>
      <c r="Y1721" s="90" t="s">
        <v>92</v>
      </c>
      <c r="Z1721" s="91"/>
      <c r="AA1721" s="122">
        <v>7.0000000000000007E-2</v>
      </c>
    </row>
    <row r="1722" spans="1:27">
      <c r="A1722" s="216"/>
      <c r="B1722" s="217"/>
      <c r="F1722" s="88" t="s">
        <v>10</v>
      </c>
      <c r="G1722" s="112" t="s">
        <v>12</v>
      </c>
      <c r="M1722" s="88" t="s">
        <v>3110</v>
      </c>
      <c r="N1722" s="72" t="s">
        <v>33</v>
      </c>
      <c r="O1722" s="72" t="s">
        <v>43</v>
      </c>
      <c r="P1722" s="72" t="s">
        <v>33</v>
      </c>
      <c r="Q1722" s="89" t="s">
        <v>2301</v>
      </c>
      <c r="S1722" s="90" t="s">
        <v>66</v>
      </c>
      <c r="T1722" s="133" t="s">
        <v>1815</v>
      </c>
      <c r="V1722" s="90" t="s">
        <v>82</v>
      </c>
      <c r="W1722" s="92" t="s">
        <v>3111</v>
      </c>
    </row>
    <row r="1723" spans="1:27">
      <c r="A1723" s="216"/>
      <c r="B1723" s="217"/>
      <c r="F1723" s="88" t="s">
        <v>13</v>
      </c>
      <c r="G1723" s="201" t="s">
        <v>3112</v>
      </c>
      <c r="M1723" s="88" t="s">
        <v>3113</v>
      </c>
      <c r="N1723" s="72" t="s">
        <v>35</v>
      </c>
      <c r="O1723" s="72" t="s">
        <v>52</v>
      </c>
      <c r="P1723" s="72" t="s">
        <v>35</v>
      </c>
      <c r="Q1723" s="89" t="s">
        <v>3114</v>
      </c>
    </row>
    <row r="1724" spans="1:27">
      <c r="A1724" s="216"/>
      <c r="B1724" s="217"/>
      <c r="F1724" s="88" t="s">
        <v>15</v>
      </c>
      <c r="G1724" s="112" t="s">
        <v>3115</v>
      </c>
      <c r="M1724" s="88" t="s">
        <v>1679</v>
      </c>
      <c r="N1724" s="72" t="s">
        <v>35</v>
      </c>
      <c r="O1724" s="72" t="s">
        <v>52</v>
      </c>
      <c r="P1724" s="72" t="s">
        <v>35</v>
      </c>
      <c r="Q1724" s="89" t="s">
        <v>2763</v>
      </c>
    </row>
    <row r="1725" spans="1:27">
      <c r="A1725" s="216"/>
      <c r="B1725" s="217"/>
      <c r="F1725" s="119" t="s">
        <v>17</v>
      </c>
      <c r="G1725" s="144">
        <v>46054</v>
      </c>
      <c r="M1725" s="88" t="s">
        <v>3116</v>
      </c>
      <c r="N1725" s="72" t="s">
        <v>35</v>
      </c>
      <c r="O1725" s="72" t="s">
        <v>52</v>
      </c>
      <c r="P1725" s="72" t="s">
        <v>35</v>
      </c>
      <c r="Q1725" s="89" t="s">
        <v>2041</v>
      </c>
    </row>
    <row r="1726" spans="1:27">
      <c r="A1726" s="218"/>
      <c r="B1726" s="219"/>
      <c r="F1726" s="90" t="s">
        <v>18</v>
      </c>
      <c r="G1726" s="114" t="s">
        <v>19</v>
      </c>
      <c r="M1726" s="88" t="s">
        <v>2545</v>
      </c>
      <c r="N1726" s="72" t="s">
        <v>35</v>
      </c>
      <c r="O1726" s="72" t="s">
        <v>52</v>
      </c>
      <c r="P1726" s="72" t="s">
        <v>35</v>
      </c>
      <c r="Q1726" s="89" t="s">
        <v>2963</v>
      </c>
    </row>
    <row r="1727" spans="1:27">
      <c r="M1727" s="88" t="s">
        <v>1975</v>
      </c>
      <c r="N1727" s="72" t="s">
        <v>35</v>
      </c>
      <c r="O1727" s="72" t="s">
        <v>52</v>
      </c>
      <c r="P1727" s="72" t="s">
        <v>35</v>
      </c>
      <c r="Q1727" s="89" t="s">
        <v>1792</v>
      </c>
    </row>
    <row r="1728" spans="1:27">
      <c r="M1728" s="88" t="s">
        <v>1626</v>
      </c>
      <c r="N1728" s="72" t="s">
        <v>35</v>
      </c>
      <c r="O1728" s="72" t="s">
        <v>52</v>
      </c>
      <c r="P1728" s="72" t="s">
        <v>35</v>
      </c>
      <c r="Q1728" s="89" t="s">
        <v>2749</v>
      </c>
    </row>
    <row r="1729" spans="1:27">
      <c r="M1729" s="88"/>
      <c r="N1729" s="72"/>
      <c r="O1729" s="72"/>
      <c r="P1729" s="72"/>
      <c r="Q1729" s="89"/>
    </row>
    <row r="1730" spans="1:27">
      <c r="M1730" s="90"/>
      <c r="N1730" s="91"/>
      <c r="O1730" s="91"/>
      <c r="P1730" s="91"/>
      <c r="Q1730" s="92"/>
    </row>
    <row r="1736" spans="1:27">
      <c r="A1736" s="214" t="s">
        <v>520</v>
      </c>
      <c r="B1736" s="215"/>
      <c r="F1736" s="85" t="s">
        <v>0</v>
      </c>
      <c r="G1736" s="118" t="s">
        <v>1</v>
      </c>
      <c r="I1736" s="85" t="s">
        <v>20</v>
      </c>
      <c r="J1736" s="86" t="s">
        <v>21</v>
      </c>
      <c r="K1736" s="87" t="s">
        <v>23</v>
      </c>
      <c r="M1736" s="85" t="s">
        <v>27</v>
      </c>
      <c r="N1736" s="86" t="s">
        <v>28</v>
      </c>
      <c r="O1736" s="86" t="s">
        <v>29</v>
      </c>
      <c r="P1736" s="86" t="s">
        <v>30</v>
      </c>
      <c r="Q1736" s="87" t="s">
        <v>31</v>
      </c>
      <c r="S1736" s="85" t="s">
        <v>56</v>
      </c>
      <c r="T1736" s="87" t="s">
        <v>57</v>
      </c>
      <c r="U1736" s="79"/>
      <c r="V1736" s="85" t="s">
        <v>68</v>
      </c>
      <c r="W1736" s="87" t="s">
        <v>69</v>
      </c>
      <c r="Y1736" s="85" t="s">
        <v>85</v>
      </c>
      <c r="Z1736" s="86" t="s">
        <v>88</v>
      </c>
      <c r="AA1736" s="87" t="s">
        <v>89</v>
      </c>
    </row>
    <row r="1737" spans="1:27">
      <c r="A1737" s="216"/>
      <c r="B1737" s="217"/>
      <c r="F1737" s="88" t="s">
        <v>2</v>
      </c>
      <c r="G1737" s="134" t="s">
        <v>520</v>
      </c>
      <c r="I1737" s="88" t="s">
        <v>24</v>
      </c>
      <c r="J1737" s="72">
        <v>6</v>
      </c>
      <c r="K1737" s="89">
        <v>145</v>
      </c>
      <c r="M1737" s="88" t="s">
        <v>3117</v>
      </c>
      <c r="N1737" s="72" t="s">
        <v>33</v>
      </c>
      <c r="O1737" s="72" t="s">
        <v>43</v>
      </c>
      <c r="P1737" s="72" t="s">
        <v>33</v>
      </c>
      <c r="Q1737" s="89" t="s">
        <v>3118</v>
      </c>
      <c r="S1737" s="88" t="s">
        <v>58</v>
      </c>
      <c r="T1737" s="89" t="s">
        <v>3119</v>
      </c>
      <c r="V1737" s="138" t="s">
        <v>70</v>
      </c>
      <c r="W1737" s="139" t="s">
        <v>3120</v>
      </c>
      <c r="Y1737" s="138" t="s">
        <v>90</v>
      </c>
      <c r="Z1737" s="137">
        <v>145</v>
      </c>
      <c r="AA1737" s="139">
        <v>90</v>
      </c>
    </row>
    <row r="1738" spans="1:27">
      <c r="A1738" s="216"/>
      <c r="B1738" s="217"/>
      <c r="F1738" s="88" t="s">
        <v>4</v>
      </c>
      <c r="G1738" s="112" t="s">
        <v>894</v>
      </c>
      <c r="I1738" s="88" t="s">
        <v>25</v>
      </c>
      <c r="J1738" s="80">
        <v>5</v>
      </c>
      <c r="K1738" s="89">
        <v>85</v>
      </c>
      <c r="M1738" s="88" t="s">
        <v>3121</v>
      </c>
      <c r="N1738" s="72" t="s">
        <v>33</v>
      </c>
      <c r="O1738" s="72" t="s">
        <v>34</v>
      </c>
      <c r="P1738" s="72" t="s">
        <v>35</v>
      </c>
      <c r="Q1738" s="89" t="s">
        <v>3122</v>
      </c>
      <c r="S1738" s="88" t="s">
        <v>60</v>
      </c>
      <c r="T1738" s="89" t="s">
        <v>2728</v>
      </c>
      <c r="V1738" s="135" t="s">
        <v>73</v>
      </c>
      <c r="W1738" s="136" t="s">
        <v>3123</v>
      </c>
      <c r="Y1738" s="88" t="s">
        <v>91</v>
      </c>
      <c r="Z1738" s="72">
        <v>85</v>
      </c>
      <c r="AA1738" s="89">
        <v>120</v>
      </c>
    </row>
    <row r="1739" spans="1:27">
      <c r="A1739" s="216"/>
      <c r="B1739" s="217"/>
      <c r="F1739" s="88" t="s">
        <v>6</v>
      </c>
      <c r="G1739" s="112" t="s">
        <v>895</v>
      </c>
      <c r="I1739" s="90" t="s">
        <v>26</v>
      </c>
      <c r="J1739" s="91"/>
      <c r="K1739" s="92">
        <v>230</v>
      </c>
      <c r="M1739" s="88" t="s">
        <v>37</v>
      </c>
      <c r="N1739" s="72" t="s">
        <v>33</v>
      </c>
      <c r="O1739" s="72" t="s">
        <v>34</v>
      </c>
      <c r="P1739" s="72" t="s">
        <v>35</v>
      </c>
      <c r="Q1739" s="89" t="s">
        <v>1665</v>
      </c>
      <c r="S1739" s="88" t="s">
        <v>62</v>
      </c>
      <c r="T1739" s="89" t="s">
        <v>2556</v>
      </c>
      <c r="V1739" s="88" t="s">
        <v>76</v>
      </c>
      <c r="W1739" s="89" t="s">
        <v>3124</v>
      </c>
      <c r="Y1739" s="88" t="s">
        <v>26</v>
      </c>
      <c r="Z1739" s="72">
        <v>230</v>
      </c>
      <c r="AA1739" s="89">
        <v>210</v>
      </c>
    </row>
    <row r="1740" spans="1:27">
      <c r="A1740" s="216"/>
      <c r="B1740" s="217"/>
      <c r="F1740" s="88" t="s">
        <v>8</v>
      </c>
      <c r="G1740" s="112" t="s">
        <v>1298</v>
      </c>
      <c r="M1740" s="88" t="s">
        <v>1553</v>
      </c>
      <c r="N1740" s="72" t="s">
        <v>33</v>
      </c>
      <c r="O1740" s="72" t="s">
        <v>43</v>
      </c>
      <c r="P1740" s="72" t="s">
        <v>33</v>
      </c>
      <c r="Q1740" s="89" t="s">
        <v>1811</v>
      </c>
      <c r="S1740" s="119" t="s">
        <v>64</v>
      </c>
      <c r="T1740" s="120" t="s">
        <v>3125</v>
      </c>
      <c r="V1740" s="88" t="s">
        <v>79</v>
      </c>
      <c r="W1740" s="89" t="s">
        <v>1584</v>
      </c>
      <c r="Y1740" s="90" t="s">
        <v>92</v>
      </c>
      <c r="Z1740" s="91"/>
      <c r="AA1740" s="122">
        <v>0.09</v>
      </c>
    </row>
    <row r="1741" spans="1:27">
      <c r="A1741" s="216"/>
      <c r="B1741" s="217"/>
      <c r="F1741" s="88" t="s">
        <v>10</v>
      </c>
      <c r="G1741" s="112" t="s">
        <v>12</v>
      </c>
      <c r="M1741" s="88" t="s">
        <v>42</v>
      </c>
      <c r="N1741" s="72" t="s">
        <v>33</v>
      </c>
      <c r="O1741" s="72" t="s">
        <v>34</v>
      </c>
      <c r="P1741" s="72" t="s">
        <v>35</v>
      </c>
      <c r="Q1741" s="89" t="s">
        <v>2837</v>
      </c>
      <c r="S1741" s="90" t="s">
        <v>66</v>
      </c>
      <c r="T1741" s="133" t="s">
        <v>1988</v>
      </c>
      <c r="V1741" s="90" t="s">
        <v>82</v>
      </c>
      <c r="W1741" s="92" t="s">
        <v>2891</v>
      </c>
    </row>
    <row r="1742" spans="1:27">
      <c r="A1742" s="216"/>
      <c r="B1742" s="217"/>
      <c r="F1742" s="88" t="s">
        <v>13</v>
      </c>
      <c r="G1742" s="201" t="s">
        <v>1408</v>
      </c>
      <c r="M1742" s="88" t="s">
        <v>3126</v>
      </c>
      <c r="N1742" s="72" t="s">
        <v>33</v>
      </c>
      <c r="O1742" s="72" t="s">
        <v>43</v>
      </c>
      <c r="P1742" s="72" t="s">
        <v>33</v>
      </c>
      <c r="Q1742" s="89" t="s">
        <v>2893</v>
      </c>
    </row>
    <row r="1743" spans="1:27">
      <c r="A1743" s="216"/>
      <c r="B1743" s="217"/>
      <c r="F1743" s="88" t="s">
        <v>15</v>
      </c>
      <c r="G1743" s="112" t="s">
        <v>3127</v>
      </c>
      <c r="M1743" s="88" t="s">
        <v>3128</v>
      </c>
      <c r="N1743" s="72" t="s">
        <v>35</v>
      </c>
      <c r="O1743" s="72" t="s">
        <v>52</v>
      </c>
      <c r="P1743" s="72" t="s">
        <v>35</v>
      </c>
      <c r="Q1743" s="89" t="s">
        <v>3129</v>
      </c>
    </row>
    <row r="1744" spans="1:27">
      <c r="A1744" s="216"/>
      <c r="B1744" s="217"/>
      <c r="F1744" s="119" t="s">
        <v>17</v>
      </c>
      <c r="G1744" s="144">
        <v>46054</v>
      </c>
      <c r="M1744" s="88" t="s">
        <v>1794</v>
      </c>
      <c r="N1744" s="72" t="s">
        <v>35</v>
      </c>
      <c r="O1744" s="72" t="s">
        <v>52</v>
      </c>
      <c r="P1744" s="72" t="s">
        <v>35</v>
      </c>
      <c r="Q1744" s="89" t="s">
        <v>3130</v>
      </c>
    </row>
    <row r="1745" spans="1:27">
      <c r="A1745" s="218"/>
      <c r="B1745" s="219"/>
      <c r="F1745" s="90" t="s">
        <v>18</v>
      </c>
      <c r="G1745" s="114" t="s">
        <v>19</v>
      </c>
      <c r="M1745" s="88" t="s">
        <v>3131</v>
      </c>
      <c r="N1745" s="72" t="s">
        <v>35</v>
      </c>
      <c r="O1745" s="72" t="s">
        <v>52</v>
      </c>
      <c r="P1745" s="72" t="s">
        <v>35</v>
      </c>
      <c r="Q1745" s="89" t="s">
        <v>1742</v>
      </c>
    </row>
    <row r="1746" spans="1:27">
      <c r="M1746" s="88" t="s">
        <v>2545</v>
      </c>
      <c r="N1746" s="72" t="s">
        <v>35</v>
      </c>
      <c r="O1746" s="72" t="s">
        <v>52</v>
      </c>
      <c r="P1746" s="72" t="s">
        <v>35</v>
      </c>
      <c r="Q1746" s="89" t="s">
        <v>2882</v>
      </c>
    </row>
    <row r="1747" spans="1:27">
      <c r="M1747" s="90" t="s">
        <v>1975</v>
      </c>
      <c r="N1747" s="91" t="s">
        <v>35</v>
      </c>
      <c r="O1747" s="91" t="s">
        <v>52</v>
      </c>
      <c r="P1747" s="91" t="s">
        <v>35</v>
      </c>
      <c r="Q1747" s="92" t="s">
        <v>2866</v>
      </c>
    </row>
    <row r="1748" spans="1:27">
      <c r="M1748" s="130"/>
      <c r="N1748" s="130"/>
      <c r="O1748" s="130"/>
      <c r="P1748" s="130"/>
      <c r="Q1748" s="130"/>
    </row>
    <row r="1749" spans="1:27">
      <c r="M1749" s="130"/>
      <c r="N1749" s="130"/>
      <c r="O1749" s="130"/>
      <c r="P1749" s="130"/>
      <c r="Q1749" s="130"/>
    </row>
    <row r="1753" spans="1:27">
      <c r="A1753" s="214" t="s">
        <v>522</v>
      </c>
      <c r="B1753" s="215"/>
      <c r="F1753" s="85" t="s">
        <v>0</v>
      </c>
      <c r="G1753" s="118" t="s">
        <v>1</v>
      </c>
      <c r="I1753" s="85" t="s">
        <v>20</v>
      </c>
      <c r="J1753" s="86" t="s">
        <v>21</v>
      </c>
      <c r="K1753" s="87" t="s">
        <v>23</v>
      </c>
      <c r="M1753" s="85" t="s">
        <v>27</v>
      </c>
      <c r="N1753" s="86" t="s">
        <v>28</v>
      </c>
      <c r="O1753" s="86" t="s">
        <v>29</v>
      </c>
      <c r="P1753" s="86" t="s">
        <v>30</v>
      </c>
      <c r="Q1753" s="87" t="s">
        <v>31</v>
      </c>
      <c r="S1753" s="85" t="s">
        <v>56</v>
      </c>
      <c r="T1753" s="87" t="s">
        <v>57</v>
      </c>
      <c r="U1753" s="79"/>
      <c r="V1753" s="85" t="s">
        <v>68</v>
      </c>
      <c r="W1753" s="87" t="s">
        <v>69</v>
      </c>
      <c r="Y1753" s="85" t="s">
        <v>85</v>
      </c>
      <c r="Z1753" s="86" t="s">
        <v>88</v>
      </c>
      <c r="AA1753" s="87" t="s">
        <v>89</v>
      </c>
    </row>
    <row r="1754" spans="1:27">
      <c r="A1754" s="216"/>
      <c r="B1754" s="217"/>
      <c r="F1754" s="88" t="s">
        <v>2</v>
      </c>
      <c r="G1754" s="134" t="s">
        <v>522</v>
      </c>
      <c r="I1754" s="88" t="s">
        <v>24</v>
      </c>
      <c r="J1754" s="72">
        <v>7</v>
      </c>
      <c r="K1754" s="89">
        <v>205</v>
      </c>
      <c r="M1754" s="88" t="s">
        <v>3132</v>
      </c>
      <c r="N1754" s="72" t="s">
        <v>33</v>
      </c>
      <c r="O1754" s="72" t="s">
        <v>34</v>
      </c>
      <c r="P1754" s="72" t="s">
        <v>35</v>
      </c>
      <c r="Q1754" s="89" t="s">
        <v>2793</v>
      </c>
      <c r="S1754" s="88" t="s">
        <v>58</v>
      </c>
      <c r="T1754" s="89" t="s">
        <v>2794</v>
      </c>
      <c r="V1754" s="138" t="s">
        <v>70</v>
      </c>
      <c r="W1754" s="139" t="s">
        <v>2795</v>
      </c>
      <c r="Y1754" s="138" t="s">
        <v>90</v>
      </c>
      <c r="Z1754" s="137">
        <v>205</v>
      </c>
      <c r="AA1754" s="139">
        <v>130</v>
      </c>
    </row>
    <row r="1755" spans="1:27">
      <c r="A1755" s="216"/>
      <c r="B1755" s="217"/>
      <c r="F1755" s="88" t="s">
        <v>4</v>
      </c>
      <c r="G1755" s="112" t="s">
        <v>894</v>
      </c>
      <c r="I1755" s="88" t="s">
        <v>25</v>
      </c>
      <c r="J1755" s="80">
        <v>5</v>
      </c>
      <c r="K1755" s="89">
        <v>105</v>
      </c>
      <c r="M1755" s="88" t="s">
        <v>1723</v>
      </c>
      <c r="N1755" s="72" t="s">
        <v>33</v>
      </c>
      <c r="O1755" s="72" t="s">
        <v>43</v>
      </c>
      <c r="P1755" s="72" t="s">
        <v>33</v>
      </c>
      <c r="Q1755" s="89" t="s">
        <v>2274</v>
      </c>
      <c r="S1755" s="88" t="s">
        <v>60</v>
      </c>
      <c r="T1755" s="89" t="s">
        <v>3133</v>
      </c>
      <c r="V1755" s="135" t="s">
        <v>73</v>
      </c>
      <c r="W1755" s="136" t="s">
        <v>2818</v>
      </c>
      <c r="Y1755" s="88" t="s">
        <v>91</v>
      </c>
      <c r="Z1755" s="72">
        <v>105</v>
      </c>
      <c r="AA1755" s="89">
        <v>145</v>
      </c>
    </row>
    <row r="1756" spans="1:27">
      <c r="A1756" s="216"/>
      <c r="B1756" s="217"/>
      <c r="F1756" s="88" t="s">
        <v>6</v>
      </c>
      <c r="G1756" s="112" t="s">
        <v>1484</v>
      </c>
      <c r="I1756" s="90" t="s">
        <v>26</v>
      </c>
      <c r="J1756" s="91"/>
      <c r="K1756" s="92">
        <v>310</v>
      </c>
      <c r="M1756" s="88" t="s">
        <v>37</v>
      </c>
      <c r="N1756" s="72" t="s">
        <v>33</v>
      </c>
      <c r="O1756" s="72" t="s">
        <v>34</v>
      </c>
      <c r="P1756" s="72" t="s">
        <v>35</v>
      </c>
      <c r="Q1756" s="89" t="s">
        <v>1778</v>
      </c>
      <c r="S1756" s="88" t="s">
        <v>62</v>
      </c>
      <c r="T1756" s="89" t="s">
        <v>3134</v>
      </c>
      <c r="V1756" s="88" t="s">
        <v>76</v>
      </c>
      <c r="W1756" s="89" t="s">
        <v>3043</v>
      </c>
      <c r="Y1756" s="88" t="s">
        <v>26</v>
      </c>
      <c r="Z1756" s="72">
        <v>310</v>
      </c>
      <c r="AA1756" s="89">
        <v>275</v>
      </c>
    </row>
    <row r="1757" spans="1:27">
      <c r="A1757" s="216"/>
      <c r="B1757" s="217"/>
      <c r="F1757" s="88" t="s">
        <v>8</v>
      </c>
      <c r="G1757" s="112" t="s">
        <v>2801</v>
      </c>
      <c r="M1757" s="88" t="s">
        <v>1841</v>
      </c>
      <c r="N1757" s="72" t="s">
        <v>33</v>
      </c>
      <c r="O1757" s="72" t="s">
        <v>43</v>
      </c>
      <c r="P1757" s="72" t="s">
        <v>33</v>
      </c>
      <c r="Q1757" s="89" t="s">
        <v>3135</v>
      </c>
      <c r="S1757" s="119" t="s">
        <v>64</v>
      </c>
      <c r="T1757" s="120" t="s">
        <v>3136</v>
      </c>
      <c r="V1757" s="88" t="s">
        <v>79</v>
      </c>
      <c r="W1757" s="89" t="s">
        <v>1726</v>
      </c>
      <c r="Y1757" s="90" t="s">
        <v>92</v>
      </c>
      <c r="Z1757" s="91"/>
      <c r="AA1757" s="122">
        <v>0.11</v>
      </c>
    </row>
    <row r="1758" spans="1:27">
      <c r="A1758" s="216"/>
      <c r="B1758" s="217"/>
      <c r="F1758" s="88" t="s">
        <v>10</v>
      </c>
      <c r="G1758" s="112" t="s">
        <v>1403</v>
      </c>
      <c r="M1758" s="88" t="s">
        <v>42</v>
      </c>
      <c r="N1758" s="72" t="s">
        <v>33</v>
      </c>
      <c r="O1758" s="72" t="s">
        <v>34</v>
      </c>
      <c r="P1758" s="72" t="s">
        <v>35</v>
      </c>
      <c r="Q1758" s="89" t="s">
        <v>2837</v>
      </c>
      <c r="S1758" s="90" t="s">
        <v>66</v>
      </c>
      <c r="T1758" s="133" t="s">
        <v>2070</v>
      </c>
      <c r="V1758" s="90" t="s">
        <v>82</v>
      </c>
      <c r="W1758" s="92" t="s">
        <v>3046</v>
      </c>
    </row>
    <row r="1759" spans="1:27" ht="30.75">
      <c r="A1759" s="216"/>
      <c r="B1759" s="217"/>
      <c r="F1759" s="88" t="s">
        <v>13</v>
      </c>
      <c r="G1759" s="210" t="s">
        <v>3137</v>
      </c>
      <c r="M1759" s="88" t="s">
        <v>3138</v>
      </c>
      <c r="N1759" s="72" t="s">
        <v>33</v>
      </c>
      <c r="O1759" s="72" t="s">
        <v>43</v>
      </c>
      <c r="P1759" s="72" t="s">
        <v>33</v>
      </c>
      <c r="Q1759" s="89" t="s">
        <v>2301</v>
      </c>
    </row>
    <row r="1760" spans="1:27">
      <c r="A1760" s="216"/>
      <c r="B1760" s="217"/>
      <c r="F1760" s="88" t="s">
        <v>15</v>
      </c>
      <c r="G1760" s="112" t="s">
        <v>3139</v>
      </c>
      <c r="M1760" s="88" t="s">
        <v>1886</v>
      </c>
      <c r="N1760" s="72" t="s">
        <v>33</v>
      </c>
      <c r="O1760" s="72" t="s">
        <v>34</v>
      </c>
      <c r="P1760" s="72" t="s">
        <v>35</v>
      </c>
      <c r="Q1760" s="89" t="s">
        <v>3140</v>
      </c>
    </row>
    <row r="1761" spans="1:27">
      <c r="A1761" s="216"/>
      <c r="B1761" s="217"/>
      <c r="F1761" s="119" t="s">
        <v>17</v>
      </c>
      <c r="G1761" s="144">
        <v>46040</v>
      </c>
      <c r="M1761" s="88" t="s">
        <v>1972</v>
      </c>
      <c r="N1761" s="72" t="s">
        <v>35</v>
      </c>
      <c r="O1761" s="72" t="s">
        <v>52</v>
      </c>
      <c r="P1761" s="72" t="s">
        <v>35</v>
      </c>
      <c r="Q1761" s="89" t="s">
        <v>3141</v>
      </c>
    </row>
    <row r="1762" spans="1:27">
      <c r="A1762" s="218"/>
      <c r="B1762" s="219"/>
      <c r="F1762" s="90" t="s">
        <v>18</v>
      </c>
      <c r="G1762" s="114" t="s">
        <v>19</v>
      </c>
      <c r="M1762" s="88" t="s">
        <v>1679</v>
      </c>
      <c r="N1762" s="72" t="s">
        <v>35</v>
      </c>
      <c r="O1762" s="72" t="s">
        <v>52</v>
      </c>
      <c r="P1762" s="72" t="s">
        <v>35</v>
      </c>
      <c r="Q1762" s="89" t="s">
        <v>2763</v>
      </c>
    </row>
    <row r="1763" spans="1:27">
      <c r="M1763" s="88" t="s">
        <v>2059</v>
      </c>
      <c r="N1763" s="72" t="s">
        <v>35</v>
      </c>
      <c r="O1763" s="72" t="s">
        <v>52</v>
      </c>
      <c r="P1763" s="72" t="s">
        <v>35</v>
      </c>
      <c r="Q1763" s="89" t="s">
        <v>2746</v>
      </c>
    </row>
    <row r="1764" spans="1:27">
      <c r="M1764" s="88" t="s">
        <v>2545</v>
      </c>
      <c r="N1764" s="72" t="s">
        <v>35</v>
      </c>
      <c r="O1764" s="72" t="s">
        <v>52</v>
      </c>
      <c r="P1764" s="72" t="s">
        <v>35</v>
      </c>
      <c r="Q1764" s="89" t="s">
        <v>2963</v>
      </c>
    </row>
    <row r="1765" spans="1:27">
      <c r="M1765" s="90" t="s">
        <v>1975</v>
      </c>
      <c r="N1765" s="91" t="s">
        <v>35</v>
      </c>
      <c r="O1765" s="91" t="s">
        <v>52</v>
      </c>
      <c r="P1765" s="91" t="s">
        <v>35</v>
      </c>
      <c r="Q1765" s="92" t="s">
        <v>1826</v>
      </c>
    </row>
    <row r="1769" spans="1:27">
      <c r="A1769" s="214" t="s">
        <v>398</v>
      </c>
      <c r="B1769" s="215"/>
      <c r="F1769" s="85" t="s">
        <v>0</v>
      </c>
      <c r="G1769" s="118" t="s">
        <v>1</v>
      </c>
      <c r="I1769" s="85" t="s">
        <v>3142</v>
      </c>
      <c r="J1769" s="86" t="s">
        <v>21</v>
      </c>
      <c r="K1769" s="87" t="s">
        <v>23</v>
      </c>
      <c r="M1769" s="85" t="s">
        <v>27</v>
      </c>
      <c r="N1769" s="86" t="s">
        <v>28</v>
      </c>
      <c r="O1769" s="86" t="s">
        <v>29</v>
      </c>
      <c r="P1769" s="86" t="s">
        <v>30</v>
      </c>
      <c r="Q1769" s="87" t="s">
        <v>31</v>
      </c>
      <c r="S1769" s="85" t="s">
        <v>56</v>
      </c>
      <c r="T1769" s="87" t="s">
        <v>57</v>
      </c>
      <c r="U1769" s="79"/>
      <c r="V1769" s="85" t="s">
        <v>68</v>
      </c>
      <c r="W1769" s="87" t="s">
        <v>69</v>
      </c>
      <c r="Y1769" s="85" t="s">
        <v>85</v>
      </c>
      <c r="Z1769" s="86" t="s">
        <v>88</v>
      </c>
      <c r="AA1769" s="87" t="s">
        <v>89</v>
      </c>
    </row>
    <row r="1770" spans="1:27">
      <c r="A1770" s="216"/>
      <c r="B1770" s="217"/>
      <c r="F1770" s="88" t="s">
        <v>2</v>
      </c>
      <c r="G1770" s="134" t="s">
        <v>398</v>
      </c>
      <c r="I1770" s="88" t="s">
        <v>24</v>
      </c>
      <c r="J1770" s="72">
        <v>7</v>
      </c>
      <c r="K1770" s="89">
        <v>190</v>
      </c>
      <c r="M1770" s="88" t="s">
        <v>2917</v>
      </c>
      <c r="N1770" s="72" t="s">
        <v>33</v>
      </c>
      <c r="O1770" s="72" t="s">
        <v>43</v>
      </c>
      <c r="P1770" s="72" t="s">
        <v>33</v>
      </c>
      <c r="Q1770" s="89" t="s">
        <v>1984</v>
      </c>
      <c r="S1770" s="88" t="s">
        <v>58</v>
      </c>
      <c r="T1770" s="89" t="s">
        <v>3078</v>
      </c>
      <c r="V1770" s="138" t="s">
        <v>70</v>
      </c>
      <c r="W1770" s="139" t="s">
        <v>3143</v>
      </c>
      <c r="Y1770" s="138" t="s">
        <v>90</v>
      </c>
      <c r="Z1770" s="137">
        <v>190</v>
      </c>
      <c r="AA1770" s="139">
        <v>120</v>
      </c>
    </row>
    <row r="1771" spans="1:27">
      <c r="A1771" s="216"/>
      <c r="B1771" s="217"/>
      <c r="F1771" s="88" t="s">
        <v>4</v>
      </c>
      <c r="G1771" s="112" t="s">
        <v>894</v>
      </c>
      <c r="I1771" s="88" t="s">
        <v>25</v>
      </c>
      <c r="J1771" s="80">
        <v>5</v>
      </c>
      <c r="K1771" s="89">
        <v>100</v>
      </c>
      <c r="M1771" s="88" t="s">
        <v>1037</v>
      </c>
      <c r="N1771" s="72" t="s">
        <v>33</v>
      </c>
      <c r="O1771" s="72" t="s">
        <v>34</v>
      </c>
      <c r="P1771" s="72" t="s">
        <v>35</v>
      </c>
      <c r="Q1771" s="89" t="s">
        <v>2869</v>
      </c>
      <c r="S1771" s="88" t="s">
        <v>60</v>
      </c>
      <c r="T1771" s="89" t="s">
        <v>2204</v>
      </c>
      <c r="V1771" s="135" t="s">
        <v>73</v>
      </c>
      <c r="W1771" s="136" t="s">
        <v>2687</v>
      </c>
      <c r="Y1771" s="88" t="s">
        <v>91</v>
      </c>
      <c r="Z1771" s="72">
        <v>100</v>
      </c>
      <c r="AA1771" s="89">
        <v>140</v>
      </c>
    </row>
    <row r="1772" spans="1:27">
      <c r="A1772" s="216"/>
      <c r="B1772" s="217"/>
      <c r="F1772" s="88" t="s">
        <v>6</v>
      </c>
      <c r="G1772" s="112" t="s">
        <v>895</v>
      </c>
      <c r="I1772" s="90" t="s">
        <v>26</v>
      </c>
      <c r="J1772" s="91"/>
      <c r="K1772" s="92">
        <v>290</v>
      </c>
      <c r="M1772" s="88" t="s">
        <v>37</v>
      </c>
      <c r="N1772" s="72" t="s">
        <v>33</v>
      </c>
      <c r="O1772" s="72" t="s">
        <v>34</v>
      </c>
      <c r="P1772" s="72" t="s">
        <v>35</v>
      </c>
      <c r="Q1772" s="89" t="s">
        <v>1665</v>
      </c>
      <c r="S1772" s="88" t="s">
        <v>62</v>
      </c>
      <c r="T1772" s="89" t="s">
        <v>2854</v>
      </c>
      <c r="V1772" s="88" t="s">
        <v>76</v>
      </c>
      <c r="W1772" s="89" t="s">
        <v>3001</v>
      </c>
      <c r="Y1772" s="88" t="s">
        <v>26</v>
      </c>
      <c r="Z1772" s="72">
        <v>290</v>
      </c>
      <c r="AA1772" s="89">
        <v>260</v>
      </c>
    </row>
    <row r="1773" spans="1:27">
      <c r="A1773" s="216"/>
      <c r="B1773" s="217"/>
      <c r="F1773" s="88" t="s">
        <v>8</v>
      </c>
      <c r="G1773" s="112" t="s">
        <v>911</v>
      </c>
      <c r="M1773" s="88" t="s">
        <v>1553</v>
      </c>
      <c r="N1773" s="72" t="s">
        <v>33</v>
      </c>
      <c r="O1773" s="72" t="s">
        <v>43</v>
      </c>
      <c r="P1773" s="72" t="s">
        <v>33</v>
      </c>
      <c r="Q1773" s="89" t="s">
        <v>1811</v>
      </c>
      <c r="S1773" s="119" t="s">
        <v>64</v>
      </c>
      <c r="T1773" s="120" t="s">
        <v>3144</v>
      </c>
      <c r="V1773" s="88" t="s">
        <v>79</v>
      </c>
      <c r="W1773" s="89" t="s">
        <v>945</v>
      </c>
      <c r="Y1773" s="90" t="s">
        <v>92</v>
      </c>
      <c r="Z1773" s="91"/>
      <c r="AA1773" s="122">
        <v>0.1</v>
      </c>
    </row>
    <row r="1774" spans="1:27">
      <c r="A1774" s="216"/>
      <c r="B1774" s="217"/>
      <c r="F1774" s="88" t="s">
        <v>10</v>
      </c>
      <c r="G1774" s="112" t="s">
        <v>12</v>
      </c>
      <c r="M1774" s="88" t="s">
        <v>42</v>
      </c>
      <c r="N1774" s="72" t="s">
        <v>33</v>
      </c>
      <c r="O1774" s="72" t="s">
        <v>34</v>
      </c>
      <c r="P1774" s="72" t="s">
        <v>35</v>
      </c>
      <c r="Q1774" s="89" t="s">
        <v>2837</v>
      </c>
      <c r="S1774" s="90" t="s">
        <v>66</v>
      </c>
      <c r="T1774" s="133" t="s">
        <v>2947</v>
      </c>
      <c r="V1774" s="90" t="s">
        <v>82</v>
      </c>
      <c r="W1774" s="92" t="s">
        <v>2516</v>
      </c>
    </row>
    <row r="1775" spans="1:27">
      <c r="A1775" s="216"/>
      <c r="B1775" s="217"/>
      <c r="F1775" s="88" t="s">
        <v>13</v>
      </c>
      <c r="G1775" t="s">
        <v>1876</v>
      </c>
      <c r="M1775" s="88" t="s">
        <v>49</v>
      </c>
      <c r="N1775" s="72" t="s">
        <v>33</v>
      </c>
      <c r="O1775" s="72" t="s">
        <v>43</v>
      </c>
      <c r="P1775" s="72" t="s">
        <v>33</v>
      </c>
      <c r="Q1775" s="89" t="s">
        <v>1734</v>
      </c>
    </row>
    <row r="1776" spans="1:27">
      <c r="A1776" s="216"/>
      <c r="B1776" s="217"/>
      <c r="F1776" s="88" t="s">
        <v>15</v>
      </c>
      <c r="G1776" s="112" t="s">
        <v>3145</v>
      </c>
      <c r="M1776" s="88" t="s">
        <v>2698</v>
      </c>
      <c r="N1776" s="72" t="s">
        <v>33</v>
      </c>
      <c r="O1776" s="72" t="s">
        <v>34</v>
      </c>
      <c r="P1776" s="72" t="s">
        <v>35</v>
      </c>
      <c r="Q1776" s="89" t="s">
        <v>2761</v>
      </c>
    </row>
    <row r="1777" spans="1:27">
      <c r="A1777" s="216"/>
      <c r="B1777" s="217"/>
      <c r="F1777" s="119" t="s">
        <v>17</v>
      </c>
      <c r="G1777" s="144">
        <v>46060</v>
      </c>
      <c r="M1777" s="88" t="s">
        <v>2962</v>
      </c>
      <c r="N1777" s="72" t="s">
        <v>35</v>
      </c>
      <c r="O1777" s="72" t="s">
        <v>52</v>
      </c>
      <c r="P1777" s="72" t="s">
        <v>35</v>
      </c>
      <c r="Q1777" s="89" t="s">
        <v>1627</v>
      </c>
    </row>
    <row r="1778" spans="1:27">
      <c r="A1778" s="218"/>
      <c r="B1778" s="219"/>
      <c r="F1778" s="90" t="s">
        <v>18</v>
      </c>
      <c r="G1778" s="114" t="s">
        <v>19</v>
      </c>
      <c r="M1778" s="88" t="s">
        <v>1679</v>
      </c>
      <c r="N1778" s="72" t="s">
        <v>35</v>
      </c>
      <c r="O1778" s="72" t="s">
        <v>52</v>
      </c>
      <c r="P1778" s="72" t="s">
        <v>35</v>
      </c>
      <c r="Q1778" s="89" t="s">
        <v>2763</v>
      </c>
    </row>
    <row r="1779" spans="1:27">
      <c r="M1779" s="88" t="s">
        <v>2059</v>
      </c>
      <c r="N1779" s="72" t="s">
        <v>35</v>
      </c>
      <c r="O1779" s="72" t="s">
        <v>52</v>
      </c>
      <c r="P1779" s="72" t="s">
        <v>35</v>
      </c>
      <c r="Q1779" s="89" t="s">
        <v>2041</v>
      </c>
    </row>
    <row r="1780" spans="1:27">
      <c r="M1780" s="88" t="s">
        <v>2545</v>
      </c>
      <c r="N1780" s="72" t="s">
        <v>35</v>
      </c>
      <c r="O1780" s="72" t="s">
        <v>52</v>
      </c>
      <c r="P1780" s="72" t="s">
        <v>35</v>
      </c>
      <c r="Q1780" s="89" t="s">
        <v>2882</v>
      </c>
    </row>
    <row r="1781" spans="1:27">
      <c r="M1781" s="90" t="s">
        <v>1975</v>
      </c>
      <c r="N1781" s="91" t="s">
        <v>35</v>
      </c>
      <c r="O1781" s="91" t="s">
        <v>52</v>
      </c>
      <c r="P1781" s="91" t="s">
        <v>35</v>
      </c>
      <c r="Q1781" s="92" t="s">
        <v>2866</v>
      </c>
    </row>
    <row r="1787" spans="1:27">
      <c r="A1787" s="214" t="s">
        <v>406</v>
      </c>
      <c r="B1787" s="215"/>
      <c r="F1787" s="85" t="s">
        <v>0</v>
      </c>
      <c r="G1787" s="118" t="s">
        <v>1</v>
      </c>
      <c r="I1787" s="85" t="s">
        <v>20</v>
      </c>
      <c r="J1787" s="86" t="s">
        <v>21</v>
      </c>
      <c r="K1787" s="87" t="s">
        <v>23</v>
      </c>
      <c r="M1787" s="85" t="s">
        <v>27</v>
      </c>
      <c r="N1787" s="86" t="s">
        <v>28</v>
      </c>
      <c r="O1787" s="86" t="s">
        <v>29</v>
      </c>
      <c r="P1787" s="86" t="s">
        <v>30</v>
      </c>
      <c r="Q1787" s="87" t="s">
        <v>31</v>
      </c>
      <c r="S1787" s="85" t="s">
        <v>56</v>
      </c>
      <c r="T1787" s="87" t="s">
        <v>57</v>
      </c>
      <c r="U1787" s="79"/>
      <c r="V1787" s="85" t="s">
        <v>68</v>
      </c>
      <c r="W1787" s="87" t="s">
        <v>69</v>
      </c>
      <c r="Y1787" s="85" t="s">
        <v>85</v>
      </c>
      <c r="Z1787" s="86" t="s">
        <v>88</v>
      </c>
      <c r="AA1787" s="87" t="s">
        <v>89</v>
      </c>
    </row>
    <row r="1788" spans="1:27">
      <c r="A1788" s="216"/>
      <c r="B1788" s="217"/>
      <c r="F1788" s="88" t="s">
        <v>2</v>
      </c>
      <c r="G1788" s="134" t="s">
        <v>406</v>
      </c>
      <c r="I1788" s="88" t="s">
        <v>24</v>
      </c>
      <c r="J1788" s="72">
        <v>6</v>
      </c>
      <c r="K1788" s="89">
        <v>170</v>
      </c>
      <c r="M1788" s="88" t="s">
        <v>2940</v>
      </c>
      <c r="N1788" s="72" t="s">
        <v>33</v>
      </c>
      <c r="O1788" s="72" t="s">
        <v>43</v>
      </c>
      <c r="P1788" s="72" t="s">
        <v>33</v>
      </c>
      <c r="Q1788" s="89" t="s">
        <v>1984</v>
      </c>
      <c r="S1788" s="88" t="s">
        <v>58</v>
      </c>
      <c r="T1788" s="89" t="s">
        <v>2954</v>
      </c>
      <c r="V1788" s="138" t="s">
        <v>70</v>
      </c>
      <c r="W1788" s="139" t="s">
        <v>2088</v>
      </c>
      <c r="Y1788" s="138" t="s">
        <v>90</v>
      </c>
      <c r="Z1788" s="137">
        <v>170</v>
      </c>
      <c r="AA1788" s="139">
        <v>105</v>
      </c>
    </row>
    <row r="1789" spans="1:27">
      <c r="A1789" s="216"/>
      <c r="B1789" s="217"/>
      <c r="F1789" s="88" t="s">
        <v>4</v>
      </c>
      <c r="G1789" s="112" t="s">
        <v>894</v>
      </c>
      <c r="I1789" s="88" t="s">
        <v>25</v>
      </c>
      <c r="J1789" s="80">
        <v>5</v>
      </c>
      <c r="K1789" s="89">
        <v>90</v>
      </c>
      <c r="M1789" s="88" t="s">
        <v>32</v>
      </c>
      <c r="N1789" s="72" t="s">
        <v>33</v>
      </c>
      <c r="O1789" s="72" t="s">
        <v>34</v>
      </c>
      <c r="P1789" s="72" t="s">
        <v>35</v>
      </c>
      <c r="Q1789" s="89" t="s">
        <v>3146</v>
      </c>
      <c r="S1789" s="88" t="s">
        <v>60</v>
      </c>
      <c r="T1789" s="89" t="s">
        <v>2942</v>
      </c>
      <c r="V1789" s="135" t="s">
        <v>73</v>
      </c>
      <c r="W1789" s="136" t="s">
        <v>2687</v>
      </c>
      <c r="Y1789" s="88" t="s">
        <v>91</v>
      </c>
      <c r="Z1789" s="72">
        <v>90</v>
      </c>
      <c r="AA1789" s="89">
        <v>130</v>
      </c>
    </row>
    <row r="1790" spans="1:27">
      <c r="A1790" s="216"/>
      <c r="B1790" s="217"/>
      <c r="F1790" s="88" t="s">
        <v>6</v>
      </c>
      <c r="G1790" s="112" t="s">
        <v>1484</v>
      </c>
      <c r="I1790" s="90" t="s">
        <v>26</v>
      </c>
      <c r="J1790" s="91"/>
      <c r="K1790" s="92">
        <v>260</v>
      </c>
      <c r="M1790" s="88" t="s">
        <v>37</v>
      </c>
      <c r="N1790" s="72" t="s">
        <v>33</v>
      </c>
      <c r="O1790" s="72" t="s">
        <v>34</v>
      </c>
      <c r="P1790" s="72" t="s">
        <v>35</v>
      </c>
      <c r="Q1790" s="89" t="s">
        <v>1778</v>
      </c>
      <c r="S1790" s="88" t="s">
        <v>62</v>
      </c>
      <c r="T1790" s="89" t="s">
        <v>2508</v>
      </c>
      <c r="V1790" s="88" t="s">
        <v>76</v>
      </c>
      <c r="W1790" s="89" t="s">
        <v>2944</v>
      </c>
      <c r="Y1790" s="88" t="s">
        <v>26</v>
      </c>
      <c r="Z1790" s="72">
        <v>260</v>
      </c>
      <c r="AA1790" s="89">
        <v>235</v>
      </c>
    </row>
    <row r="1791" spans="1:27">
      <c r="A1791" s="216"/>
      <c r="B1791" s="217"/>
      <c r="F1791" s="88" t="s">
        <v>8</v>
      </c>
      <c r="G1791" s="112" t="s">
        <v>1840</v>
      </c>
      <c r="M1791" s="88" t="s">
        <v>1553</v>
      </c>
      <c r="N1791" s="72" t="s">
        <v>33</v>
      </c>
      <c r="O1791" s="72" t="s">
        <v>43</v>
      </c>
      <c r="P1791" s="72" t="s">
        <v>33</v>
      </c>
      <c r="Q1791" s="89" t="s">
        <v>2691</v>
      </c>
      <c r="S1791" s="119" t="s">
        <v>64</v>
      </c>
      <c r="T1791" s="120" t="s">
        <v>3147</v>
      </c>
      <c r="V1791" s="88" t="s">
        <v>79</v>
      </c>
      <c r="W1791" s="89" t="s">
        <v>1584</v>
      </c>
      <c r="Y1791" s="90" t="s">
        <v>92</v>
      </c>
      <c r="Z1791" s="91"/>
      <c r="AA1791" s="122">
        <v>0.1</v>
      </c>
    </row>
    <row r="1792" spans="1:27">
      <c r="A1792" s="216"/>
      <c r="B1792" s="217"/>
      <c r="F1792" s="88" t="s">
        <v>10</v>
      </c>
      <c r="G1792" s="112" t="s">
        <v>12</v>
      </c>
      <c r="M1792" s="88" t="s">
        <v>42</v>
      </c>
      <c r="N1792" s="72" t="s">
        <v>33</v>
      </c>
      <c r="O1792" s="72" t="s">
        <v>34</v>
      </c>
      <c r="P1792" s="72" t="s">
        <v>35</v>
      </c>
      <c r="Q1792" s="89" t="s">
        <v>2837</v>
      </c>
      <c r="S1792" s="90" t="s">
        <v>66</v>
      </c>
      <c r="T1792" s="133" t="s">
        <v>1971</v>
      </c>
      <c r="V1792" s="90" t="s">
        <v>82</v>
      </c>
      <c r="W1792" s="92" t="s">
        <v>2516</v>
      </c>
    </row>
    <row r="1793" spans="1:27">
      <c r="A1793" s="216"/>
      <c r="B1793" s="217"/>
      <c r="F1793" s="88" t="s">
        <v>13</v>
      </c>
      <c r="G1793" s="201" t="s">
        <v>2975</v>
      </c>
      <c r="M1793" s="88" t="s">
        <v>2020</v>
      </c>
      <c r="N1793" s="72" t="s">
        <v>33</v>
      </c>
      <c r="O1793" s="72" t="s">
        <v>43</v>
      </c>
      <c r="P1793" s="72" t="s">
        <v>33</v>
      </c>
      <c r="Q1793" s="89" t="s">
        <v>2301</v>
      </c>
    </row>
    <row r="1794" spans="1:27">
      <c r="A1794" s="216"/>
      <c r="B1794" s="217"/>
      <c r="F1794" s="88" t="s">
        <v>15</v>
      </c>
      <c r="G1794" s="112" t="s">
        <v>3148</v>
      </c>
      <c r="M1794" s="88" t="s">
        <v>2962</v>
      </c>
      <c r="N1794" s="72" t="s">
        <v>35</v>
      </c>
      <c r="O1794" s="72" t="s">
        <v>52</v>
      </c>
      <c r="P1794" s="72" t="s">
        <v>35</v>
      </c>
      <c r="Q1794" s="89" t="s">
        <v>1627</v>
      </c>
    </row>
    <row r="1795" spans="1:27">
      <c r="A1795" s="216"/>
      <c r="B1795" s="217"/>
      <c r="F1795" s="119" t="s">
        <v>17</v>
      </c>
      <c r="G1795" s="144">
        <v>46063</v>
      </c>
      <c r="M1795" s="88" t="s">
        <v>1679</v>
      </c>
      <c r="N1795" s="72" t="s">
        <v>35</v>
      </c>
      <c r="O1795" s="72" t="s">
        <v>52</v>
      </c>
      <c r="P1795" s="72" t="s">
        <v>35</v>
      </c>
      <c r="Q1795" s="89" t="s">
        <v>2763</v>
      </c>
    </row>
    <row r="1796" spans="1:27">
      <c r="A1796" s="218"/>
      <c r="B1796" s="219"/>
      <c r="F1796" s="90" t="s">
        <v>18</v>
      </c>
      <c r="G1796" s="114" t="s">
        <v>19</v>
      </c>
      <c r="M1796" s="88" t="s">
        <v>2059</v>
      </c>
      <c r="N1796" s="72" t="s">
        <v>35</v>
      </c>
      <c r="O1796" s="72" t="s">
        <v>52</v>
      </c>
      <c r="P1796" s="72" t="s">
        <v>35</v>
      </c>
      <c r="Q1796" s="89" t="s">
        <v>2746</v>
      </c>
    </row>
    <row r="1797" spans="1:27">
      <c r="M1797" s="88" t="s">
        <v>2545</v>
      </c>
      <c r="N1797" s="72" t="s">
        <v>35</v>
      </c>
      <c r="O1797" s="72" t="s">
        <v>52</v>
      </c>
      <c r="P1797" s="72" t="s">
        <v>35</v>
      </c>
      <c r="Q1797" s="89" t="s">
        <v>2963</v>
      </c>
    </row>
    <row r="1798" spans="1:27">
      <c r="M1798" s="90" t="s">
        <v>1975</v>
      </c>
      <c r="N1798" s="91" t="s">
        <v>35</v>
      </c>
      <c r="O1798" s="91" t="s">
        <v>52</v>
      </c>
      <c r="P1798" s="91" t="s">
        <v>35</v>
      </c>
      <c r="Q1798" s="92" t="s">
        <v>2866</v>
      </c>
    </row>
    <row r="1799" spans="1:27">
      <c r="M1799" s="130"/>
      <c r="N1799" s="130"/>
      <c r="O1799" s="130"/>
      <c r="P1799" s="130"/>
      <c r="Q1799" s="130"/>
    </row>
    <row r="1804" spans="1:27">
      <c r="A1804" s="214" t="s">
        <v>418</v>
      </c>
      <c r="B1804" s="215"/>
      <c r="F1804" s="85" t="s">
        <v>0</v>
      </c>
      <c r="G1804" s="118" t="s">
        <v>1</v>
      </c>
      <c r="I1804" s="85" t="s">
        <v>20</v>
      </c>
      <c r="J1804" s="86" t="s">
        <v>21</v>
      </c>
      <c r="K1804" s="87" t="s">
        <v>23</v>
      </c>
      <c r="M1804" s="85" t="s">
        <v>27</v>
      </c>
      <c r="N1804" s="86" t="s">
        <v>28</v>
      </c>
      <c r="O1804" s="86" t="s">
        <v>29</v>
      </c>
      <c r="P1804" s="86" t="s">
        <v>30</v>
      </c>
      <c r="Q1804" s="87" t="s">
        <v>31</v>
      </c>
      <c r="S1804" s="85" t="s">
        <v>56</v>
      </c>
      <c r="T1804" s="87" t="s">
        <v>57</v>
      </c>
      <c r="U1804" s="79"/>
      <c r="V1804" s="85" t="s">
        <v>68</v>
      </c>
      <c r="W1804" s="87" t="s">
        <v>69</v>
      </c>
      <c r="Y1804" s="85" t="s">
        <v>85</v>
      </c>
      <c r="Z1804" s="86" t="s">
        <v>88</v>
      </c>
      <c r="AA1804" s="87" t="s">
        <v>89</v>
      </c>
    </row>
    <row r="1805" spans="1:27">
      <c r="A1805" s="216"/>
      <c r="B1805" s="217"/>
      <c r="F1805" s="88" t="s">
        <v>2</v>
      </c>
      <c r="G1805" s="134" t="s">
        <v>418</v>
      </c>
      <c r="I1805" s="88" t="s">
        <v>24</v>
      </c>
      <c r="J1805" s="72">
        <v>6</v>
      </c>
      <c r="K1805" s="89">
        <v>160</v>
      </c>
      <c r="M1805" s="88" t="s">
        <v>3149</v>
      </c>
      <c r="N1805" s="72" t="s">
        <v>33</v>
      </c>
      <c r="O1805" s="72" t="s">
        <v>43</v>
      </c>
      <c r="P1805" s="72" t="s">
        <v>33</v>
      </c>
      <c r="Q1805" s="89" t="s">
        <v>1805</v>
      </c>
      <c r="S1805" s="88" t="s">
        <v>58</v>
      </c>
      <c r="T1805" s="89" t="s">
        <v>3150</v>
      </c>
      <c r="V1805" s="138" t="s">
        <v>70</v>
      </c>
      <c r="W1805" s="139" t="s">
        <v>2088</v>
      </c>
      <c r="Y1805" s="138" t="s">
        <v>90</v>
      </c>
      <c r="Z1805" s="137">
        <v>160</v>
      </c>
      <c r="AA1805" s="139">
        <v>100</v>
      </c>
    </row>
    <row r="1806" spans="1:27">
      <c r="A1806" s="216"/>
      <c r="B1806" s="217"/>
      <c r="F1806" s="88" t="s">
        <v>4</v>
      </c>
      <c r="G1806" s="112" t="s">
        <v>894</v>
      </c>
      <c r="I1806" s="88" t="s">
        <v>25</v>
      </c>
      <c r="J1806" s="80">
        <v>5</v>
      </c>
      <c r="K1806" s="89">
        <v>85</v>
      </c>
      <c r="M1806" s="88" t="s">
        <v>1037</v>
      </c>
      <c r="N1806" s="72" t="s">
        <v>33</v>
      </c>
      <c r="O1806" s="72" t="s">
        <v>34</v>
      </c>
      <c r="P1806" s="72" t="s">
        <v>35</v>
      </c>
      <c r="Q1806" s="89" t="s">
        <v>3151</v>
      </c>
      <c r="S1806" s="88" t="s">
        <v>60</v>
      </c>
      <c r="T1806" s="89" t="s">
        <v>2049</v>
      </c>
      <c r="V1806" s="135" t="s">
        <v>73</v>
      </c>
      <c r="W1806" s="136" t="s">
        <v>3152</v>
      </c>
      <c r="Y1806" s="88" t="s">
        <v>91</v>
      </c>
      <c r="Z1806" s="72">
        <v>85</v>
      </c>
      <c r="AA1806" s="89">
        <v>120</v>
      </c>
    </row>
    <row r="1807" spans="1:27">
      <c r="A1807" s="216"/>
      <c r="B1807" s="217"/>
      <c r="F1807" s="88" t="s">
        <v>6</v>
      </c>
      <c r="G1807" s="112" t="s">
        <v>1484</v>
      </c>
      <c r="I1807" s="90" t="s">
        <v>26</v>
      </c>
      <c r="J1807" s="91"/>
      <c r="K1807" s="92">
        <v>245</v>
      </c>
      <c r="M1807" s="88" t="s">
        <v>37</v>
      </c>
      <c r="N1807" s="72" t="s">
        <v>33</v>
      </c>
      <c r="O1807" s="72" t="s">
        <v>34</v>
      </c>
      <c r="P1807" s="72" t="s">
        <v>35</v>
      </c>
      <c r="Q1807" s="89" t="s">
        <v>1778</v>
      </c>
      <c r="S1807" s="88" t="s">
        <v>62</v>
      </c>
      <c r="T1807" s="89" t="s">
        <v>2971</v>
      </c>
      <c r="V1807" s="88" t="s">
        <v>76</v>
      </c>
      <c r="W1807" s="89" t="s">
        <v>2944</v>
      </c>
      <c r="Y1807" s="88" t="s">
        <v>26</v>
      </c>
      <c r="Z1807" s="72">
        <v>245</v>
      </c>
      <c r="AA1807" s="89">
        <v>220</v>
      </c>
    </row>
    <row r="1808" spans="1:27">
      <c r="A1808" s="216"/>
      <c r="B1808" s="217"/>
      <c r="F1808" s="88" t="s">
        <v>8</v>
      </c>
      <c r="G1808" s="112" t="s">
        <v>1810</v>
      </c>
      <c r="M1808" s="88" t="s">
        <v>1553</v>
      </c>
      <c r="N1808" s="72" t="s">
        <v>33</v>
      </c>
      <c r="O1808" s="72" t="s">
        <v>43</v>
      </c>
      <c r="P1808" s="72" t="s">
        <v>33</v>
      </c>
      <c r="Q1808" s="89" t="s">
        <v>1811</v>
      </c>
      <c r="S1808" s="119" t="s">
        <v>64</v>
      </c>
      <c r="T1808" s="120" t="s">
        <v>3153</v>
      </c>
      <c r="V1808" s="88" t="s">
        <v>79</v>
      </c>
      <c r="W1808" s="89" t="s">
        <v>1584</v>
      </c>
      <c r="Y1808" s="90" t="s">
        <v>92</v>
      </c>
      <c r="Z1808" s="91"/>
      <c r="AA1808" s="122">
        <v>0.1</v>
      </c>
    </row>
    <row r="1809" spans="1:27">
      <c r="A1809" s="216"/>
      <c r="B1809" s="217"/>
      <c r="F1809" s="88" t="s">
        <v>10</v>
      </c>
      <c r="G1809" s="112" t="s">
        <v>12</v>
      </c>
      <c r="M1809" s="88" t="s">
        <v>42</v>
      </c>
      <c r="N1809" s="72" t="s">
        <v>33</v>
      </c>
      <c r="O1809" s="72" t="s">
        <v>34</v>
      </c>
      <c r="P1809" s="72" t="s">
        <v>35</v>
      </c>
      <c r="Q1809" s="89" t="s">
        <v>2837</v>
      </c>
      <c r="S1809" s="90" t="s">
        <v>66</v>
      </c>
      <c r="T1809" s="133" t="s">
        <v>1971</v>
      </c>
      <c r="V1809" s="90" t="s">
        <v>82</v>
      </c>
      <c r="W1809" s="92" t="s">
        <v>2516</v>
      </c>
    </row>
    <row r="1810" spans="1:27">
      <c r="A1810" s="216"/>
      <c r="B1810" s="217"/>
      <c r="F1810" s="88" t="s">
        <v>13</v>
      </c>
      <c r="G1810" s="201" t="s">
        <v>3154</v>
      </c>
      <c r="M1810" s="88" t="s">
        <v>2020</v>
      </c>
      <c r="N1810" s="72" t="s">
        <v>33</v>
      </c>
      <c r="O1810" s="72" t="s">
        <v>43</v>
      </c>
      <c r="P1810" s="72" t="s">
        <v>33</v>
      </c>
      <c r="Q1810" s="89" t="s">
        <v>2301</v>
      </c>
    </row>
    <row r="1811" spans="1:27">
      <c r="A1811" s="216"/>
      <c r="B1811" s="217"/>
      <c r="F1811" s="88" t="s">
        <v>15</v>
      </c>
      <c r="G1811" s="112" t="s">
        <v>3155</v>
      </c>
      <c r="M1811" s="88" t="s">
        <v>3156</v>
      </c>
      <c r="N1811" s="72" t="s">
        <v>35</v>
      </c>
      <c r="O1811" s="72" t="s">
        <v>52</v>
      </c>
      <c r="P1811" s="72" t="s">
        <v>35</v>
      </c>
      <c r="Q1811" s="89" t="s">
        <v>3157</v>
      </c>
    </row>
    <row r="1812" spans="1:27">
      <c r="A1812" s="216"/>
      <c r="B1812" s="217"/>
      <c r="F1812" s="119" t="s">
        <v>17</v>
      </c>
      <c r="G1812" s="144">
        <v>46056</v>
      </c>
      <c r="M1812" s="88" t="s">
        <v>924</v>
      </c>
      <c r="N1812" s="72" t="s">
        <v>35</v>
      </c>
      <c r="O1812" s="72" t="s">
        <v>52</v>
      </c>
      <c r="P1812" s="72" t="s">
        <v>35</v>
      </c>
      <c r="Q1812" s="89" t="s">
        <v>2763</v>
      </c>
    </row>
    <row r="1813" spans="1:27">
      <c r="A1813" s="218"/>
      <c r="B1813" s="219"/>
      <c r="F1813" s="90" t="s">
        <v>18</v>
      </c>
      <c r="G1813" s="114" t="s">
        <v>19</v>
      </c>
      <c r="M1813" s="88" t="s">
        <v>2059</v>
      </c>
      <c r="N1813" s="72" t="s">
        <v>35</v>
      </c>
      <c r="O1813" s="72" t="s">
        <v>52</v>
      </c>
      <c r="P1813" s="72" t="s">
        <v>35</v>
      </c>
      <c r="Q1813" s="89" t="s">
        <v>2951</v>
      </c>
    </row>
    <row r="1814" spans="1:27">
      <c r="M1814" s="88" t="s">
        <v>2545</v>
      </c>
      <c r="N1814" s="72" t="s">
        <v>35</v>
      </c>
      <c r="O1814" s="72" t="s">
        <v>52</v>
      </c>
      <c r="P1814" s="72" t="s">
        <v>35</v>
      </c>
      <c r="Q1814" s="89" t="s">
        <v>2963</v>
      </c>
    </row>
    <row r="1815" spans="1:27">
      <c r="M1815" s="90" t="s">
        <v>1975</v>
      </c>
      <c r="N1815" s="91" t="s">
        <v>35</v>
      </c>
      <c r="O1815" s="91" t="s">
        <v>52</v>
      </c>
      <c r="P1815" s="91" t="s">
        <v>35</v>
      </c>
      <c r="Q1815" s="92" t="s">
        <v>2866</v>
      </c>
    </row>
    <row r="1821" spans="1:27">
      <c r="A1821" s="214" t="s">
        <v>3158</v>
      </c>
      <c r="B1821" s="215"/>
      <c r="F1821" s="85" t="s">
        <v>0</v>
      </c>
      <c r="G1821" s="118" t="s">
        <v>1</v>
      </c>
      <c r="I1821" s="85" t="s">
        <v>20</v>
      </c>
      <c r="J1821" s="86" t="s">
        <v>21</v>
      </c>
      <c r="K1821" s="87" t="s">
        <v>23</v>
      </c>
      <c r="M1821" s="85" t="s">
        <v>27</v>
      </c>
      <c r="N1821" s="86" t="s">
        <v>28</v>
      </c>
      <c r="O1821" s="86" t="s">
        <v>29</v>
      </c>
      <c r="P1821" s="86" t="s">
        <v>30</v>
      </c>
      <c r="Q1821" s="87" t="s">
        <v>31</v>
      </c>
      <c r="S1821" s="85" t="s">
        <v>56</v>
      </c>
      <c r="T1821" s="87" t="s">
        <v>57</v>
      </c>
      <c r="U1821" s="79"/>
      <c r="V1821" s="85" t="s">
        <v>68</v>
      </c>
      <c r="W1821" s="87" t="s">
        <v>69</v>
      </c>
      <c r="Y1821" s="85" t="s">
        <v>85</v>
      </c>
      <c r="Z1821" s="86" t="s">
        <v>88</v>
      </c>
      <c r="AA1821" s="87" t="s">
        <v>89</v>
      </c>
    </row>
    <row r="1822" spans="1:27">
      <c r="A1822" s="216"/>
      <c r="B1822" s="217"/>
      <c r="F1822" s="88" t="s">
        <v>2</v>
      </c>
      <c r="G1822" s="134" t="s">
        <v>2547</v>
      </c>
      <c r="I1822" s="88" t="s">
        <v>24</v>
      </c>
      <c r="J1822" s="72">
        <v>8</v>
      </c>
      <c r="K1822" s="89">
        <v>215</v>
      </c>
      <c r="M1822" s="88" t="s">
        <v>3159</v>
      </c>
      <c r="N1822" s="72" t="s">
        <v>33</v>
      </c>
      <c r="O1822" s="72" t="s">
        <v>43</v>
      </c>
      <c r="P1822" s="72" t="s">
        <v>33</v>
      </c>
      <c r="Q1822" s="89" t="s">
        <v>2549</v>
      </c>
      <c r="S1822" s="88" t="s">
        <v>58</v>
      </c>
      <c r="T1822" s="89" t="s">
        <v>3160</v>
      </c>
      <c r="V1822" s="138" t="s">
        <v>70</v>
      </c>
      <c r="W1822" s="139" t="s">
        <v>3161</v>
      </c>
      <c r="Y1822" s="138" t="s">
        <v>90</v>
      </c>
      <c r="Z1822" s="137">
        <v>215</v>
      </c>
      <c r="AA1822" s="139">
        <v>135</v>
      </c>
    </row>
    <row r="1823" spans="1:27">
      <c r="A1823" s="216"/>
      <c r="B1823" s="217"/>
      <c r="F1823" s="88" t="s">
        <v>4</v>
      </c>
      <c r="G1823" s="112" t="s">
        <v>894</v>
      </c>
      <c r="I1823" s="88" t="s">
        <v>25</v>
      </c>
      <c r="J1823" s="80">
        <v>6</v>
      </c>
      <c r="K1823" s="89">
        <v>105</v>
      </c>
      <c r="M1823" s="88" t="s">
        <v>3100</v>
      </c>
      <c r="N1823" s="72" t="s">
        <v>33</v>
      </c>
      <c r="O1823" s="72" t="s">
        <v>34</v>
      </c>
      <c r="P1823" s="72" t="s">
        <v>35</v>
      </c>
      <c r="Q1823" s="89" t="s">
        <v>3162</v>
      </c>
      <c r="S1823" s="88" t="s">
        <v>60</v>
      </c>
      <c r="T1823" s="89" t="s">
        <v>3163</v>
      </c>
      <c r="V1823" s="135" t="s">
        <v>73</v>
      </c>
      <c r="W1823" s="136" t="s">
        <v>3164</v>
      </c>
      <c r="Y1823" s="88" t="s">
        <v>91</v>
      </c>
      <c r="Z1823" s="72">
        <v>105</v>
      </c>
      <c r="AA1823" s="89">
        <v>150</v>
      </c>
    </row>
    <row r="1824" spans="1:27">
      <c r="A1824" s="216"/>
      <c r="B1824" s="217"/>
      <c r="F1824" s="88" t="s">
        <v>6</v>
      </c>
      <c r="G1824" s="112" t="s">
        <v>895</v>
      </c>
      <c r="I1824" s="90" t="s">
        <v>26</v>
      </c>
      <c r="J1824" s="91"/>
      <c r="K1824" s="92">
        <v>320</v>
      </c>
      <c r="M1824" s="88" t="s">
        <v>37</v>
      </c>
      <c r="N1824" s="72" t="s">
        <v>33</v>
      </c>
      <c r="O1824" s="72" t="s">
        <v>34</v>
      </c>
      <c r="P1824" s="72" t="s">
        <v>35</v>
      </c>
      <c r="Q1824" s="89" t="s">
        <v>1778</v>
      </c>
      <c r="S1824" s="88" t="s">
        <v>62</v>
      </c>
      <c r="T1824" s="89" t="s">
        <v>3165</v>
      </c>
      <c r="V1824" s="88" t="s">
        <v>76</v>
      </c>
      <c r="W1824" s="89" t="s">
        <v>3166</v>
      </c>
      <c r="Y1824" s="88" t="s">
        <v>26</v>
      </c>
      <c r="Z1824" s="72">
        <v>320</v>
      </c>
      <c r="AA1824" s="89">
        <v>285</v>
      </c>
    </row>
    <row r="1825" spans="1:27">
      <c r="A1825" s="216"/>
      <c r="B1825" s="217"/>
      <c r="F1825" s="88" t="s">
        <v>8</v>
      </c>
      <c r="G1825" s="112" t="s">
        <v>1695</v>
      </c>
      <c r="M1825" s="88" t="s">
        <v>1553</v>
      </c>
      <c r="N1825" s="72" t="s">
        <v>33</v>
      </c>
      <c r="O1825" s="72" t="s">
        <v>43</v>
      </c>
      <c r="P1825" s="72" t="s">
        <v>33</v>
      </c>
      <c r="Q1825" s="89" t="s">
        <v>1811</v>
      </c>
      <c r="S1825" s="119" t="s">
        <v>64</v>
      </c>
      <c r="T1825" s="120" t="s">
        <v>3167</v>
      </c>
      <c r="V1825" s="88" t="s">
        <v>79</v>
      </c>
      <c r="W1825" s="89" t="s">
        <v>945</v>
      </c>
      <c r="Y1825" s="90" t="s">
        <v>92</v>
      </c>
      <c r="Z1825" s="91"/>
      <c r="AA1825" s="122">
        <v>0.11</v>
      </c>
    </row>
    <row r="1826" spans="1:27">
      <c r="A1826" s="216"/>
      <c r="B1826" s="217"/>
      <c r="F1826" s="88" t="s">
        <v>10</v>
      </c>
      <c r="G1826" s="112" t="s">
        <v>12</v>
      </c>
      <c r="M1826" s="88" t="s">
        <v>42</v>
      </c>
      <c r="N1826" s="72" t="s">
        <v>33</v>
      </c>
      <c r="O1826" s="72" t="s">
        <v>34</v>
      </c>
      <c r="P1826" s="72" t="s">
        <v>35</v>
      </c>
      <c r="Q1826" s="89" t="s">
        <v>2837</v>
      </c>
      <c r="S1826" s="90" t="s">
        <v>66</v>
      </c>
      <c r="T1826" s="133" t="s">
        <v>2171</v>
      </c>
      <c r="V1826" s="90" t="s">
        <v>82</v>
      </c>
      <c r="W1826" s="92" t="s">
        <v>3168</v>
      </c>
    </row>
    <row r="1827" spans="1:27">
      <c r="A1827" s="216"/>
      <c r="B1827" s="217"/>
      <c r="F1827" s="88" t="s">
        <v>13</v>
      </c>
      <c r="G1827" s="201" t="s">
        <v>1847</v>
      </c>
      <c r="M1827" s="88" t="s">
        <v>3169</v>
      </c>
      <c r="N1827" s="72" t="s">
        <v>33</v>
      </c>
      <c r="O1827" s="72" t="s">
        <v>43</v>
      </c>
      <c r="P1827" s="72" t="s">
        <v>33</v>
      </c>
      <c r="Q1827" s="89" t="s">
        <v>2301</v>
      </c>
    </row>
    <row r="1828" spans="1:27">
      <c r="A1828" s="216"/>
      <c r="B1828" s="217"/>
      <c r="F1828" s="88" t="s">
        <v>15</v>
      </c>
      <c r="G1828" s="112" t="s">
        <v>3170</v>
      </c>
      <c r="M1828" s="88" t="s">
        <v>1612</v>
      </c>
      <c r="N1828" s="72" t="s">
        <v>33</v>
      </c>
      <c r="O1828" s="72" t="s">
        <v>34</v>
      </c>
      <c r="P1828" s="72" t="s">
        <v>35</v>
      </c>
      <c r="Q1828" s="89" t="s">
        <v>2404</v>
      </c>
    </row>
    <row r="1829" spans="1:27">
      <c r="A1829" s="216"/>
      <c r="B1829" s="217"/>
      <c r="F1829" s="119" t="s">
        <v>17</v>
      </c>
      <c r="G1829" s="144">
        <v>46069</v>
      </c>
      <c r="M1829" s="88" t="s">
        <v>1923</v>
      </c>
      <c r="N1829" s="72" t="s">
        <v>33</v>
      </c>
      <c r="O1829" s="72" t="s">
        <v>43</v>
      </c>
      <c r="P1829" s="72" t="s">
        <v>33</v>
      </c>
      <c r="Q1829" s="89" t="s">
        <v>2934</v>
      </c>
    </row>
    <row r="1830" spans="1:27">
      <c r="A1830" s="218"/>
      <c r="B1830" s="219"/>
      <c r="F1830" s="90" t="s">
        <v>18</v>
      </c>
      <c r="G1830" s="114" t="s">
        <v>19</v>
      </c>
      <c r="M1830" s="88" t="s">
        <v>3156</v>
      </c>
      <c r="N1830" s="72" t="s">
        <v>35</v>
      </c>
      <c r="O1830" s="72" t="s">
        <v>52</v>
      </c>
      <c r="P1830" s="72" t="s">
        <v>35</v>
      </c>
      <c r="Q1830" s="89" t="s">
        <v>2993</v>
      </c>
    </row>
    <row r="1831" spans="1:27">
      <c r="M1831" s="88" t="s">
        <v>1794</v>
      </c>
      <c r="N1831" s="72" t="s">
        <v>35</v>
      </c>
      <c r="O1831" s="72" t="s">
        <v>52</v>
      </c>
      <c r="P1831" s="72" t="s">
        <v>35</v>
      </c>
      <c r="Q1831" s="89" t="s">
        <v>2763</v>
      </c>
    </row>
    <row r="1832" spans="1:27">
      <c r="M1832" s="88" t="s">
        <v>3171</v>
      </c>
      <c r="N1832" s="72" t="s">
        <v>35</v>
      </c>
      <c r="O1832" s="72" t="s">
        <v>52</v>
      </c>
      <c r="P1832" s="72" t="s">
        <v>35</v>
      </c>
      <c r="Q1832" s="89" t="s">
        <v>2746</v>
      </c>
    </row>
    <row r="1833" spans="1:27">
      <c r="M1833" s="88" t="s">
        <v>2545</v>
      </c>
      <c r="N1833" s="72" t="s">
        <v>35</v>
      </c>
      <c r="O1833" s="72" t="s">
        <v>52</v>
      </c>
      <c r="P1833" s="72" t="s">
        <v>35</v>
      </c>
      <c r="Q1833" s="89" t="s">
        <v>2963</v>
      </c>
    </row>
    <row r="1834" spans="1:27">
      <c r="M1834" s="88" t="s">
        <v>1975</v>
      </c>
      <c r="N1834" s="72" t="s">
        <v>35</v>
      </c>
      <c r="O1834" s="72" t="s">
        <v>52</v>
      </c>
      <c r="P1834" s="72" t="s">
        <v>35</v>
      </c>
      <c r="Q1834" s="89" t="s">
        <v>2866</v>
      </c>
    </row>
    <row r="1835" spans="1:27">
      <c r="M1835" s="90" t="s">
        <v>1626</v>
      </c>
      <c r="N1835" s="91" t="s">
        <v>35</v>
      </c>
      <c r="O1835" s="91" t="s">
        <v>52</v>
      </c>
      <c r="P1835" s="91" t="s">
        <v>35</v>
      </c>
      <c r="Q1835" s="92" t="s">
        <v>3172</v>
      </c>
    </row>
    <row r="1840" spans="1:27">
      <c r="A1840" s="214" t="s">
        <v>3173</v>
      </c>
      <c r="B1840" s="215"/>
      <c r="F1840" s="85" t="s">
        <v>0</v>
      </c>
      <c r="G1840" s="118" t="s">
        <v>1</v>
      </c>
      <c r="I1840" s="85" t="s">
        <v>20</v>
      </c>
      <c r="J1840" s="86" t="s">
        <v>21</v>
      </c>
      <c r="K1840" s="87" t="s">
        <v>23</v>
      </c>
      <c r="M1840" s="85" t="s">
        <v>27</v>
      </c>
      <c r="N1840" s="86" t="s">
        <v>28</v>
      </c>
      <c r="O1840" s="86" t="s">
        <v>29</v>
      </c>
      <c r="P1840" s="86" t="s">
        <v>30</v>
      </c>
      <c r="Q1840" s="87" t="s">
        <v>31</v>
      </c>
      <c r="S1840" s="85" t="s">
        <v>56</v>
      </c>
      <c r="T1840" s="87" t="s">
        <v>57</v>
      </c>
      <c r="U1840" s="79"/>
      <c r="V1840" s="85" t="s">
        <v>68</v>
      </c>
      <c r="W1840" s="87" t="s">
        <v>69</v>
      </c>
      <c r="Y1840" s="85" t="s">
        <v>85</v>
      </c>
      <c r="Z1840" s="86" t="s">
        <v>88</v>
      </c>
      <c r="AA1840" s="87" t="s">
        <v>89</v>
      </c>
    </row>
    <row r="1841" spans="1:27">
      <c r="A1841" s="216"/>
      <c r="B1841" s="217"/>
      <c r="F1841" s="88" t="s">
        <v>2</v>
      </c>
      <c r="G1841" s="134" t="s">
        <v>3173</v>
      </c>
      <c r="I1841" s="88" t="s">
        <v>24</v>
      </c>
      <c r="J1841" s="72">
        <v>5</v>
      </c>
      <c r="K1841" s="89">
        <v>120</v>
      </c>
      <c r="M1841" s="88" t="s">
        <v>3174</v>
      </c>
      <c r="N1841" s="72" t="s">
        <v>33</v>
      </c>
      <c r="O1841" s="72" t="s">
        <v>43</v>
      </c>
      <c r="P1841" s="72" t="s">
        <v>33</v>
      </c>
      <c r="Q1841" s="89" t="s">
        <v>3175</v>
      </c>
      <c r="S1841" s="88" t="s">
        <v>58</v>
      </c>
      <c r="T1841" s="89" t="s">
        <v>3176</v>
      </c>
      <c r="V1841" s="138" t="s">
        <v>70</v>
      </c>
      <c r="W1841" s="139" t="s">
        <v>3051</v>
      </c>
      <c r="Y1841" s="138" t="s">
        <v>90</v>
      </c>
      <c r="Z1841" s="137">
        <v>120</v>
      </c>
      <c r="AA1841" s="139">
        <v>75</v>
      </c>
    </row>
    <row r="1842" spans="1:27">
      <c r="A1842" s="216"/>
      <c r="B1842" s="217"/>
      <c r="F1842" s="88" t="s">
        <v>4</v>
      </c>
      <c r="G1842" s="112" t="s">
        <v>894</v>
      </c>
      <c r="I1842" s="88" t="s">
        <v>25</v>
      </c>
      <c r="J1842" s="80">
        <v>5</v>
      </c>
      <c r="K1842" s="89">
        <v>80</v>
      </c>
      <c r="M1842" s="88" t="s">
        <v>37</v>
      </c>
      <c r="N1842" s="72" t="s">
        <v>33</v>
      </c>
      <c r="O1842" s="72" t="s">
        <v>34</v>
      </c>
      <c r="P1842" s="72" t="s">
        <v>35</v>
      </c>
      <c r="Q1842" s="89" t="s">
        <v>1778</v>
      </c>
      <c r="S1842" s="88" t="s">
        <v>60</v>
      </c>
      <c r="T1842" s="89" t="s">
        <v>3028</v>
      </c>
      <c r="V1842" s="135" t="s">
        <v>73</v>
      </c>
      <c r="W1842" s="136" t="s">
        <v>2687</v>
      </c>
      <c r="Y1842" s="88" t="s">
        <v>91</v>
      </c>
      <c r="Z1842" s="72">
        <v>80</v>
      </c>
      <c r="AA1842" s="89">
        <v>110</v>
      </c>
    </row>
    <row r="1843" spans="1:27">
      <c r="A1843" s="216"/>
      <c r="B1843" s="217"/>
      <c r="F1843" s="88" t="s">
        <v>6</v>
      </c>
      <c r="G1843" s="112" t="s">
        <v>1484</v>
      </c>
      <c r="I1843" s="90" t="s">
        <v>26</v>
      </c>
      <c r="J1843" s="91"/>
      <c r="K1843" s="92">
        <v>200</v>
      </c>
      <c r="M1843" s="88" t="s">
        <v>1553</v>
      </c>
      <c r="N1843" s="72" t="s">
        <v>33</v>
      </c>
      <c r="O1843" s="72" t="s">
        <v>43</v>
      </c>
      <c r="P1843" s="72" t="s">
        <v>33</v>
      </c>
      <c r="Q1843" s="89" t="s">
        <v>1811</v>
      </c>
      <c r="S1843" s="88" t="s">
        <v>62</v>
      </c>
      <c r="T1843" s="89" t="s">
        <v>3177</v>
      </c>
      <c r="V1843" s="88" t="s">
        <v>76</v>
      </c>
      <c r="W1843" s="89" t="s">
        <v>3107</v>
      </c>
      <c r="Y1843" s="88" t="s">
        <v>26</v>
      </c>
      <c r="Z1843" s="72">
        <v>200</v>
      </c>
      <c r="AA1843" s="89">
        <v>185</v>
      </c>
    </row>
    <row r="1844" spans="1:27">
      <c r="A1844" s="216"/>
      <c r="B1844" s="217"/>
      <c r="F1844" s="88" t="s">
        <v>8</v>
      </c>
      <c r="G1844" s="112" t="s">
        <v>3178</v>
      </c>
      <c r="M1844" s="88" t="s">
        <v>42</v>
      </c>
      <c r="N1844" s="72" t="s">
        <v>33</v>
      </c>
      <c r="O1844" s="72" t="s">
        <v>34</v>
      </c>
      <c r="P1844" s="72" t="s">
        <v>35</v>
      </c>
      <c r="Q1844" s="89" t="s">
        <v>2837</v>
      </c>
      <c r="S1844" s="119" t="s">
        <v>64</v>
      </c>
      <c r="T1844" s="120" t="s">
        <v>2958</v>
      </c>
      <c r="V1844" s="88" t="s">
        <v>79</v>
      </c>
      <c r="W1844" s="89" t="s">
        <v>1584</v>
      </c>
      <c r="Y1844" s="90" t="s">
        <v>92</v>
      </c>
      <c r="Z1844" s="91"/>
      <c r="AA1844" s="122">
        <v>0.08</v>
      </c>
    </row>
    <row r="1845" spans="1:27">
      <c r="A1845" s="216"/>
      <c r="B1845" s="217"/>
      <c r="F1845" s="88" t="s">
        <v>10</v>
      </c>
      <c r="G1845" s="112" t="s">
        <v>12</v>
      </c>
      <c r="M1845" s="88" t="s">
        <v>49</v>
      </c>
      <c r="N1845" s="72" t="s">
        <v>33</v>
      </c>
      <c r="O1845" s="72" t="s">
        <v>43</v>
      </c>
      <c r="P1845" s="72" t="s">
        <v>33</v>
      </c>
      <c r="Q1845" s="89" t="s">
        <v>2301</v>
      </c>
      <c r="S1845" s="90" t="s">
        <v>66</v>
      </c>
      <c r="T1845" s="133" t="s">
        <v>1971</v>
      </c>
      <c r="V1845" s="90" t="s">
        <v>82</v>
      </c>
      <c r="W1845" s="92" t="s">
        <v>2516</v>
      </c>
    </row>
    <row r="1846" spans="1:27">
      <c r="A1846" s="216"/>
      <c r="B1846" s="217"/>
      <c r="F1846" s="88" t="s">
        <v>13</v>
      </c>
      <c r="G1846" s="201" t="s">
        <v>3179</v>
      </c>
      <c r="M1846" s="88" t="s">
        <v>3113</v>
      </c>
      <c r="N1846" s="72" t="s">
        <v>35</v>
      </c>
      <c r="O1846" s="72" t="s">
        <v>52</v>
      </c>
      <c r="P1846" s="72" t="s">
        <v>35</v>
      </c>
      <c r="Q1846" s="89" t="s">
        <v>3180</v>
      </c>
    </row>
    <row r="1847" spans="1:27">
      <c r="A1847" s="216"/>
      <c r="B1847" s="217"/>
      <c r="F1847" s="88" t="s">
        <v>15</v>
      </c>
      <c r="G1847" s="112" t="s">
        <v>3181</v>
      </c>
      <c r="M1847" s="88" t="s">
        <v>1679</v>
      </c>
      <c r="N1847" s="72" t="s">
        <v>35</v>
      </c>
      <c r="O1847" s="72" t="s">
        <v>52</v>
      </c>
      <c r="P1847" s="72" t="s">
        <v>35</v>
      </c>
      <c r="Q1847" s="89" t="s">
        <v>2763</v>
      </c>
    </row>
    <row r="1848" spans="1:27">
      <c r="A1848" s="216"/>
      <c r="B1848" s="217"/>
      <c r="F1848" s="119" t="s">
        <v>17</v>
      </c>
      <c r="G1848" s="144">
        <v>46047</v>
      </c>
      <c r="M1848" s="88" t="s">
        <v>3182</v>
      </c>
      <c r="N1848" s="72" t="s">
        <v>35</v>
      </c>
      <c r="O1848" s="72" t="s">
        <v>52</v>
      </c>
      <c r="P1848" s="72" t="s">
        <v>35</v>
      </c>
      <c r="Q1848" s="89" t="s">
        <v>2746</v>
      </c>
    </row>
    <row r="1849" spans="1:27">
      <c r="A1849" s="218"/>
      <c r="B1849" s="219"/>
      <c r="F1849" s="90" t="s">
        <v>18</v>
      </c>
      <c r="G1849" s="114" t="s">
        <v>19</v>
      </c>
      <c r="M1849" s="88" t="s">
        <v>2545</v>
      </c>
      <c r="N1849" s="72" t="s">
        <v>35</v>
      </c>
      <c r="O1849" s="72" t="s">
        <v>52</v>
      </c>
      <c r="P1849" s="72" t="s">
        <v>35</v>
      </c>
      <c r="Q1849" s="89" t="s">
        <v>2963</v>
      </c>
    </row>
    <row r="1850" spans="1:27">
      <c r="M1850" s="90" t="s">
        <v>1975</v>
      </c>
      <c r="N1850" s="91" t="s">
        <v>35</v>
      </c>
      <c r="O1850" s="91" t="s">
        <v>52</v>
      </c>
      <c r="P1850" s="91" t="s">
        <v>35</v>
      </c>
      <c r="Q1850" s="92" t="s">
        <v>2866</v>
      </c>
    </row>
    <row r="1851" spans="1:27">
      <c r="M1851" s="130"/>
      <c r="N1851" s="130"/>
      <c r="O1851" s="130"/>
      <c r="P1851" s="130"/>
      <c r="Q1851" s="130"/>
    </row>
    <row r="1852" spans="1:27">
      <c r="M1852" s="130"/>
      <c r="N1852" s="130"/>
      <c r="O1852" s="130"/>
      <c r="P1852" s="130"/>
      <c r="Q1852" s="130"/>
    </row>
    <row r="1853" spans="1:27">
      <c r="M1853" s="130"/>
      <c r="N1853" s="130"/>
      <c r="O1853" s="130"/>
      <c r="P1853" s="130"/>
      <c r="Q1853" s="130"/>
    </row>
    <row r="1854" spans="1:27">
      <c r="M1854" s="130"/>
      <c r="N1854" s="130"/>
      <c r="O1854" s="130"/>
      <c r="P1854" s="130"/>
      <c r="Q1854" s="130"/>
    </row>
    <row r="1858" spans="1:27">
      <c r="A1858" s="214" t="s">
        <v>454</v>
      </c>
      <c r="B1858" s="215"/>
      <c r="F1858" s="85" t="s">
        <v>0</v>
      </c>
      <c r="G1858" s="118" t="s">
        <v>1</v>
      </c>
      <c r="I1858" s="85" t="s">
        <v>20</v>
      </c>
      <c r="J1858" s="86" t="s">
        <v>21</v>
      </c>
      <c r="K1858" s="87" t="s">
        <v>23</v>
      </c>
      <c r="M1858" s="85" t="s">
        <v>27</v>
      </c>
      <c r="N1858" s="86" t="s">
        <v>28</v>
      </c>
      <c r="O1858" s="86" t="s">
        <v>29</v>
      </c>
      <c r="P1858" s="86" t="s">
        <v>30</v>
      </c>
      <c r="Q1858" s="87" t="s">
        <v>31</v>
      </c>
      <c r="S1858" s="85" t="s">
        <v>56</v>
      </c>
      <c r="T1858" s="87" t="s">
        <v>57</v>
      </c>
      <c r="U1858" s="79"/>
      <c r="V1858" s="85" t="s">
        <v>68</v>
      </c>
      <c r="W1858" s="87" t="s">
        <v>69</v>
      </c>
      <c r="Y1858" s="85" t="s">
        <v>85</v>
      </c>
      <c r="Z1858" s="86" t="s">
        <v>88</v>
      </c>
      <c r="AA1858" s="87" t="s">
        <v>89</v>
      </c>
    </row>
    <row r="1859" spans="1:27">
      <c r="A1859" s="216"/>
      <c r="B1859" s="217"/>
      <c r="F1859" s="88" t="s">
        <v>2</v>
      </c>
      <c r="G1859" s="134" t="s">
        <v>454</v>
      </c>
      <c r="I1859" s="88" t="s">
        <v>24</v>
      </c>
      <c r="J1859" s="72">
        <v>8</v>
      </c>
      <c r="K1859" s="89">
        <v>230</v>
      </c>
      <c r="M1859" s="88" t="s">
        <v>2723</v>
      </c>
      <c r="N1859" s="72" t="s">
        <v>33</v>
      </c>
      <c r="O1859" s="72" t="s">
        <v>43</v>
      </c>
      <c r="P1859" s="72" t="s">
        <v>33</v>
      </c>
      <c r="Q1859" s="89" t="s">
        <v>3183</v>
      </c>
      <c r="S1859" s="88" t="s">
        <v>58</v>
      </c>
      <c r="T1859" s="89" t="s">
        <v>3184</v>
      </c>
      <c r="V1859" s="138" t="s">
        <v>70</v>
      </c>
      <c r="W1859" s="139" t="s">
        <v>3185</v>
      </c>
      <c r="Y1859" s="138" t="s">
        <v>90</v>
      </c>
      <c r="Z1859" s="137">
        <v>230</v>
      </c>
      <c r="AA1859" s="139">
        <v>145</v>
      </c>
    </row>
    <row r="1860" spans="1:27">
      <c r="A1860" s="216"/>
      <c r="B1860" s="217"/>
      <c r="F1860" s="88" t="s">
        <v>4</v>
      </c>
      <c r="G1860" s="112" t="s">
        <v>894</v>
      </c>
      <c r="I1860" s="88" t="s">
        <v>25</v>
      </c>
      <c r="J1860" s="80">
        <v>6</v>
      </c>
      <c r="K1860" s="89">
        <v>120</v>
      </c>
      <c r="M1860" s="88" t="s">
        <v>32</v>
      </c>
      <c r="N1860" s="72" t="s">
        <v>33</v>
      </c>
      <c r="O1860" s="72" t="s">
        <v>34</v>
      </c>
      <c r="P1860" s="72" t="s">
        <v>35</v>
      </c>
      <c r="Q1860" s="89" t="s">
        <v>2869</v>
      </c>
      <c r="S1860" s="88" t="s">
        <v>60</v>
      </c>
      <c r="T1860" s="89" t="s">
        <v>2887</v>
      </c>
      <c r="V1860" s="135" t="s">
        <v>73</v>
      </c>
      <c r="W1860" s="136" t="s">
        <v>2943</v>
      </c>
      <c r="Y1860" s="88" t="s">
        <v>91</v>
      </c>
      <c r="Z1860" s="72">
        <v>120</v>
      </c>
      <c r="AA1860" s="89">
        <v>165</v>
      </c>
    </row>
    <row r="1861" spans="1:27">
      <c r="A1861" s="216"/>
      <c r="B1861" s="217"/>
      <c r="F1861" s="88" t="s">
        <v>6</v>
      </c>
      <c r="G1861" s="112" t="s">
        <v>895</v>
      </c>
      <c r="I1861" s="90" t="s">
        <v>26</v>
      </c>
      <c r="J1861" s="91"/>
      <c r="K1861" s="92">
        <v>350</v>
      </c>
      <c r="M1861" s="88" t="s">
        <v>37</v>
      </c>
      <c r="N1861" s="72" t="s">
        <v>33</v>
      </c>
      <c r="O1861" s="72" t="s">
        <v>34</v>
      </c>
      <c r="P1861" s="72" t="s">
        <v>35</v>
      </c>
      <c r="Q1861" s="89" t="s">
        <v>1778</v>
      </c>
      <c r="S1861" s="88" t="s">
        <v>62</v>
      </c>
      <c r="T1861" s="89" t="s">
        <v>2854</v>
      </c>
      <c r="V1861" s="88" t="s">
        <v>76</v>
      </c>
      <c r="W1861" s="89" t="s">
        <v>3186</v>
      </c>
      <c r="Y1861" s="88" t="s">
        <v>26</v>
      </c>
      <c r="Z1861" s="72">
        <v>350</v>
      </c>
      <c r="AA1861" s="89">
        <v>310</v>
      </c>
    </row>
    <row r="1862" spans="1:27">
      <c r="A1862" s="216"/>
      <c r="B1862" s="217"/>
      <c r="F1862" s="88" t="s">
        <v>8</v>
      </c>
      <c r="G1862" s="112" t="s">
        <v>1755</v>
      </c>
      <c r="M1862" s="88" t="s">
        <v>2732</v>
      </c>
      <c r="N1862" s="72" t="s">
        <v>33</v>
      </c>
      <c r="O1862" s="72" t="s">
        <v>34</v>
      </c>
      <c r="P1862" s="72" t="s">
        <v>35</v>
      </c>
      <c r="Q1862" s="89" t="s">
        <v>2733</v>
      </c>
      <c r="S1862" s="119" t="s">
        <v>64</v>
      </c>
      <c r="T1862" s="120" t="s">
        <v>3187</v>
      </c>
      <c r="V1862" s="88" t="s">
        <v>79</v>
      </c>
      <c r="W1862" s="89" t="s">
        <v>945</v>
      </c>
      <c r="Y1862" s="90" t="s">
        <v>92</v>
      </c>
      <c r="Z1862" s="91"/>
      <c r="AA1862" s="122">
        <v>0.11</v>
      </c>
    </row>
    <row r="1863" spans="1:27">
      <c r="A1863" s="216"/>
      <c r="B1863" s="217"/>
      <c r="F1863" s="88" t="s">
        <v>10</v>
      </c>
      <c r="G1863" s="112" t="s">
        <v>1106</v>
      </c>
      <c r="M1863" s="88" t="s">
        <v>42</v>
      </c>
      <c r="N1863" s="72" t="s">
        <v>33</v>
      </c>
      <c r="O1863" s="72" t="s">
        <v>34</v>
      </c>
      <c r="P1863" s="72" t="s">
        <v>35</v>
      </c>
      <c r="Q1863" s="89" t="s">
        <v>2837</v>
      </c>
      <c r="S1863" s="90" t="s">
        <v>66</v>
      </c>
      <c r="T1863" s="133" t="s">
        <v>2171</v>
      </c>
      <c r="V1863" s="90" t="s">
        <v>82</v>
      </c>
      <c r="W1863" s="92" t="s">
        <v>2516</v>
      </c>
    </row>
    <row r="1864" spans="1:27">
      <c r="A1864" s="216"/>
      <c r="B1864" s="217"/>
      <c r="F1864" s="88" t="s">
        <v>13</v>
      </c>
      <c r="G1864" s="201" t="s">
        <v>2786</v>
      </c>
      <c r="M1864" s="88" t="s">
        <v>49</v>
      </c>
      <c r="N1864" s="72" t="s">
        <v>33</v>
      </c>
      <c r="O1864" s="72" t="s">
        <v>43</v>
      </c>
      <c r="P1864" s="72" t="s">
        <v>33</v>
      </c>
      <c r="Q1864" s="89" t="s">
        <v>2301</v>
      </c>
    </row>
    <row r="1865" spans="1:27">
      <c r="A1865" s="216"/>
      <c r="B1865" s="217"/>
      <c r="F1865" s="88" t="s">
        <v>15</v>
      </c>
      <c r="G1865" s="112" t="s">
        <v>3188</v>
      </c>
      <c r="M1865" s="88" t="s">
        <v>2741</v>
      </c>
      <c r="N1865" s="72" t="s">
        <v>33</v>
      </c>
      <c r="O1865" s="72" t="s">
        <v>34</v>
      </c>
      <c r="P1865" s="72" t="s">
        <v>35</v>
      </c>
      <c r="Q1865" s="89" t="s">
        <v>2742</v>
      </c>
    </row>
    <row r="1866" spans="1:27">
      <c r="A1866" s="216"/>
      <c r="B1866" s="217"/>
      <c r="F1866" s="119" t="s">
        <v>17</v>
      </c>
      <c r="G1866" s="144">
        <v>46072</v>
      </c>
      <c r="M1866" s="88" t="s">
        <v>2743</v>
      </c>
      <c r="N1866" s="72" t="s">
        <v>33</v>
      </c>
      <c r="O1866" s="72" t="s">
        <v>43</v>
      </c>
      <c r="P1866" s="72" t="s">
        <v>33</v>
      </c>
      <c r="Q1866" s="89" t="s">
        <v>3189</v>
      </c>
    </row>
    <row r="1867" spans="1:27">
      <c r="A1867" s="218"/>
      <c r="B1867" s="219"/>
      <c r="F1867" s="90" t="s">
        <v>18</v>
      </c>
      <c r="G1867" s="114" t="s">
        <v>19</v>
      </c>
      <c r="M1867" s="88" t="s">
        <v>3190</v>
      </c>
      <c r="N1867" s="72" t="s">
        <v>35</v>
      </c>
      <c r="O1867" s="72" t="s">
        <v>52</v>
      </c>
      <c r="P1867" s="72" t="s">
        <v>35</v>
      </c>
      <c r="Q1867" s="89" t="s">
        <v>2162</v>
      </c>
    </row>
    <row r="1868" spans="1:27">
      <c r="M1868" s="88" t="s">
        <v>1679</v>
      </c>
      <c r="N1868" s="72" t="s">
        <v>35</v>
      </c>
      <c r="O1868" s="72" t="s">
        <v>52</v>
      </c>
      <c r="P1868" s="72" t="s">
        <v>35</v>
      </c>
      <c r="Q1868" s="89" t="s">
        <v>2745</v>
      </c>
    </row>
    <row r="1869" spans="1:27">
      <c r="M1869" s="88" t="s">
        <v>2702</v>
      </c>
      <c r="N1869" s="72" t="s">
        <v>35</v>
      </c>
      <c r="O1869" s="72" t="s">
        <v>52</v>
      </c>
      <c r="P1869" s="72" t="s">
        <v>35</v>
      </c>
      <c r="Q1869" s="89" t="s">
        <v>2746</v>
      </c>
    </row>
    <row r="1870" spans="1:27">
      <c r="M1870" s="88" t="s">
        <v>2545</v>
      </c>
      <c r="N1870" s="72" t="s">
        <v>35</v>
      </c>
      <c r="O1870" s="72" t="s">
        <v>52</v>
      </c>
      <c r="P1870" s="72" t="s">
        <v>35</v>
      </c>
      <c r="Q1870" s="89" t="s">
        <v>2963</v>
      </c>
    </row>
    <row r="1871" spans="1:27">
      <c r="M1871" s="88" t="s">
        <v>1975</v>
      </c>
      <c r="N1871" s="72" t="s">
        <v>35</v>
      </c>
      <c r="O1871" s="72" t="s">
        <v>52</v>
      </c>
      <c r="P1871" s="72" t="s">
        <v>35</v>
      </c>
      <c r="Q1871" s="89" t="s">
        <v>2866</v>
      </c>
    </row>
    <row r="1872" spans="1:27">
      <c r="M1872" s="90" t="s">
        <v>1626</v>
      </c>
      <c r="N1872" s="91" t="s">
        <v>35</v>
      </c>
      <c r="O1872" s="91" t="s">
        <v>52</v>
      </c>
      <c r="P1872" s="91" t="s">
        <v>35</v>
      </c>
      <c r="Q1872" s="92" t="s">
        <v>3172</v>
      </c>
    </row>
    <row r="1878" spans="1:27">
      <c r="A1878" s="214" t="s">
        <v>539</v>
      </c>
      <c r="B1878" s="215"/>
      <c r="F1878" s="85" t="s">
        <v>0</v>
      </c>
      <c r="G1878" s="118" t="s">
        <v>1</v>
      </c>
      <c r="I1878" s="85" t="s">
        <v>20</v>
      </c>
      <c r="J1878" s="86" t="s">
        <v>21</v>
      </c>
      <c r="K1878" s="87" t="s">
        <v>23</v>
      </c>
      <c r="M1878" s="85" t="s">
        <v>27</v>
      </c>
      <c r="N1878" s="86" t="s">
        <v>28</v>
      </c>
      <c r="O1878" s="86" t="s">
        <v>29</v>
      </c>
      <c r="P1878" s="86" t="s">
        <v>30</v>
      </c>
      <c r="Q1878" s="87" t="s">
        <v>31</v>
      </c>
      <c r="S1878" s="85" t="s">
        <v>56</v>
      </c>
      <c r="T1878" s="87" t="s">
        <v>57</v>
      </c>
      <c r="U1878" s="79"/>
      <c r="V1878" s="85" t="s">
        <v>68</v>
      </c>
      <c r="W1878" s="87" t="s">
        <v>69</v>
      </c>
      <c r="Y1878" s="85" t="s">
        <v>85</v>
      </c>
      <c r="Z1878" s="86" t="s">
        <v>88</v>
      </c>
      <c r="AA1878" s="87" t="s">
        <v>89</v>
      </c>
    </row>
    <row r="1879" spans="1:27">
      <c r="A1879" s="216"/>
      <c r="B1879" s="217"/>
      <c r="F1879" s="88" t="s">
        <v>2</v>
      </c>
      <c r="G1879" s="134" t="s">
        <v>539</v>
      </c>
      <c r="I1879" s="88" t="s">
        <v>24</v>
      </c>
      <c r="J1879" s="72">
        <v>7</v>
      </c>
      <c r="K1879" s="89">
        <v>185</v>
      </c>
      <c r="M1879" s="88" t="s">
        <v>3191</v>
      </c>
      <c r="N1879" s="72" t="s">
        <v>33</v>
      </c>
      <c r="O1879" s="72" t="s">
        <v>43</v>
      </c>
      <c r="P1879" s="72" t="s">
        <v>33</v>
      </c>
      <c r="Q1879" s="89" t="s">
        <v>3192</v>
      </c>
      <c r="S1879" s="88" t="s">
        <v>58</v>
      </c>
      <c r="T1879" s="89" t="s">
        <v>3193</v>
      </c>
      <c r="V1879" s="138" t="s">
        <v>70</v>
      </c>
      <c r="W1879" s="139" t="s">
        <v>2218</v>
      </c>
      <c r="Y1879" s="138" t="s">
        <v>90</v>
      </c>
      <c r="Z1879" s="137">
        <v>185</v>
      </c>
      <c r="AA1879" s="139">
        <v>115</v>
      </c>
    </row>
    <row r="1880" spans="1:27">
      <c r="A1880" s="216"/>
      <c r="B1880" s="217"/>
      <c r="F1880" s="88" t="s">
        <v>4</v>
      </c>
      <c r="G1880" s="112" t="s">
        <v>894</v>
      </c>
      <c r="I1880" s="88" t="s">
        <v>25</v>
      </c>
      <c r="J1880" s="80">
        <v>5</v>
      </c>
      <c r="K1880" s="89">
        <v>95</v>
      </c>
      <c r="M1880" s="88" t="s">
        <v>32</v>
      </c>
      <c r="N1880" s="72" t="s">
        <v>33</v>
      </c>
      <c r="O1880" s="72" t="s">
        <v>34</v>
      </c>
      <c r="P1880" s="72" t="s">
        <v>35</v>
      </c>
      <c r="Q1880" s="89" t="s">
        <v>3194</v>
      </c>
      <c r="S1880" s="88" t="s">
        <v>60</v>
      </c>
      <c r="T1880" s="89" t="s">
        <v>2204</v>
      </c>
      <c r="V1880" s="135" t="s">
        <v>73</v>
      </c>
      <c r="W1880" s="136" t="s">
        <v>2687</v>
      </c>
      <c r="Y1880" s="88" t="s">
        <v>91</v>
      </c>
      <c r="Z1880" s="72">
        <v>95</v>
      </c>
      <c r="AA1880" s="89">
        <v>135</v>
      </c>
    </row>
    <row r="1881" spans="1:27">
      <c r="A1881" s="216"/>
      <c r="B1881" s="217"/>
      <c r="F1881" s="88" t="s">
        <v>6</v>
      </c>
      <c r="G1881" s="112" t="s">
        <v>1484</v>
      </c>
      <c r="I1881" s="90" t="s">
        <v>26</v>
      </c>
      <c r="J1881" s="91"/>
      <c r="K1881" s="92">
        <v>280</v>
      </c>
      <c r="M1881" s="88" t="s">
        <v>37</v>
      </c>
      <c r="N1881" s="72" t="s">
        <v>33</v>
      </c>
      <c r="O1881" s="72" t="s">
        <v>34</v>
      </c>
      <c r="P1881" s="72" t="s">
        <v>35</v>
      </c>
      <c r="Q1881" s="89" t="s">
        <v>1778</v>
      </c>
      <c r="S1881" s="88" t="s">
        <v>62</v>
      </c>
      <c r="T1881" s="89" t="s">
        <v>2753</v>
      </c>
      <c r="V1881" s="88" t="s">
        <v>76</v>
      </c>
      <c r="W1881" s="89" t="s">
        <v>3195</v>
      </c>
      <c r="Y1881" s="88" t="s">
        <v>26</v>
      </c>
      <c r="Z1881" s="72">
        <v>280</v>
      </c>
      <c r="AA1881" s="89">
        <v>250</v>
      </c>
    </row>
    <row r="1882" spans="1:27">
      <c r="A1882" s="216"/>
      <c r="B1882" s="217"/>
      <c r="F1882" s="88" t="s">
        <v>8</v>
      </c>
      <c r="G1882" s="112" t="s">
        <v>1810</v>
      </c>
      <c r="M1882" s="88" t="s">
        <v>1553</v>
      </c>
      <c r="N1882" s="72" t="s">
        <v>33</v>
      </c>
      <c r="O1882" s="72" t="s">
        <v>43</v>
      </c>
      <c r="P1882" s="72" t="s">
        <v>33</v>
      </c>
      <c r="Q1882" s="89" t="s">
        <v>1641</v>
      </c>
      <c r="S1882" s="119" t="s">
        <v>64</v>
      </c>
      <c r="T1882" s="120" t="s">
        <v>3196</v>
      </c>
      <c r="V1882" s="88" t="s">
        <v>79</v>
      </c>
      <c r="W1882" s="89" t="s">
        <v>945</v>
      </c>
      <c r="Y1882" s="90" t="s">
        <v>92</v>
      </c>
      <c r="Z1882" s="91"/>
      <c r="AA1882" s="122">
        <v>0.11</v>
      </c>
    </row>
    <row r="1883" spans="1:27">
      <c r="A1883" s="216"/>
      <c r="B1883" s="217"/>
      <c r="F1883" s="88" t="s">
        <v>10</v>
      </c>
      <c r="G1883" s="112" t="s">
        <v>12</v>
      </c>
      <c r="M1883" s="88" t="s">
        <v>42</v>
      </c>
      <c r="N1883" s="72" t="s">
        <v>33</v>
      </c>
      <c r="O1883" s="72" t="s">
        <v>34</v>
      </c>
      <c r="P1883" s="72" t="s">
        <v>35</v>
      </c>
      <c r="Q1883" s="89" t="s">
        <v>2837</v>
      </c>
      <c r="S1883" s="90" t="s">
        <v>66</v>
      </c>
      <c r="T1883" s="133" t="s">
        <v>2947</v>
      </c>
      <c r="V1883" s="90" t="s">
        <v>82</v>
      </c>
      <c r="W1883" s="92" t="s">
        <v>3197</v>
      </c>
    </row>
    <row r="1884" spans="1:27">
      <c r="A1884" s="216"/>
      <c r="B1884" s="217"/>
      <c r="F1884" s="88" t="s">
        <v>13</v>
      </c>
      <c r="G1884" s="201" t="s">
        <v>2213</v>
      </c>
      <c r="M1884" s="88" t="s">
        <v>3110</v>
      </c>
      <c r="N1884" s="72" t="s">
        <v>33</v>
      </c>
      <c r="O1884" s="72" t="s">
        <v>43</v>
      </c>
      <c r="P1884" s="72" t="s">
        <v>33</v>
      </c>
      <c r="Q1884" s="89" t="s">
        <v>2301</v>
      </c>
    </row>
    <row r="1885" spans="1:27">
      <c r="A1885" s="216"/>
      <c r="B1885" s="217"/>
      <c r="F1885" s="88" t="s">
        <v>15</v>
      </c>
      <c r="G1885" s="112" t="s">
        <v>3198</v>
      </c>
      <c r="M1885" s="88" t="s">
        <v>2698</v>
      </c>
      <c r="N1885" s="72" t="s">
        <v>33</v>
      </c>
      <c r="O1885" s="72" t="s">
        <v>34</v>
      </c>
      <c r="P1885" s="72" t="s">
        <v>35</v>
      </c>
      <c r="Q1885" s="89" t="s">
        <v>2761</v>
      </c>
    </row>
    <row r="1886" spans="1:27">
      <c r="A1886" s="216"/>
      <c r="B1886" s="217"/>
      <c r="F1886" s="119" t="s">
        <v>17</v>
      </c>
      <c r="G1886" s="144">
        <v>46056</v>
      </c>
      <c r="M1886" s="88" t="s">
        <v>3199</v>
      </c>
      <c r="N1886" s="72" t="s">
        <v>35</v>
      </c>
      <c r="O1886" s="72" t="s">
        <v>52</v>
      </c>
      <c r="P1886" s="72" t="s">
        <v>35</v>
      </c>
      <c r="Q1886" s="89" t="s">
        <v>1627</v>
      </c>
    </row>
    <row r="1887" spans="1:27">
      <c r="A1887" s="218"/>
      <c r="B1887" s="219"/>
      <c r="F1887" s="90" t="s">
        <v>18</v>
      </c>
      <c r="G1887" s="114" t="s">
        <v>19</v>
      </c>
      <c r="M1887" s="88" t="s">
        <v>1679</v>
      </c>
      <c r="N1887" s="72" t="s">
        <v>35</v>
      </c>
      <c r="O1887" s="72" t="s">
        <v>52</v>
      </c>
      <c r="P1887" s="72" t="s">
        <v>35</v>
      </c>
      <c r="Q1887" s="89" t="s">
        <v>2763</v>
      </c>
    </row>
    <row r="1888" spans="1:27">
      <c r="M1888" s="88" t="s">
        <v>2059</v>
      </c>
      <c r="N1888" s="72" t="s">
        <v>35</v>
      </c>
      <c r="O1888" s="72" t="s">
        <v>52</v>
      </c>
      <c r="P1888" s="72" t="s">
        <v>35</v>
      </c>
      <c r="Q1888" s="89" t="s">
        <v>3200</v>
      </c>
    </row>
    <row r="1889" spans="1:27">
      <c r="M1889" s="88" t="s">
        <v>2545</v>
      </c>
      <c r="N1889" s="72" t="s">
        <v>35</v>
      </c>
      <c r="O1889" s="72" t="s">
        <v>52</v>
      </c>
      <c r="P1889" s="72" t="s">
        <v>35</v>
      </c>
      <c r="Q1889" s="89" t="s">
        <v>2882</v>
      </c>
    </row>
    <row r="1890" spans="1:27">
      <c r="M1890" s="90" t="s">
        <v>1975</v>
      </c>
      <c r="N1890" s="91" t="s">
        <v>35</v>
      </c>
      <c r="O1890" s="91" t="s">
        <v>52</v>
      </c>
      <c r="P1890" s="91" t="s">
        <v>35</v>
      </c>
      <c r="Q1890" s="92" t="s">
        <v>2866</v>
      </c>
    </row>
    <row r="1891" spans="1:27">
      <c r="M1891" s="130"/>
      <c r="N1891" s="130"/>
      <c r="O1891" s="130"/>
      <c r="P1891" s="130"/>
      <c r="Q1891" s="130"/>
    </row>
    <row r="1892" spans="1:27">
      <c r="M1892" s="130"/>
      <c r="N1892" s="130"/>
      <c r="O1892" s="130"/>
      <c r="P1892" s="130"/>
      <c r="Q1892" s="130"/>
    </row>
    <row r="1893" spans="1:27">
      <c r="M1893" s="130"/>
      <c r="N1893" s="130"/>
      <c r="O1893" s="130"/>
      <c r="P1893" s="130"/>
      <c r="Q1893" s="130"/>
    </row>
    <row r="1894" spans="1:27">
      <c r="M1894" s="130"/>
      <c r="N1894" s="130"/>
      <c r="O1894" s="130"/>
      <c r="P1894" s="130"/>
      <c r="Q1894" s="130"/>
    </row>
    <row r="1898" spans="1:27">
      <c r="A1898" s="214" t="s">
        <v>543</v>
      </c>
      <c r="B1898" s="215"/>
      <c r="F1898" s="85" t="s">
        <v>0</v>
      </c>
      <c r="G1898" s="118" t="s">
        <v>1</v>
      </c>
      <c r="I1898" s="85" t="s">
        <v>20</v>
      </c>
      <c r="J1898" s="86" t="s">
        <v>21</v>
      </c>
      <c r="K1898" s="87" t="s">
        <v>23</v>
      </c>
      <c r="M1898" s="85" t="s">
        <v>27</v>
      </c>
      <c r="N1898" s="86" t="s">
        <v>28</v>
      </c>
      <c r="O1898" s="86" t="s">
        <v>29</v>
      </c>
      <c r="P1898" s="86" t="s">
        <v>30</v>
      </c>
      <c r="Q1898" s="87" t="s">
        <v>31</v>
      </c>
      <c r="S1898" s="85" t="s">
        <v>56</v>
      </c>
      <c r="T1898" s="87" t="s">
        <v>57</v>
      </c>
      <c r="U1898" s="79"/>
      <c r="V1898" s="85" t="s">
        <v>68</v>
      </c>
      <c r="W1898" s="87" t="s">
        <v>69</v>
      </c>
      <c r="Y1898" s="85" t="s">
        <v>85</v>
      </c>
      <c r="Z1898" s="86" t="s">
        <v>88</v>
      </c>
      <c r="AA1898" s="87" t="s">
        <v>89</v>
      </c>
    </row>
    <row r="1899" spans="1:27">
      <c r="A1899" s="216"/>
      <c r="B1899" s="217"/>
      <c r="F1899" s="88" t="s">
        <v>2</v>
      </c>
      <c r="G1899" s="134" t="s">
        <v>543</v>
      </c>
      <c r="I1899" s="88" t="s">
        <v>24</v>
      </c>
      <c r="J1899" s="72">
        <v>6</v>
      </c>
      <c r="K1899" s="89">
        <v>150</v>
      </c>
      <c r="M1899" s="88" t="s">
        <v>3201</v>
      </c>
      <c r="N1899" s="72" t="s">
        <v>33</v>
      </c>
      <c r="O1899" s="72" t="s">
        <v>34</v>
      </c>
      <c r="P1899" s="72" t="s">
        <v>35</v>
      </c>
      <c r="Q1899" s="89" t="s">
        <v>3202</v>
      </c>
      <c r="S1899" s="88" t="s">
        <v>58</v>
      </c>
      <c r="T1899" s="89" t="s">
        <v>2029</v>
      </c>
      <c r="V1899" s="138" t="s">
        <v>70</v>
      </c>
      <c r="W1899" s="139" t="s">
        <v>3203</v>
      </c>
      <c r="Y1899" s="138" t="s">
        <v>90</v>
      </c>
      <c r="Z1899" s="137">
        <v>150</v>
      </c>
      <c r="AA1899" s="139">
        <v>90</v>
      </c>
    </row>
    <row r="1900" spans="1:27">
      <c r="A1900" s="216"/>
      <c r="B1900" s="217"/>
      <c r="F1900" s="88" t="s">
        <v>4</v>
      </c>
      <c r="G1900" s="112" t="s">
        <v>894</v>
      </c>
      <c r="I1900" s="88" t="s">
        <v>25</v>
      </c>
      <c r="J1900" s="80">
        <v>4</v>
      </c>
      <c r="K1900" s="89">
        <v>80</v>
      </c>
      <c r="M1900" s="88" t="s">
        <v>37</v>
      </c>
      <c r="N1900" s="72" t="s">
        <v>33</v>
      </c>
      <c r="O1900" s="72" t="s">
        <v>34</v>
      </c>
      <c r="P1900" s="72" t="s">
        <v>35</v>
      </c>
      <c r="Q1900" s="89" t="s">
        <v>1778</v>
      </c>
      <c r="S1900" s="88" t="s">
        <v>60</v>
      </c>
      <c r="T1900" s="89" t="s">
        <v>3204</v>
      </c>
      <c r="V1900" s="135" t="s">
        <v>73</v>
      </c>
      <c r="W1900" s="136" t="s">
        <v>3205</v>
      </c>
      <c r="Y1900" s="88" t="s">
        <v>91</v>
      </c>
      <c r="Z1900" s="72">
        <v>80</v>
      </c>
      <c r="AA1900" s="89">
        <v>115</v>
      </c>
    </row>
    <row r="1901" spans="1:27">
      <c r="A1901" s="216"/>
      <c r="B1901" s="217"/>
      <c r="F1901" s="88" t="s">
        <v>6</v>
      </c>
      <c r="G1901" s="112" t="s">
        <v>895</v>
      </c>
      <c r="I1901" s="90" t="s">
        <v>26</v>
      </c>
      <c r="J1901" s="91"/>
      <c r="K1901" s="92">
        <v>230</v>
      </c>
      <c r="M1901" s="88" t="s">
        <v>3049</v>
      </c>
      <c r="N1901" s="72" t="s">
        <v>33</v>
      </c>
      <c r="O1901" s="72" t="s">
        <v>43</v>
      </c>
      <c r="P1901" s="72" t="s">
        <v>33</v>
      </c>
      <c r="Q1901" s="89" t="s">
        <v>3206</v>
      </c>
      <c r="S1901" s="88" t="s">
        <v>62</v>
      </c>
      <c r="T1901" s="89" t="s">
        <v>2971</v>
      </c>
      <c r="V1901" s="88" t="s">
        <v>76</v>
      </c>
      <c r="W1901" s="89" t="s">
        <v>3207</v>
      </c>
      <c r="Y1901" s="88" t="s">
        <v>26</v>
      </c>
      <c r="Z1901" s="72">
        <v>230</v>
      </c>
      <c r="AA1901" s="89">
        <v>205</v>
      </c>
    </row>
    <row r="1902" spans="1:27">
      <c r="A1902" s="216"/>
      <c r="B1902" s="217"/>
      <c r="F1902" s="88" t="s">
        <v>8</v>
      </c>
      <c r="G1902" s="112" t="s">
        <v>2510</v>
      </c>
      <c r="M1902" s="88" t="s">
        <v>1553</v>
      </c>
      <c r="N1902" s="72" t="s">
        <v>33</v>
      </c>
      <c r="O1902" s="72" t="s">
        <v>43</v>
      </c>
      <c r="P1902" s="72" t="s">
        <v>33</v>
      </c>
      <c r="Q1902" s="89" t="s">
        <v>1811</v>
      </c>
      <c r="S1902" s="119" t="s">
        <v>64</v>
      </c>
      <c r="T1902" s="120" t="s">
        <v>3208</v>
      </c>
      <c r="V1902" s="88" t="s">
        <v>79</v>
      </c>
      <c r="W1902" s="89" t="s">
        <v>1584</v>
      </c>
      <c r="Y1902" s="90" t="s">
        <v>92</v>
      </c>
      <c r="Z1902" s="91"/>
      <c r="AA1902" s="122">
        <v>0.11</v>
      </c>
    </row>
    <row r="1903" spans="1:27">
      <c r="A1903" s="216"/>
      <c r="B1903" s="217"/>
      <c r="F1903" s="88" t="s">
        <v>10</v>
      </c>
      <c r="G1903" s="112" t="s">
        <v>12</v>
      </c>
      <c r="M1903" s="88" t="s">
        <v>42</v>
      </c>
      <c r="N1903" s="72" t="s">
        <v>33</v>
      </c>
      <c r="O1903" s="72" t="s">
        <v>34</v>
      </c>
      <c r="P1903" s="72" t="s">
        <v>35</v>
      </c>
      <c r="Q1903" s="89" t="s">
        <v>1798</v>
      </c>
      <c r="S1903" s="90" t="s">
        <v>66</v>
      </c>
      <c r="T1903" s="133" t="s">
        <v>1971</v>
      </c>
      <c r="V1903" s="90" t="s">
        <v>82</v>
      </c>
      <c r="W1903" s="92" t="s">
        <v>2516</v>
      </c>
    </row>
    <row r="1904" spans="1:27" ht="30.75">
      <c r="A1904" s="216"/>
      <c r="B1904" s="217"/>
      <c r="F1904" s="88" t="s">
        <v>13</v>
      </c>
      <c r="G1904" s="210" t="s">
        <v>2252</v>
      </c>
      <c r="M1904" s="88" t="s">
        <v>2910</v>
      </c>
      <c r="N1904" s="72" t="s">
        <v>33</v>
      </c>
      <c r="O1904" s="72" t="s">
        <v>43</v>
      </c>
      <c r="P1904" s="72" t="s">
        <v>33</v>
      </c>
      <c r="Q1904" s="89" t="s">
        <v>2301</v>
      </c>
    </row>
    <row r="1905" spans="1:27">
      <c r="A1905" s="216"/>
      <c r="B1905" s="217"/>
      <c r="F1905" s="88" t="s">
        <v>15</v>
      </c>
      <c r="G1905" s="112" t="s">
        <v>3209</v>
      </c>
      <c r="M1905" s="88" t="s">
        <v>1972</v>
      </c>
      <c r="N1905" s="72" t="s">
        <v>35</v>
      </c>
      <c r="O1905" s="72" t="s">
        <v>52</v>
      </c>
      <c r="P1905" s="72" t="s">
        <v>35</v>
      </c>
      <c r="Q1905" s="89" t="s">
        <v>1627</v>
      </c>
    </row>
    <row r="1906" spans="1:27">
      <c r="A1906" s="216"/>
      <c r="B1906" s="217"/>
      <c r="F1906" s="119" t="s">
        <v>17</v>
      </c>
      <c r="G1906" s="144">
        <v>46043</v>
      </c>
      <c r="M1906" s="88" t="s">
        <v>1679</v>
      </c>
      <c r="N1906" s="72" t="s">
        <v>35</v>
      </c>
      <c r="O1906" s="72" t="s">
        <v>52</v>
      </c>
      <c r="P1906" s="72" t="s">
        <v>35</v>
      </c>
      <c r="Q1906" s="89" t="s">
        <v>2845</v>
      </c>
    </row>
    <row r="1907" spans="1:27">
      <c r="A1907" s="218"/>
      <c r="B1907" s="219"/>
      <c r="F1907" s="90" t="s">
        <v>18</v>
      </c>
      <c r="G1907" s="114" t="s">
        <v>19</v>
      </c>
      <c r="M1907" s="88" t="s">
        <v>2059</v>
      </c>
      <c r="N1907" s="72" t="s">
        <v>35</v>
      </c>
      <c r="O1907" s="72" t="s">
        <v>52</v>
      </c>
      <c r="P1907" s="72" t="s">
        <v>35</v>
      </c>
      <c r="Q1907" s="89" t="s">
        <v>3210</v>
      </c>
    </row>
    <row r="1908" spans="1:27">
      <c r="M1908" s="90" t="s">
        <v>1975</v>
      </c>
      <c r="N1908" s="91" t="s">
        <v>35</v>
      </c>
      <c r="O1908" s="91" t="s">
        <v>52</v>
      </c>
      <c r="P1908" s="91" t="s">
        <v>35</v>
      </c>
      <c r="Q1908" s="92" t="s">
        <v>2866</v>
      </c>
    </row>
    <row r="1909" spans="1:27">
      <c r="M1909" s="130"/>
      <c r="N1909" s="130"/>
      <c r="O1909" s="130"/>
      <c r="P1909" s="130"/>
      <c r="Q1909" s="130"/>
    </row>
    <row r="1910" spans="1:27">
      <c r="M1910" s="130"/>
      <c r="N1910" s="130"/>
      <c r="O1910" s="130"/>
      <c r="P1910" s="130"/>
      <c r="Q1910" s="130"/>
    </row>
    <row r="1911" spans="1:27">
      <c r="M1911" s="130"/>
      <c r="N1911" s="130"/>
      <c r="O1911" s="130"/>
      <c r="P1911" s="130"/>
      <c r="Q1911" s="130"/>
    </row>
    <row r="1915" spans="1:27">
      <c r="A1915" s="214" t="s">
        <v>569</v>
      </c>
      <c r="B1915" s="215"/>
      <c r="F1915" s="85" t="s">
        <v>0</v>
      </c>
      <c r="G1915" s="118" t="s">
        <v>1</v>
      </c>
      <c r="I1915" s="85" t="s">
        <v>20</v>
      </c>
      <c r="J1915" s="86" t="s">
        <v>21</v>
      </c>
      <c r="K1915" s="87" t="s">
        <v>23</v>
      </c>
      <c r="M1915" s="85" t="s">
        <v>27</v>
      </c>
      <c r="N1915" s="86" t="s">
        <v>28</v>
      </c>
      <c r="O1915" s="86" t="s">
        <v>29</v>
      </c>
      <c r="P1915" s="86" t="s">
        <v>30</v>
      </c>
      <c r="Q1915" s="87" t="s">
        <v>31</v>
      </c>
      <c r="S1915" s="85" t="s">
        <v>56</v>
      </c>
      <c r="T1915" s="87" t="s">
        <v>57</v>
      </c>
      <c r="U1915" s="79"/>
      <c r="V1915" s="85" t="s">
        <v>68</v>
      </c>
      <c r="W1915" s="87" t="s">
        <v>69</v>
      </c>
      <c r="Y1915" s="85" t="s">
        <v>85</v>
      </c>
      <c r="Z1915" s="86" t="s">
        <v>88</v>
      </c>
      <c r="AA1915" s="87" t="s">
        <v>89</v>
      </c>
    </row>
    <row r="1916" spans="1:27">
      <c r="A1916" s="216"/>
      <c r="B1916" s="217"/>
      <c r="F1916" s="88" t="s">
        <v>2</v>
      </c>
      <c r="G1916" s="134" t="s">
        <v>569</v>
      </c>
      <c r="I1916" s="88" t="s">
        <v>24</v>
      </c>
      <c r="J1916" s="72">
        <v>7</v>
      </c>
      <c r="K1916" s="89">
        <v>195</v>
      </c>
      <c r="M1916" s="88" t="s">
        <v>1430</v>
      </c>
      <c r="N1916" s="72" t="s">
        <v>33</v>
      </c>
      <c r="O1916" s="72" t="s">
        <v>34</v>
      </c>
      <c r="P1916" s="72" t="s">
        <v>35</v>
      </c>
      <c r="Q1916" s="89" t="s">
        <v>3211</v>
      </c>
      <c r="S1916" s="88" t="s">
        <v>58</v>
      </c>
      <c r="T1916" s="89" t="s">
        <v>3212</v>
      </c>
      <c r="V1916" s="138" t="s">
        <v>70</v>
      </c>
      <c r="W1916" s="139" t="s">
        <v>3213</v>
      </c>
      <c r="Y1916" s="138" t="s">
        <v>90</v>
      </c>
      <c r="Z1916" s="137">
        <v>195</v>
      </c>
      <c r="AA1916" s="139">
        <v>120</v>
      </c>
    </row>
    <row r="1917" spans="1:27">
      <c r="A1917" s="216"/>
      <c r="B1917" s="217"/>
      <c r="F1917" s="88" t="s">
        <v>4</v>
      </c>
      <c r="G1917" s="112" t="s">
        <v>894</v>
      </c>
      <c r="I1917" s="88" t="s">
        <v>25</v>
      </c>
      <c r="J1917" s="80">
        <v>6</v>
      </c>
      <c r="K1917" s="89">
        <v>110</v>
      </c>
      <c r="M1917" s="88" t="s">
        <v>3214</v>
      </c>
      <c r="N1917" s="72" t="s">
        <v>33</v>
      </c>
      <c r="O1917" s="72" t="s">
        <v>43</v>
      </c>
      <c r="P1917" s="72" t="s">
        <v>33</v>
      </c>
      <c r="Q1917" s="89" t="s">
        <v>3215</v>
      </c>
      <c r="S1917" s="88" t="s">
        <v>60</v>
      </c>
      <c r="T1917" s="89" t="s">
        <v>3216</v>
      </c>
      <c r="V1917" s="135" t="s">
        <v>73</v>
      </c>
      <c r="W1917" s="136" t="s">
        <v>3217</v>
      </c>
      <c r="Y1917" s="88" t="s">
        <v>91</v>
      </c>
      <c r="Z1917" s="72">
        <v>110</v>
      </c>
      <c r="AA1917" s="89">
        <v>155</v>
      </c>
    </row>
    <row r="1918" spans="1:27">
      <c r="A1918" s="216"/>
      <c r="B1918" s="217"/>
      <c r="F1918" s="88" t="s">
        <v>6</v>
      </c>
      <c r="G1918" s="112" t="s">
        <v>1484</v>
      </c>
      <c r="I1918" s="90" t="s">
        <v>26</v>
      </c>
      <c r="J1918" s="91"/>
      <c r="K1918" s="92">
        <v>305</v>
      </c>
      <c r="M1918" s="88" t="s">
        <v>2634</v>
      </c>
      <c r="N1918" s="72" t="s">
        <v>33</v>
      </c>
      <c r="O1918" s="72" t="s">
        <v>34</v>
      </c>
      <c r="P1918" s="72" t="s">
        <v>35</v>
      </c>
      <c r="Q1918" s="89" t="s">
        <v>3218</v>
      </c>
      <c r="S1918" s="88" t="s">
        <v>62</v>
      </c>
      <c r="T1918" s="89" t="s">
        <v>2971</v>
      </c>
      <c r="V1918" s="88" t="s">
        <v>76</v>
      </c>
      <c r="W1918" s="89" t="s">
        <v>3219</v>
      </c>
      <c r="Y1918" s="88" t="s">
        <v>26</v>
      </c>
      <c r="Z1918" s="72">
        <v>305</v>
      </c>
      <c r="AA1918" s="89">
        <v>275</v>
      </c>
    </row>
    <row r="1919" spans="1:27">
      <c r="A1919" s="216"/>
      <c r="B1919" s="217"/>
      <c r="F1919" s="88" t="s">
        <v>8</v>
      </c>
      <c r="G1919" s="112" t="s">
        <v>3178</v>
      </c>
      <c r="M1919" s="88" t="s">
        <v>2638</v>
      </c>
      <c r="N1919" s="72" t="s">
        <v>33</v>
      </c>
      <c r="O1919" s="72" t="s">
        <v>43</v>
      </c>
      <c r="P1919" s="72" t="s">
        <v>33</v>
      </c>
      <c r="Q1919" s="89" t="s">
        <v>2744</v>
      </c>
      <c r="S1919" s="119" t="s">
        <v>64</v>
      </c>
      <c r="T1919" s="120" t="s">
        <v>3220</v>
      </c>
      <c r="V1919" s="88" t="s">
        <v>79</v>
      </c>
      <c r="W1919" s="89" t="s">
        <v>945</v>
      </c>
      <c r="Y1919" s="90" t="s">
        <v>92</v>
      </c>
      <c r="Z1919" s="91"/>
      <c r="AA1919" s="122">
        <v>0.1</v>
      </c>
    </row>
    <row r="1920" spans="1:27">
      <c r="A1920" s="216"/>
      <c r="B1920" s="217"/>
      <c r="F1920" s="88" t="s">
        <v>10</v>
      </c>
      <c r="G1920" s="112" t="s">
        <v>1494</v>
      </c>
      <c r="M1920" s="88" t="s">
        <v>42</v>
      </c>
      <c r="N1920" s="72" t="s">
        <v>33</v>
      </c>
      <c r="O1920" s="72" t="s">
        <v>34</v>
      </c>
      <c r="P1920" s="72" t="s">
        <v>35</v>
      </c>
      <c r="Q1920" s="89" t="s">
        <v>2837</v>
      </c>
      <c r="S1920" s="90" t="s">
        <v>66</v>
      </c>
      <c r="T1920" s="133" t="s">
        <v>2171</v>
      </c>
      <c r="V1920" s="90" t="s">
        <v>82</v>
      </c>
      <c r="W1920" s="92" t="s">
        <v>2644</v>
      </c>
    </row>
    <row r="1921" spans="1:27">
      <c r="A1921" s="216"/>
      <c r="B1921" s="217"/>
      <c r="F1921" s="88" t="s">
        <v>13</v>
      </c>
      <c r="G1921" s="201" t="s">
        <v>3221</v>
      </c>
      <c r="M1921" s="88" t="s">
        <v>3222</v>
      </c>
      <c r="N1921" s="72" t="s">
        <v>33</v>
      </c>
      <c r="O1921" s="72" t="s">
        <v>43</v>
      </c>
      <c r="P1921" s="72" t="s">
        <v>33</v>
      </c>
      <c r="Q1921" s="89" t="s">
        <v>2301</v>
      </c>
    </row>
    <row r="1922" spans="1:27">
      <c r="A1922" s="216"/>
      <c r="B1922" s="217"/>
      <c r="F1922" s="88" t="s">
        <v>15</v>
      </c>
      <c r="G1922" s="112" t="s">
        <v>3223</v>
      </c>
      <c r="M1922" s="88" t="s">
        <v>1612</v>
      </c>
      <c r="N1922" s="72" t="s">
        <v>33</v>
      </c>
      <c r="O1922" s="72" t="s">
        <v>34</v>
      </c>
      <c r="P1922" s="72" t="s">
        <v>35</v>
      </c>
      <c r="Q1922" s="89" t="s">
        <v>2404</v>
      </c>
    </row>
    <row r="1923" spans="1:27">
      <c r="A1923" s="216"/>
      <c r="B1923" s="217"/>
      <c r="F1923" s="119" t="s">
        <v>17</v>
      </c>
      <c r="G1923" s="144">
        <v>46069</v>
      </c>
      <c r="M1923" s="88" t="s">
        <v>3224</v>
      </c>
      <c r="N1923" s="72" t="s">
        <v>35</v>
      </c>
      <c r="O1923" s="72" t="s">
        <v>52</v>
      </c>
      <c r="P1923" s="72" t="s">
        <v>35</v>
      </c>
      <c r="Q1923" s="89" t="s">
        <v>1627</v>
      </c>
    </row>
    <row r="1924" spans="1:27">
      <c r="A1924" s="218"/>
      <c r="B1924" s="219"/>
      <c r="F1924" s="90" t="s">
        <v>18</v>
      </c>
      <c r="G1924" s="114" t="s">
        <v>19</v>
      </c>
      <c r="M1924" s="88" t="s">
        <v>1679</v>
      </c>
      <c r="N1924" s="72" t="s">
        <v>35</v>
      </c>
      <c r="O1924" s="72" t="s">
        <v>52</v>
      </c>
      <c r="P1924" s="72" t="s">
        <v>35</v>
      </c>
      <c r="Q1924" s="89" t="s">
        <v>2763</v>
      </c>
    </row>
    <row r="1925" spans="1:27">
      <c r="M1925" s="88" t="s">
        <v>3225</v>
      </c>
      <c r="N1925" s="72" t="s">
        <v>35</v>
      </c>
      <c r="O1925" s="72" t="s">
        <v>52</v>
      </c>
      <c r="P1925" s="72" t="s">
        <v>35</v>
      </c>
      <c r="Q1925" s="89" t="s">
        <v>3210</v>
      </c>
    </row>
    <row r="1926" spans="1:27">
      <c r="M1926" s="88" t="s">
        <v>3226</v>
      </c>
      <c r="N1926" s="72" t="s">
        <v>35</v>
      </c>
      <c r="O1926" s="72" t="s">
        <v>52</v>
      </c>
      <c r="P1926" s="72" t="s">
        <v>35</v>
      </c>
      <c r="Q1926" s="89" t="s">
        <v>1856</v>
      </c>
    </row>
    <row r="1927" spans="1:27">
      <c r="M1927" s="88" t="s">
        <v>2545</v>
      </c>
      <c r="N1927" s="72" t="s">
        <v>35</v>
      </c>
      <c r="O1927" s="72" t="s">
        <v>52</v>
      </c>
      <c r="P1927" s="72" t="s">
        <v>35</v>
      </c>
      <c r="Q1927" s="89" t="s">
        <v>2963</v>
      </c>
    </row>
    <row r="1928" spans="1:27">
      <c r="M1928" s="90" t="s">
        <v>1975</v>
      </c>
      <c r="N1928" s="91" t="s">
        <v>35</v>
      </c>
      <c r="O1928" s="91" t="s">
        <v>52</v>
      </c>
      <c r="P1928" s="91" t="s">
        <v>35</v>
      </c>
      <c r="Q1928" s="92" t="s">
        <v>2866</v>
      </c>
    </row>
    <row r="1936" spans="1:27">
      <c r="A1936" s="214" t="s">
        <v>574</v>
      </c>
      <c r="B1936" s="215"/>
      <c r="F1936" s="85" t="s">
        <v>0</v>
      </c>
      <c r="G1936" s="118" t="s">
        <v>1</v>
      </c>
      <c r="I1936" s="85" t="s">
        <v>20</v>
      </c>
      <c r="J1936" s="86" t="s">
        <v>21</v>
      </c>
      <c r="K1936" s="87" t="s">
        <v>23</v>
      </c>
      <c r="M1936" s="85" t="s">
        <v>27</v>
      </c>
      <c r="N1936" s="86" t="s">
        <v>28</v>
      </c>
      <c r="O1936" s="86" t="s">
        <v>29</v>
      </c>
      <c r="P1936" s="86" t="s">
        <v>30</v>
      </c>
      <c r="Q1936" s="87" t="s">
        <v>31</v>
      </c>
      <c r="S1936" s="85" t="s">
        <v>56</v>
      </c>
      <c r="T1936" s="87" t="s">
        <v>57</v>
      </c>
      <c r="U1936" s="79"/>
      <c r="V1936" s="85" t="s">
        <v>68</v>
      </c>
      <c r="W1936" s="87" t="s">
        <v>69</v>
      </c>
      <c r="Y1936" s="85" t="s">
        <v>85</v>
      </c>
      <c r="Z1936" s="86" t="s">
        <v>88</v>
      </c>
      <c r="AA1936" s="87" t="s">
        <v>89</v>
      </c>
    </row>
    <row r="1937" spans="1:27">
      <c r="A1937" s="216"/>
      <c r="B1937" s="217"/>
      <c r="F1937" s="88" t="s">
        <v>2</v>
      </c>
      <c r="G1937" s="134" t="s">
        <v>574</v>
      </c>
      <c r="I1937" s="88" t="s">
        <v>24</v>
      </c>
      <c r="J1937" s="72">
        <v>8</v>
      </c>
      <c r="K1937" s="89">
        <v>215</v>
      </c>
      <c r="M1937" s="88" t="s">
        <v>2269</v>
      </c>
      <c r="N1937" s="72" t="s">
        <v>33</v>
      </c>
      <c r="O1937" s="72" t="s">
        <v>43</v>
      </c>
      <c r="P1937" s="72" t="s">
        <v>33</v>
      </c>
      <c r="Q1937" s="89" t="s">
        <v>1805</v>
      </c>
      <c r="S1937" s="88" t="s">
        <v>58</v>
      </c>
      <c r="T1937" s="89" t="s">
        <v>1927</v>
      </c>
      <c r="V1937" s="138" t="s">
        <v>70</v>
      </c>
      <c r="W1937" s="139" t="s">
        <v>2829</v>
      </c>
      <c r="Y1937" s="138" t="s">
        <v>90</v>
      </c>
      <c r="Z1937" s="137">
        <v>215</v>
      </c>
      <c r="AA1937" s="139">
        <v>135</v>
      </c>
    </row>
    <row r="1938" spans="1:27">
      <c r="A1938" s="216"/>
      <c r="B1938" s="217"/>
      <c r="F1938" s="88" t="s">
        <v>4</v>
      </c>
      <c r="G1938" s="112" t="s">
        <v>894</v>
      </c>
      <c r="I1938" s="88" t="s">
        <v>25</v>
      </c>
      <c r="J1938" s="80">
        <v>6</v>
      </c>
      <c r="K1938" s="89">
        <v>120</v>
      </c>
      <c r="M1938" s="88" t="s">
        <v>3227</v>
      </c>
      <c r="N1938" s="72" t="s">
        <v>33</v>
      </c>
      <c r="O1938" s="72" t="s">
        <v>34</v>
      </c>
      <c r="P1938" s="72" t="s">
        <v>35</v>
      </c>
      <c r="Q1938" s="89" t="s">
        <v>2869</v>
      </c>
      <c r="S1938" s="88" t="s">
        <v>60</v>
      </c>
      <c r="T1938" s="89" t="s">
        <v>2772</v>
      </c>
      <c r="V1938" s="135" t="s">
        <v>73</v>
      </c>
      <c r="W1938" s="136" t="s">
        <v>2687</v>
      </c>
      <c r="Y1938" s="88" t="s">
        <v>91</v>
      </c>
      <c r="Z1938" s="72">
        <v>120</v>
      </c>
      <c r="AA1938" s="89">
        <v>165</v>
      </c>
    </row>
    <row r="1939" spans="1:27">
      <c r="A1939" s="216"/>
      <c r="B1939" s="217"/>
      <c r="F1939" s="88" t="s">
        <v>6</v>
      </c>
      <c r="G1939" s="112" t="s">
        <v>895</v>
      </c>
      <c r="I1939" s="90" t="s">
        <v>26</v>
      </c>
      <c r="J1939" s="91"/>
      <c r="K1939" s="92">
        <v>335</v>
      </c>
      <c r="M1939" s="88" t="s">
        <v>37</v>
      </c>
      <c r="N1939" s="72" t="s">
        <v>33</v>
      </c>
      <c r="O1939" s="72" t="s">
        <v>34</v>
      </c>
      <c r="P1939" s="72" t="s">
        <v>35</v>
      </c>
      <c r="Q1939" s="89" t="s">
        <v>1778</v>
      </c>
      <c r="S1939" s="88" t="s">
        <v>62</v>
      </c>
      <c r="T1939" s="89" t="s">
        <v>2753</v>
      </c>
      <c r="V1939" s="88" t="s">
        <v>76</v>
      </c>
      <c r="W1939" s="89" t="s">
        <v>3228</v>
      </c>
      <c r="Y1939" s="88" t="s">
        <v>26</v>
      </c>
      <c r="Z1939" s="72">
        <v>335</v>
      </c>
      <c r="AA1939" s="89">
        <v>300</v>
      </c>
    </row>
    <row r="1940" spans="1:27">
      <c r="A1940" s="216"/>
      <c r="B1940" s="217"/>
      <c r="F1940" s="88" t="s">
        <v>8</v>
      </c>
      <c r="G1940" s="112" t="s">
        <v>942</v>
      </c>
      <c r="M1940" s="88" t="s">
        <v>1135</v>
      </c>
      <c r="N1940" s="72" t="s">
        <v>33</v>
      </c>
      <c r="O1940" s="72" t="s">
        <v>43</v>
      </c>
      <c r="P1940" s="72" t="s">
        <v>33</v>
      </c>
      <c r="Q1940" s="89" t="s">
        <v>1811</v>
      </c>
      <c r="S1940" s="119" t="s">
        <v>64</v>
      </c>
      <c r="T1940" s="120" t="s">
        <v>2958</v>
      </c>
      <c r="V1940" s="88" t="s">
        <v>79</v>
      </c>
      <c r="W1940" s="89" t="s">
        <v>945</v>
      </c>
      <c r="Y1940" s="90" t="s">
        <v>92</v>
      </c>
      <c r="Z1940" s="91"/>
      <c r="AA1940" s="122">
        <v>0.1</v>
      </c>
    </row>
    <row r="1941" spans="1:27">
      <c r="A1941" s="216"/>
      <c r="B1941" s="217"/>
      <c r="F1941" s="88" t="s">
        <v>10</v>
      </c>
      <c r="G1941" s="112" t="s">
        <v>12</v>
      </c>
      <c r="M1941" s="88" t="s">
        <v>42</v>
      </c>
      <c r="N1941" s="72" t="s">
        <v>33</v>
      </c>
      <c r="O1941" s="72" t="s">
        <v>34</v>
      </c>
      <c r="P1941" s="72" t="s">
        <v>35</v>
      </c>
      <c r="Q1941" s="89" t="s">
        <v>2837</v>
      </c>
      <c r="S1941" s="90" t="s">
        <v>66</v>
      </c>
      <c r="T1941" s="133" t="s">
        <v>2070</v>
      </c>
      <c r="V1941" s="90" t="s">
        <v>82</v>
      </c>
      <c r="W1941" s="92" t="s">
        <v>2516</v>
      </c>
    </row>
    <row r="1942" spans="1:27">
      <c r="A1942" s="216"/>
      <c r="B1942" s="217"/>
      <c r="F1942" s="88" t="s">
        <v>13</v>
      </c>
      <c r="G1942" s="201" t="s">
        <v>2487</v>
      </c>
      <c r="M1942" s="88" t="s">
        <v>3229</v>
      </c>
      <c r="N1942" s="72" t="s">
        <v>33</v>
      </c>
      <c r="O1942" s="72" t="s">
        <v>43</v>
      </c>
      <c r="P1942" s="72" t="s">
        <v>33</v>
      </c>
      <c r="Q1942" s="89" t="s">
        <v>2301</v>
      </c>
    </row>
    <row r="1943" spans="1:27">
      <c r="A1943" s="216"/>
      <c r="B1943" s="217"/>
      <c r="F1943" s="88" t="s">
        <v>15</v>
      </c>
      <c r="G1943" s="112" t="s">
        <v>3230</v>
      </c>
      <c r="M1943" s="88" t="s">
        <v>2698</v>
      </c>
      <c r="N1943" s="72" t="s">
        <v>33</v>
      </c>
      <c r="O1943" s="72" t="s">
        <v>34</v>
      </c>
      <c r="P1943" s="72" t="s">
        <v>35</v>
      </c>
      <c r="Q1943" s="89" t="s">
        <v>2761</v>
      </c>
    </row>
    <row r="1944" spans="1:27">
      <c r="A1944" s="216"/>
      <c r="B1944" s="217"/>
      <c r="F1944" s="119" t="s">
        <v>17</v>
      </c>
      <c r="G1944" s="144">
        <v>46058</v>
      </c>
      <c r="M1944" s="88" t="s">
        <v>1923</v>
      </c>
      <c r="N1944" s="72" t="s">
        <v>33</v>
      </c>
      <c r="O1944" s="72" t="s">
        <v>43</v>
      </c>
      <c r="P1944" s="72" t="s">
        <v>33</v>
      </c>
      <c r="Q1944" s="89" t="s">
        <v>2934</v>
      </c>
    </row>
    <row r="1945" spans="1:27">
      <c r="A1945" s="218"/>
      <c r="B1945" s="219"/>
      <c r="F1945" s="90" t="s">
        <v>18</v>
      </c>
      <c r="G1945" s="114" t="s">
        <v>19</v>
      </c>
      <c r="M1945" s="88" t="s">
        <v>3231</v>
      </c>
      <c r="N1945" s="72" t="s">
        <v>35</v>
      </c>
      <c r="O1945" s="72" t="s">
        <v>52</v>
      </c>
      <c r="P1945" s="72" t="s">
        <v>35</v>
      </c>
      <c r="Q1945" s="89" t="s">
        <v>1627</v>
      </c>
    </row>
    <row r="1946" spans="1:27">
      <c r="M1946" s="88" t="s">
        <v>1679</v>
      </c>
      <c r="N1946" s="72" t="s">
        <v>35</v>
      </c>
      <c r="O1946" s="72" t="s">
        <v>52</v>
      </c>
      <c r="P1946" s="72" t="s">
        <v>35</v>
      </c>
      <c r="Q1946" s="89" t="s">
        <v>2763</v>
      </c>
    </row>
    <row r="1947" spans="1:27">
      <c r="M1947" s="88" t="s">
        <v>2059</v>
      </c>
      <c r="N1947" s="72" t="s">
        <v>35</v>
      </c>
      <c r="O1947" s="72" t="s">
        <v>52</v>
      </c>
      <c r="P1947" s="72" t="s">
        <v>35</v>
      </c>
      <c r="Q1947" s="89" t="s">
        <v>3210</v>
      </c>
    </row>
    <row r="1948" spans="1:27">
      <c r="M1948" s="88" t="s">
        <v>2545</v>
      </c>
      <c r="N1948" s="72" t="s">
        <v>35</v>
      </c>
      <c r="O1948" s="72" t="s">
        <v>52</v>
      </c>
      <c r="P1948" s="72" t="s">
        <v>35</v>
      </c>
      <c r="Q1948" s="89" t="s">
        <v>2963</v>
      </c>
    </row>
    <row r="1949" spans="1:27">
      <c r="M1949" s="88" t="s">
        <v>1975</v>
      </c>
      <c r="N1949" s="72" t="s">
        <v>35</v>
      </c>
      <c r="O1949" s="72" t="s">
        <v>52</v>
      </c>
      <c r="P1949" s="72" t="s">
        <v>35</v>
      </c>
      <c r="Q1949" s="89" t="s">
        <v>2866</v>
      </c>
    </row>
    <row r="1950" spans="1:27">
      <c r="M1950" s="90" t="s">
        <v>1626</v>
      </c>
      <c r="N1950" s="91" t="s">
        <v>35</v>
      </c>
      <c r="O1950" s="91" t="s">
        <v>52</v>
      </c>
      <c r="P1950" s="91" t="s">
        <v>35</v>
      </c>
      <c r="Q1950" s="92" t="s">
        <v>2898</v>
      </c>
    </row>
    <row r="1955" spans="1:27">
      <c r="A1955" s="214" t="s">
        <v>576</v>
      </c>
      <c r="B1955" s="215"/>
      <c r="F1955" s="85" t="s">
        <v>0</v>
      </c>
      <c r="G1955" s="118" t="s">
        <v>1</v>
      </c>
      <c r="I1955" s="85" t="s">
        <v>20</v>
      </c>
      <c r="J1955" s="86" t="s">
        <v>21</v>
      </c>
      <c r="K1955" s="87" t="s">
        <v>23</v>
      </c>
      <c r="M1955" s="85" t="s">
        <v>27</v>
      </c>
      <c r="N1955" s="86" t="s">
        <v>28</v>
      </c>
      <c r="O1955" s="86" t="s">
        <v>29</v>
      </c>
      <c r="P1955" s="86" t="s">
        <v>30</v>
      </c>
      <c r="Q1955" s="87" t="s">
        <v>31</v>
      </c>
      <c r="S1955" s="85" t="s">
        <v>56</v>
      </c>
      <c r="T1955" s="87" t="s">
        <v>57</v>
      </c>
      <c r="U1955" s="79"/>
      <c r="V1955" s="85" t="s">
        <v>68</v>
      </c>
      <c r="W1955" s="87" t="s">
        <v>69</v>
      </c>
      <c r="Y1955" s="85" t="s">
        <v>85</v>
      </c>
      <c r="Z1955" s="86" t="s">
        <v>88</v>
      </c>
      <c r="AA1955" s="87" t="s">
        <v>89</v>
      </c>
    </row>
    <row r="1956" spans="1:27">
      <c r="A1956" s="216"/>
      <c r="B1956" s="217"/>
      <c r="F1956" s="88" t="s">
        <v>2</v>
      </c>
      <c r="G1956" s="134" t="s">
        <v>576</v>
      </c>
      <c r="I1956" s="88" t="s">
        <v>24</v>
      </c>
      <c r="J1956" s="72">
        <v>7</v>
      </c>
      <c r="K1956" s="89">
        <v>195</v>
      </c>
      <c r="M1956" s="88" t="s">
        <v>3232</v>
      </c>
      <c r="N1956" s="72" t="s">
        <v>33</v>
      </c>
      <c r="O1956" s="72" t="s">
        <v>43</v>
      </c>
      <c r="P1956" s="72" t="s">
        <v>33</v>
      </c>
      <c r="Q1956" s="89" t="s">
        <v>1805</v>
      </c>
      <c r="S1956" s="88" t="s">
        <v>58</v>
      </c>
      <c r="T1956" s="89" t="s">
        <v>3078</v>
      </c>
      <c r="V1956" s="138" t="s">
        <v>70</v>
      </c>
      <c r="W1956" s="139" t="s">
        <v>3233</v>
      </c>
      <c r="Y1956" s="138" t="s">
        <v>90</v>
      </c>
      <c r="Z1956" s="137">
        <v>195</v>
      </c>
      <c r="AA1956" s="139">
        <v>120</v>
      </c>
    </row>
    <row r="1957" spans="1:27">
      <c r="A1957" s="216"/>
      <c r="B1957" s="217"/>
      <c r="F1957" s="88" t="s">
        <v>4</v>
      </c>
      <c r="G1957" s="112" t="s">
        <v>894</v>
      </c>
      <c r="I1957" s="88" t="s">
        <v>25</v>
      </c>
      <c r="J1957" s="80">
        <v>5</v>
      </c>
      <c r="K1957" s="89">
        <v>100</v>
      </c>
      <c r="M1957" s="88" t="s">
        <v>3234</v>
      </c>
      <c r="N1957" s="72" t="s">
        <v>33</v>
      </c>
      <c r="O1957" s="72" t="s">
        <v>34</v>
      </c>
      <c r="P1957" s="72" t="s">
        <v>35</v>
      </c>
      <c r="Q1957" s="89" t="s">
        <v>3235</v>
      </c>
      <c r="S1957" s="88" t="s">
        <v>60</v>
      </c>
      <c r="T1957" s="89" t="s">
        <v>3236</v>
      </c>
      <c r="V1957" s="135" t="s">
        <v>73</v>
      </c>
      <c r="W1957" s="136" t="s">
        <v>2687</v>
      </c>
      <c r="Y1957" s="88" t="s">
        <v>91</v>
      </c>
      <c r="Z1957" s="72">
        <v>100</v>
      </c>
      <c r="AA1957" s="89">
        <v>140</v>
      </c>
    </row>
    <row r="1958" spans="1:27">
      <c r="A1958" s="216"/>
      <c r="B1958" s="217"/>
      <c r="F1958" s="88" t="s">
        <v>6</v>
      </c>
      <c r="G1958" s="112" t="s">
        <v>895</v>
      </c>
      <c r="I1958" s="90" t="s">
        <v>26</v>
      </c>
      <c r="J1958" s="91"/>
      <c r="K1958" s="92">
        <v>295</v>
      </c>
      <c r="M1958" s="88" t="s">
        <v>37</v>
      </c>
      <c r="N1958" s="72" t="s">
        <v>33</v>
      </c>
      <c r="O1958" s="72" t="s">
        <v>34</v>
      </c>
      <c r="P1958" s="72" t="s">
        <v>35</v>
      </c>
      <c r="Q1958" s="89" t="s">
        <v>1778</v>
      </c>
      <c r="S1958" s="88" t="s">
        <v>62</v>
      </c>
      <c r="T1958" s="89" t="s">
        <v>3237</v>
      </c>
      <c r="V1958" s="88" t="s">
        <v>76</v>
      </c>
      <c r="W1958" s="89" t="s">
        <v>3238</v>
      </c>
      <c r="Y1958" s="88" t="s">
        <v>26</v>
      </c>
      <c r="Z1958" s="72">
        <v>295</v>
      </c>
      <c r="AA1958" s="89">
        <v>260</v>
      </c>
    </row>
    <row r="1959" spans="1:27">
      <c r="A1959" s="216"/>
      <c r="B1959" s="217"/>
      <c r="F1959" s="88" t="s">
        <v>8</v>
      </c>
      <c r="G1959" s="112" t="s">
        <v>1101</v>
      </c>
      <c r="M1959" s="88" t="s">
        <v>1135</v>
      </c>
      <c r="N1959" s="72" t="s">
        <v>33</v>
      </c>
      <c r="O1959" s="72" t="s">
        <v>43</v>
      </c>
      <c r="P1959" s="72" t="s">
        <v>33</v>
      </c>
      <c r="Q1959" s="89" t="s">
        <v>1811</v>
      </c>
      <c r="S1959" s="119" t="s">
        <v>64</v>
      </c>
      <c r="T1959" s="120" t="s">
        <v>3239</v>
      </c>
      <c r="V1959" s="88" t="s">
        <v>79</v>
      </c>
      <c r="W1959" s="89" t="s">
        <v>945</v>
      </c>
      <c r="Y1959" s="90" t="s">
        <v>92</v>
      </c>
      <c r="Z1959" s="91"/>
      <c r="AA1959" s="122">
        <v>0.12</v>
      </c>
    </row>
    <row r="1960" spans="1:27">
      <c r="A1960" s="216"/>
      <c r="B1960" s="217"/>
      <c r="F1960" s="88" t="s">
        <v>10</v>
      </c>
      <c r="G1960" s="112" t="s">
        <v>12</v>
      </c>
      <c r="M1960" s="88" t="s">
        <v>42</v>
      </c>
      <c r="N1960" s="72" t="s">
        <v>33</v>
      </c>
      <c r="O1960" s="72" t="s">
        <v>34</v>
      </c>
      <c r="P1960" s="72" t="s">
        <v>35</v>
      </c>
      <c r="Q1960" s="89" t="s">
        <v>2837</v>
      </c>
      <c r="S1960" s="90" t="s">
        <v>66</v>
      </c>
      <c r="T1960" s="133" t="s">
        <v>3240</v>
      </c>
      <c r="V1960" s="90" t="s">
        <v>82</v>
      </c>
      <c r="W1960" s="92" t="s">
        <v>2516</v>
      </c>
    </row>
    <row r="1961" spans="1:27">
      <c r="A1961" s="216"/>
      <c r="B1961" s="217"/>
      <c r="F1961" s="88" t="s">
        <v>13</v>
      </c>
      <c r="G1961" s="201" t="s">
        <v>2413</v>
      </c>
      <c r="M1961" s="88" t="s">
        <v>3241</v>
      </c>
      <c r="N1961" s="72" t="s">
        <v>33</v>
      </c>
      <c r="O1961" s="72" t="s">
        <v>43</v>
      </c>
      <c r="P1961" s="72" t="s">
        <v>33</v>
      </c>
      <c r="Q1961" s="89" t="s">
        <v>2301</v>
      </c>
    </row>
    <row r="1962" spans="1:27">
      <c r="A1962" s="216"/>
      <c r="B1962" s="217"/>
      <c r="F1962" s="88" t="s">
        <v>15</v>
      </c>
      <c r="G1962" s="112" t="s">
        <v>3181</v>
      </c>
      <c r="M1962" s="88" t="s">
        <v>2698</v>
      </c>
      <c r="N1962" s="72" t="s">
        <v>33</v>
      </c>
      <c r="O1962" s="72" t="s">
        <v>34</v>
      </c>
      <c r="P1962" s="72" t="s">
        <v>35</v>
      </c>
      <c r="Q1962" s="89" t="s">
        <v>2761</v>
      </c>
    </row>
    <row r="1963" spans="1:27">
      <c r="A1963" s="216"/>
      <c r="B1963" s="217"/>
      <c r="F1963" s="119" t="s">
        <v>17</v>
      </c>
      <c r="G1963" s="144">
        <v>46058</v>
      </c>
      <c r="M1963" s="88" t="s">
        <v>2962</v>
      </c>
      <c r="N1963" s="72" t="s">
        <v>35</v>
      </c>
      <c r="O1963" s="72" t="s">
        <v>52</v>
      </c>
      <c r="P1963" s="72" t="s">
        <v>35</v>
      </c>
      <c r="Q1963" s="89" t="s">
        <v>1627</v>
      </c>
    </row>
    <row r="1964" spans="1:27">
      <c r="A1964" s="218"/>
      <c r="B1964" s="219"/>
      <c r="F1964" s="90" t="s">
        <v>18</v>
      </c>
      <c r="G1964" s="114" t="s">
        <v>19</v>
      </c>
      <c r="M1964" s="88" t="s">
        <v>1679</v>
      </c>
      <c r="N1964" s="72" t="s">
        <v>35</v>
      </c>
      <c r="O1964" s="72" t="s">
        <v>52</v>
      </c>
      <c r="P1964" s="72" t="s">
        <v>35</v>
      </c>
      <c r="Q1964" s="89" t="s">
        <v>2763</v>
      </c>
    </row>
    <row r="1965" spans="1:27">
      <c r="M1965" s="88" t="s">
        <v>2059</v>
      </c>
      <c r="N1965" s="72" t="s">
        <v>35</v>
      </c>
      <c r="O1965" s="72" t="s">
        <v>52</v>
      </c>
      <c r="P1965" s="72" t="s">
        <v>35</v>
      </c>
      <c r="Q1965" s="89" t="s">
        <v>2041</v>
      </c>
    </row>
    <row r="1966" spans="1:27">
      <c r="M1966" s="88" t="s">
        <v>2545</v>
      </c>
      <c r="N1966" s="72" t="s">
        <v>35</v>
      </c>
      <c r="O1966" s="72" t="s">
        <v>52</v>
      </c>
      <c r="P1966" s="72" t="s">
        <v>35</v>
      </c>
      <c r="Q1966" s="89" t="s">
        <v>2963</v>
      </c>
    </row>
    <row r="1967" spans="1:27">
      <c r="M1967" s="90" t="s">
        <v>1975</v>
      </c>
      <c r="N1967" s="91" t="s">
        <v>35</v>
      </c>
      <c r="O1967" s="91" t="s">
        <v>52</v>
      </c>
      <c r="P1967" s="91" t="s">
        <v>35</v>
      </c>
      <c r="Q1967" s="92" t="s">
        <v>2866</v>
      </c>
    </row>
    <row r="1968" spans="1:27">
      <c r="M1968" s="130"/>
      <c r="N1968" s="130"/>
      <c r="O1968" s="130"/>
      <c r="P1968" s="130"/>
      <c r="Q1968" s="130"/>
    </row>
    <row r="1969" spans="1:27">
      <c r="M1969" s="130"/>
      <c r="N1969" s="130"/>
      <c r="O1969" s="130"/>
      <c r="P1969" s="130"/>
      <c r="Q1969" s="130"/>
    </row>
    <row r="1970" spans="1:27">
      <c r="M1970" s="130"/>
      <c r="N1970" s="130"/>
      <c r="O1970" s="130"/>
      <c r="P1970" s="130"/>
      <c r="Q1970" s="130"/>
    </row>
    <row r="1974" spans="1:27">
      <c r="A1974" s="214" t="s">
        <v>590</v>
      </c>
      <c r="B1974" s="215"/>
      <c r="F1974" s="85" t="s">
        <v>0</v>
      </c>
      <c r="G1974" s="118" t="s">
        <v>1</v>
      </c>
      <c r="I1974" s="85" t="s">
        <v>20</v>
      </c>
      <c r="J1974" s="86" t="s">
        <v>21</v>
      </c>
      <c r="K1974" s="87" t="s">
        <v>23</v>
      </c>
      <c r="M1974" s="85" t="s">
        <v>27</v>
      </c>
      <c r="N1974" s="86" t="s">
        <v>28</v>
      </c>
      <c r="O1974" s="86" t="s">
        <v>29</v>
      </c>
      <c r="P1974" s="86" t="s">
        <v>30</v>
      </c>
      <c r="Q1974" s="87" t="s">
        <v>31</v>
      </c>
      <c r="S1974" s="85" t="s">
        <v>56</v>
      </c>
      <c r="T1974" s="87" t="s">
        <v>57</v>
      </c>
      <c r="U1974" s="79"/>
      <c r="V1974" s="85" t="s">
        <v>68</v>
      </c>
      <c r="W1974" s="87" t="s">
        <v>69</v>
      </c>
      <c r="Y1974" s="85" t="s">
        <v>85</v>
      </c>
      <c r="Z1974" s="86" t="s">
        <v>88</v>
      </c>
      <c r="AA1974" s="87" t="s">
        <v>89</v>
      </c>
    </row>
    <row r="1975" spans="1:27">
      <c r="A1975" s="216"/>
      <c r="B1975" s="217"/>
      <c r="F1975" s="88" t="s">
        <v>2</v>
      </c>
      <c r="G1975" s="134" t="s">
        <v>590</v>
      </c>
      <c r="I1975" s="88" t="s">
        <v>24</v>
      </c>
      <c r="J1975" s="72">
        <v>6</v>
      </c>
      <c r="K1975" s="89">
        <v>180</v>
      </c>
      <c r="M1975" s="88" t="s">
        <v>2602</v>
      </c>
      <c r="N1975" s="72" t="s">
        <v>33</v>
      </c>
      <c r="O1975" s="72" t="s">
        <v>34</v>
      </c>
      <c r="P1975" s="72" t="s">
        <v>35</v>
      </c>
      <c r="Q1975" s="89" t="s">
        <v>2793</v>
      </c>
      <c r="S1975" s="88" t="s">
        <v>58</v>
      </c>
      <c r="T1975" s="89" t="s">
        <v>3212</v>
      </c>
      <c r="V1975" s="138" t="s">
        <v>70</v>
      </c>
      <c r="W1975" s="139" t="s">
        <v>3242</v>
      </c>
      <c r="Y1975" s="138" t="s">
        <v>90</v>
      </c>
      <c r="Z1975" s="137">
        <v>180</v>
      </c>
      <c r="AA1975" s="139">
        <v>110</v>
      </c>
    </row>
    <row r="1976" spans="1:27">
      <c r="A1976" s="216"/>
      <c r="B1976" s="217"/>
      <c r="F1976" s="88" t="s">
        <v>4</v>
      </c>
      <c r="G1976" s="112" t="s">
        <v>894</v>
      </c>
      <c r="I1976" s="88" t="s">
        <v>25</v>
      </c>
      <c r="J1976" s="80">
        <v>5</v>
      </c>
      <c r="K1976" s="89">
        <v>95</v>
      </c>
      <c r="M1976" s="88" t="s">
        <v>1661</v>
      </c>
      <c r="N1976" s="72" t="s">
        <v>33</v>
      </c>
      <c r="O1976" s="72" t="s">
        <v>43</v>
      </c>
      <c r="P1976" s="72" t="s">
        <v>33</v>
      </c>
      <c r="Q1976" s="89" t="s">
        <v>2274</v>
      </c>
      <c r="S1976" s="88" t="s">
        <v>60</v>
      </c>
      <c r="T1976" s="89" t="s">
        <v>2887</v>
      </c>
      <c r="V1976" s="135" t="s">
        <v>73</v>
      </c>
      <c r="W1976" s="136" t="s">
        <v>2818</v>
      </c>
      <c r="Y1976" s="88" t="s">
        <v>91</v>
      </c>
      <c r="Z1976" s="72">
        <v>95</v>
      </c>
      <c r="AA1976" s="89">
        <v>135</v>
      </c>
    </row>
    <row r="1977" spans="1:27">
      <c r="A1977" s="216"/>
      <c r="B1977" s="217"/>
      <c r="F1977" s="88" t="s">
        <v>6</v>
      </c>
      <c r="G1977" s="112" t="s">
        <v>1484</v>
      </c>
      <c r="I1977" s="90" t="s">
        <v>26</v>
      </c>
      <c r="J1977" s="91"/>
      <c r="K1977" s="92">
        <v>275</v>
      </c>
      <c r="M1977" s="88" t="s">
        <v>37</v>
      </c>
      <c r="N1977" s="72" t="s">
        <v>33</v>
      </c>
      <c r="O1977" s="72" t="s">
        <v>34</v>
      </c>
      <c r="P1977" s="72" t="s">
        <v>35</v>
      </c>
      <c r="Q1977" s="89" t="s">
        <v>1778</v>
      </c>
      <c r="S1977" s="88" t="s">
        <v>62</v>
      </c>
      <c r="T1977" s="89" t="s">
        <v>2854</v>
      </c>
      <c r="V1977" s="88" t="s">
        <v>76</v>
      </c>
      <c r="W1977" s="89" t="s">
        <v>3243</v>
      </c>
      <c r="Y1977" s="88" t="s">
        <v>26</v>
      </c>
      <c r="Z1977" s="72">
        <v>275</v>
      </c>
      <c r="AA1977" s="89">
        <v>245</v>
      </c>
    </row>
    <row r="1978" spans="1:27">
      <c r="A1978" s="216"/>
      <c r="B1978" s="217"/>
      <c r="F1978" s="88" t="s">
        <v>8</v>
      </c>
      <c r="G1978" s="112" t="s">
        <v>3178</v>
      </c>
      <c r="M1978" s="88" t="s">
        <v>42</v>
      </c>
      <c r="N1978" s="72" t="s">
        <v>33</v>
      </c>
      <c r="O1978" s="72" t="s">
        <v>34</v>
      </c>
      <c r="P1978" s="72" t="s">
        <v>35</v>
      </c>
      <c r="Q1978" s="89" t="s">
        <v>2837</v>
      </c>
      <c r="S1978" s="119" t="s">
        <v>64</v>
      </c>
      <c r="T1978" s="120" t="s">
        <v>3244</v>
      </c>
      <c r="V1978" s="88" t="s">
        <v>79</v>
      </c>
      <c r="W1978" s="89" t="s">
        <v>1584</v>
      </c>
      <c r="Y1978" s="90" t="s">
        <v>92</v>
      </c>
      <c r="Z1978" s="91"/>
      <c r="AA1978" s="122">
        <v>0.11</v>
      </c>
    </row>
    <row r="1979" spans="1:27">
      <c r="A1979" s="216"/>
      <c r="B1979" s="217"/>
      <c r="F1979" s="88" t="s">
        <v>10</v>
      </c>
      <c r="G1979" s="112" t="s">
        <v>1403</v>
      </c>
      <c r="M1979" s="88" t="s">
        <v>3245</v>
      </c>
      <c r="N1979" s="72" t="s">
        <v>33</v>
      </c>
      <c r="O1979" s="72" t="s">
        <v>43</v>
      </c>
      <c r="P1979" s="72" t="s">
        <v>33</v>
      </c>
      <c r="Q1979" s="89" t="s">
        <v>2825</v>
      </c>
      <c r="S1979" s="90" t="s">
        <v>66</v>
      </c>
      <c r="T1979" s="133" t="s">
        <v>1971</v>
      </c>
      <c r="V1979" s="90" t="s">
        <v>82</v>
      </c>
      <c r="W1979" s="92" t="s">
        <v>2516</v>
      </c>
    </row>
    <row r="1980" spans="1:27" ht="30.75">
      <c r="A1980" s="216"/>
      <c r="B1980" s="217"/>
      <c r="F1980" s="88" t="s">
        <v>13</v>
      </c>
      <c r="G1980" s="210" t="s">
        <v>2402</v>
      </c>
      <c r="M1980" s="88" t="s">
        <v>1886</v>
      </c>
      <c r="N1980" s="72" t="s">
        <v>33</v>
      </c>
      <c r="O1980" s="72" t="s">
        <v>34</v>
      </c>
      <c r="P1980" s="72" t="s">
        <v>35</v>
      </c>
      <c r="Q1980" s="89" t="s">
        <v>2818</v>
      </c>
    </row>
    <row r="1981" spans="1:27">
      <c r="A1981" s="216"/>
      <c r="B1981" s="217"/>
      <c r="F1981" s="88" t="s">
        <v>15</v>
      </c>
      <c r="G1981" s="112" t="s">
        <v>3223</v>
      </c>
      <c r="M1981" s="88" t="s">
        <v>3224</v>
      </c>
      <c r="N1981" s="72" t="s">
        <v>35</v>
      </c>
      <c r="O1981" s="72" t="s">
        <v>52</v>
      </c>
      <c r="P1981" s="72" t="s">
        <v>35</v>
      </c>
      <c r="Q1981" s="89" t="s">
        <v>1627</v>
      </c>
    </row>
    <row r="1982" spans="1:27">
      <c r="A1982" s="216"/>
      <c r="B1982" s="217"/>
      <c r="F1982" s="119" t="s">
        <v>17</v>
      </c>
      <c r="G1982" s="144">
        <v>46043</v>
      </c>
      <c r="M1982" s="88" t="s">
        <v>1679</v>
      </c>
      <c r="N1982" s="72" t="s">
        <v>35</v>
      </c>
      <c r="O1982" s="72" t="s">
        <v>52</v>
      </c>
      <c r="P1982" s="72" t="s">
        <v>35</v>
      </c>
      <c r="Q1982" s="89" t="s">
        <v>2763</v>
      </c>
    </row>
    <row r="1983" spans="1:27">
      <c r="A1983" s="218"/>
      <c r="B1983" s="219"/>
      <c r="F1983" s="90" t="s">
        <v>18</v>
      </c>
      <c r="G1983" s="114" t="s">
        <v>19</v>
      </c>
      <c r="M1983" s="88" t="s">
        <v>3246</v>
      </c>
      <c r="N1983" s="72" t="s">
        <v>35</v>
      </c>
      <c r="O1983" s="72" t="s">
        <v>52</v>
      </c>
      <c r="P1983" s="72" t="s">
        <v>35</v>
      </c>
      <c r="Q1983" s="89" t="s">
        <v>2746</v>
      </c>
    </row>
    <row r="1984" spans="1:27">
      <c r="M1984" s="88" t="s">
        <v>2545</v>
      </c>
      <c r="N1984" s="72" t="s">
        <v>35</v>
      </c>
      <c r="O1984" s="72" t="s">
        <v>52</v>
      </c>
      <c r="P1984" s="72" t="s">
        <v>35</v>
      </c>
      <c r="Q1984" s="89" t="s">
        <v>2882</v>
      </c>
    </row>
    <row r="1985" spans="1:27">
      <c r="M1985" s="90" t="s">
        <v>1975</v>
      </c>
      <c r="N1985" s="91" t="s">
        <v>35</v>
      </c>
      <c r="O1985" s="91" t="s">
        <v>52</v>
      </c>
      <c r="P1985" s="91" t="s">
        <v>35</v>
      </c>
      <c r="Q1985" s="92" t="s">
        <v>1826</v>
      </c>
    </row>
    <row r="1986" spans="1:27">
      <c r="M1986" s="130"/>
      <c r="N1986" s="130"/>
      <c r="O1986" s="130"/>
      <c r="P1986" s="130"/>
      <c r="Q1986" s="130"/>
    </row>
    <row r="1987" spans="1:27">
      <c r="M1987" s="130"/>
      <c r="N1987" s="130"/>
      <c r="O1987" s="130"/>
      <c r="P1987" s="130"/>
      <c r="Q1987" s="130"/>
    </row>
    <row r="1988" spans="1:27">
      <c r="M1988" s="130"/>
      <c r="N1988" s="130"/>
      <c r="O1988" s="130"/>
      <c r="P1988" s="130"/>
      <c r="Q1988" s="130"/>
    </row>
    <row r="1992" spans="1:27">
      <c r="A1992" s="214" t="s">
        <v>596</v>
      </c>
      <c r="B1992" s="215"/>
      <c r="F1992" s="85" t="s">
        <v>0</v>
      </c>
      <c r="G1992" s="118" t="s">
        <v>1</v>
      </c>
      <c r="I1992" s="85" t="s">
        <v>20</v>
      </c>
      <c r="J1992" s="86" t="s">
        <v>21</v>
      </c>
      <c r="K1992" s="87" t="s">
        <v>23</v>
      </c>
      <c r="M1992" s="85" t="s">
        <v>27</v>
      </c>
      <c r="N1992" s="86" t="s">
        <v>28</v>
      </c>
      <c r="O1992" s="86" t="s">
        <v>29</v>
      </c>
      <c r="P1992" s="86" t="s">
        <v>30</v>
      </c>
      <c r="Q1992" s="87" t="s">
        <v>31</v>
      </c>
      <c r="S1992" s="85" t="s">
        <v>56</v>
      </c>
      <c r="T1992" s="87" t="s">
        <v>57</v>
      </c>
      <c r="U1992" s="79"/>
      <c r="V1992" s="85" t="s">
        <v>68</v>
      </c>
      <c r="W1992" s="87" t="s">
        <v>69</v>
      </c>
      <c r="Y1992" s="85" t="s">
        <v>85</v>
      </c>
      <c r="Z1992" s="86" t="s">
        <v>88</v>
      </c>
      <c r="AA1992" s="87" t="s">
        <v>89</v>
      </c>
    </row>
    <row r="1993" spans="1:27">
      <c r="A1993" s="216"/>
      <c r="B1993" s="217"/>
      <c r="F1993" s="88" t="s">
        <v>2</v>
      </c>
      <c r="G1993" s="134" t="s">
        <v>596</v>
      </c>
      <c r="I1993" s="88" t="s">
        <v>24</v>
      </c>
      <c r="J1993" s="72">
        <v>5</v>
      </c>
      <c r="K1993" s="89">
        <v>130</v>
      </c>
      <c r="M1993" s="88" t="s">
        <v>3247</v>
      </c>
      <c r="N1993" s="72" t="s">
        <v>33</v>
      </c>
      <c r="O1993" s="72" t="s">
        <v>43</v>
      </c>
      <c r="P1993" s="72" t="s">
        <v>33</v>
      </c>
      <c r="Q1993" s="89" t="s">
        <v>3248</v>
      </c>
      <c r="S1993" s="88" t="s">
        <v>58</v>
      </c>
      <c r="T1993" s="89" t="s">
        <v>3249</v>
      </c>
      <c r="V1993" s="138" t="s">
        <v>70</v>
      </c>
      <c r="W1993" s="139" t="s">
        <v>3250</v>
      </c>
      <c r="Y1993" s="138" t="s">
        <v>90</v>
      </c>
      <c r="Z1993" s="137">
        <v>130</v>
      </c>
      <c r="AA1993" s="139">
        <v>80</v>
      </c>
    </row>
    <row r="1994" spans="1:27">
      <c r="A1994" s="216"/>
      <c r="B1994" s="217"/>
      <c r="F1994" s="88" t="s">
        <v>4</v>
      </c>
      <c r="G1994" s="112" t="s">
        <v>894</v>
      </c>
      <c r="I1994" s="88" t="s">
        <v>25</v>
      </c>
      <c r="J1994" s="80">
        <v>6</v>
      </c>
      <c r="K1994" s="89">
        <v>90</v>
      </c>
      <c r="M1994" s="88" t="s">
        <v>37</v>
      </c>
      <c r="N1994" s="72" t="s">
        <v>33</v>
      </c>
      <c r="O1994" s="72" t="s">
        <v>34</v>
      </c>
      <c r="P1994" s="72" t="s">
        <v>35</v>
      </c>
      <c r="Q1994" s="89" t="s">
        <v>1778</v>
      </c>
      <c r="S1994" s="88" t="s">
        <v>60</v>
      </c>
      <c r="T1994" s="89" t="s">
        <v>2049</v>
      </c>
      <c r="V1994" s="135" t="s">
        <v>73</v>
      </c>
      <c r="W1994" s="136" t="s">
        <v>2687</v>
      </c>
      <c r="Y1994" s="88" t="s">
        <v>91</v>
      </c>
      <c r="Z1994" s="72">
        <v>90</v>
      </c>
      <c r="AA1994" s="89">
        <v>120</v>
      </c>
    </row>
    <row r="1995" spans="1:27">
      <c r="A1995" s="216"/>
      <c r="B1995" s="217"/>
      <c r="F1995" s="88" t="s">
        <v>6</v>
      </c>
      <c r="G1995" s="112" t="s">
        <v>895</v>
      </c>
      <c r="I1995" s="90" t="s">
        <v>26</v>
      </c>
      <c r="J1995" s="91"/>
      <c r="K1995" s="92">
        <v>220</v>
      </c>
      <c r="M1995" s="88" t="s">
        <v>1553</v>
      </c>
      <c r="N1995" s="72" t="s">
        <v>33</v>
      </c>
      <c r="O1995" s="72" t="s">
        <v>43</v>
      </c>
      <c r="P1995" s="72" t="s">
        <v>33</v>
      </c>
      <c r="Q1995" s="89" t="s">
        <v>1811</v>
      </c>
      <c r="S1995" s="88" t="s">
        <v>62</v>
      </c>
      <c r="T1995" s="89" t="s">
        <v>2971</v>
      </c>
      <c r="V1995" s="88" t="s">
        <v>76</v>
      </c>
      <c r="W1995" s="89" t="s">
        <v>3251</v>
      </c>
      <c r="Y1995" s="88" t="s">
        <v>26</v>
      </c>
      <c r="Z1995" s="72">
        <v>220</v>
      </c>
      <c r="AA1995" s="89">
        <v>200</v>
      </c>
    </row>
    <row r="1996" spans="1:27">
      <c r="A1996" s="216"/>
      <c r="B1996" s="217"/>
      <c r="F1996" s="88" t="s">
        <v>8</v>
      </c>
      <c r="G1996" s="112" t="s">
        <v>3252</v>
      </c>
      <c r="M1996" s="88" t="s">
        <v>42</v>
      </c>
      <c r="N1996" s="72" t="s">
        <v>33</v>
      </c>
      <c r="O1996" s="72" t="s">
        <v>34</v>
      </c>
      <c r="P1996" s="72" t="s">
        <v>35</v>
      </c>
      <c r="Q1996" s="89" t="s">
        <v>2837</v>
      </c>
      <c r="S1996" s="119" t="s">
        <v>64</v>
      </c>
      <c r="T1996" s="120" t="s">
        <v>3253</v>
      </c>
      <c r="V1996" s="88" t="s">
        <v>79</v>
      </c>
      <c r="W1996" s="89" t="s">
        <v>1584</v>
      </c>
      <c r="Y1996" s="90" t="s">
        <v>92</v>
      </c>
      <c r="Z1996" s="91"/>
      <c r="AA1996" s="122">
        <v>0.09</v>
      </c>
    </row>
    <row r="1997" spans="1:27">
      <c r="A1997" s="216"/>
      <c r="B1997" s="217"/>
      <c r="F1997" s="88" t="s">
        <v>10</v>
      </c>
      <c r="G1997" s="112" t="s">
        <v>12</v>
      </c>
      <c r="M1997" s="88" t="s">
        <v>3110</v>
      </c>
      <c r="N1997" s="72" t="s">
        <v>33</v>
      </c>
      <c r="O1997" s="72" t="s">
        <v>43</v>
      </c>
      <c r="P1997" s="72" t="s">
        <v>33</v>
      </c>
      <c r="Q1997" s="89" t="s">
        <v>2301</v>
      </c>
      <c r="S1997" s="90" t="s">
        <v>66</v>
      </c>
      <c r="T1997" s="133" t="s">
        <v>3254</v>
      </c>
      <c r="V1997" s="90" t="s">
        <v>82</v>
      </c>
      <c r="W1997" s="92" t="s">
        <v>2516</v>
      </c>
    </row>
    <row r="1998" spans="1:27" ht="30.75">
      <c r="A1998" s="216"/>
      <c r="B1998" s="217"/>
      <c r="F1998" s="88" t="s">
        <v>13</v>
      </c>
      <c r="G1998" s="210" t="s">
        <v>2323</v>
      </c>
      <c r="M1998" s="88" t="s">
        <v>3255</v>
      </c>
      <c r="N1998" s="72" t="s">
        <v>35</v>
      </c>
      <c r="O1998" s="72" t="s">
        <v>52</v>
      </c>
      <c r="P1998" s="72" t="s">
        <v>35</v>
      </c>
      <c r="Q1998" s="89" t="s">
        <v>3256</v>
      </c>
    </row>
    <row r="1999" spans="1:27">
      <c r="A1999" s="216"/>
      <c r="B1999" s="217"/>
      <c r="F1999" s="88" t="s">
        <v>15</v>
      </c>
      <c r="G1999" s="112" t="s">
        <v>3257</v>
      </c>
      <c r="M1999" s="88" t="s">
        <v>1679</v>
      </c>
      <c r="N1999" s="72" t="s">
        <v>35</v>
      </c>
      <c r="O1999" s="72" t="s">
        <v>52</v>
      </c>
      <c r="P1999" s="72" t="s">
        <v>35</v>
      </c>
      <c r="Q1999" s="89" t="s">
        <v>2763</v>
      </c>
    </row>
    <row r="2000" spans="1:27">
      <c r="A2000" s="216"/>
      <c r="B2000" s="217"/>
      <c r="F2000" s="119" t="s">
        <v>17</v>
      </c>
      <c r="G2000" s="144">
        <v>46050</v>
      </c>
      <c r="M2000" s="88" t="s">
        <v>2059</v>
      </c>
      <c r="N2000" s="72" t="s">
        <v>35</v>
      </c>
      <c r="O2000" s="72" t="s">
        <v>52</v>
      </c>
      <c r="P2000" s="72" t="s">
        <v>35</v>
      </c>
      <c r="Q2000" s="89" t="s">
        <v>2746</v>
      </c>
    </row>
    <row r="2001" spans="1:27">
      <c r="A2001" s="218"/>
      <c r="B2001" s="219"/>
      <c r="F2001" s="90" t="s">
        <v>18</v>
      </c>
      <c r="G2001" s="114" t="s">
        <v>19</v>
      </c>
      <c r="M2001" s="88" t="s">
        <v>2545</v>
      </c>
      <c r="N2001" s="72" t="s">
        <v>35</v>
      </c>
      <c r="O2001" s="72" t="s">
        <v>52</v>
      </c>
      <c r="P2001" s="72" t="s">
        <v>35</v>
      </c>
      <c r="Q2001" s="89" t="s">
        <v>2963</v>
      </c>
    </row>
    <row r="2002" spans="1:27">
      <c r="M2002" s="88" t="s">
        <v>1975</v>
      </c>
      <c r="N2002" s="72" t="s">
        <v>35</v>
      </c>
      <c r="O2002" s="72" t="s">
        <v>52</v>
      </c>
      <c r="P2002" s="72" t="s">
        <v>35</v>
      </c>
      <c r="Q2002" s="89" t="s">
        <v>2866</v>
      </c>
    </row>
    <row r="2003" spans="1:27">
      <c r="M2003" s="90" t="s">
        <v>1626</v>
      </c>
      <c r="N2003" s="91" t="s">
        <v>35</v>
      </c>
      <c r="O2003" s="91" t="s">
        <v>52</v>
      </c>
      <c r="P2003" s="91" t="s">
        <v>35</v>
      </c>
      <c r="Q2003" s="92" t="s">
        <v>2898</v>
      </c>
    </row>
    <row r="2009" spans="1:27">
      <c r="A2009" s="214" t="s">
        <v>598</v>
      </c>
      <c r="B2009" s="215"/>
      <c r="F2009" s="85" t="s">
        <v>0</v>
      </c>
      <c r="G2009" s="118" t="s">
        <v>1</v>
      </c>
      <c r="I2009" s="85" t="s">
        <v>20</v>
      </c>
      <c r="J2009" s="86" t="s">
        <v>21</v>
      </c>
      <c r="K2009" s="87" t="s">
        <v>23</v>
      </c>
      <c r="M2009" s="85" t="s">
        <v>27</v>
      </c>
      <c r="N2009" s="86" t="s">
        <v>28</v>
      </c>
      <c r="O2009" s="86" t="s">
        <v>29</v>
      </c>
      <c r="P2009" s="86" t="s">
        <v>30</v>
      </c>
      <c r="Q2009" s="87" t="s">
        <v>31</v>
      </c>
      <c r="S2009" s="85" t="s">
        <v>56</v>
      </c>
      <c r="T2009" s="87" t="s">
        <v>57</v>
      </c>
      <c r="U2009" s="79"/>
      <c r="V2009" s="85" t="s">
        <v>68</v>
      </c>
      <c r="W2009" s="87" t="s">
        <v>69</v>
      </c>
      <c r="Y2009" s="85" t="s">
        <v>85</v>
      </c>
      <c r="Z2009" s="86" t="s">
        <v>88</v>
      </c>
      <c r="AA2009" s="87" t="s">
        <v>89</v>
      </c>
    </row>
    <row r="2010" spans="1:27">
      <c r="A2010" s="216"/>
      <c r="B2010" s="217"/>
      <c r="F2010" s="88" t="s">
        <v>2</v>
      </c>
      <c r="G2010" s="134" t="s">
        <v>598</v>
      </c>
      <c r="I2010" s="88" t="s">
        <v>24</v>
      </c>
      <c r="J2010" s="72">
        <v>7</v>
      </c>
      <c r="K2010" s="89">
        <v>205</v>
      </c>
      <c r="M2010" s="88" t="s">
        <v>3258</v>
      </c>
      <c r="N2010" s="72" t="s">
        <v>33</v>
      </c>
      <c r="O2010" s="72" t="s">
        <v>43</v>
      </c>
      <c r="P2010" s="72" t="s">
        <v>33</v>
      </c>
      <c r="Q2010" s="89" t="s">
        <v>3118</v>
      </c>
      <c r="S2010" s="88" t="s">
        <v>58</v>
      </c>
      <c r="T2010" s="89" t="s">
        <v>3249</v>
      </c>
      <c r="V2010" s="138" t="s">
        <v>70</v>
      </c>
      <c r="W2010" s="139" t="s">
        <v>3259</v>
      </c>
      <c r="Y2010" s="138" t="s">
        <v>90</v>
      </c>
      <c r="Z2010" s="137">
        <v>205</v>
      </c>
      <c r="AA2010" s="139">
        <v>130</v>
      </c>
    </row>
    <row r="2011" spans="1:27">
      <c r="A2011" s="216"/>
      <c r="B2011" s="217"/>
      <c r="F2011" s="88" t="s">
        <v>4</v>
      </c>
      <c r="G2011" s="112" t="s">
        <v>894</v>
      </c>
      <c r="I2011" s="88" t="s">
        <v>25</v>
      </c>
      <c r="J2011" s="80">
        <v>5</v>
      </c>
      <c r="K2011" s="89">
        <v>110</v>
      </c>
      <c r="M2011" s="88" t="s">
        <v>32</v>
      </c>
      <c r="N2011" s="72" t="s">
        <v>33</v>
      </c>
      <c r="O2011" s="72" t="s">
        <v>34</v>
      </c>
      <c r="P2011" s="72" t="s">
        <v>35</v>
      </c>
      <c r="Q2011" s="89" t="s">
        <v>2869</v>
      </c>
      <c r="S2011" s="88" t="s">
        <v>60</v>
      </c>
      <c r="T2011" s="89" t="s">
        <v>2887</v>
      </c>
      <c r="V2011" s="135" t="s">
        <v>73</v>
      </c>
      <c r="W2011" s="136" t="s">
        <v>2687</v>
      </c>
      <c r="Y2011" s="88" t="s">
        <v>91</v>
      </c>
      <c r="Z2011" s="72">
        <v>110</v>
      </c>
      <c r="AA2011" s="89">
        <v>150</v>
      </c>
    </row>
    <row r="2012" spans="1:27">
      <c r="A2012" s="216"/>
      <c r="B2012" s="217"/>
      <c r="F2012" s="88" t="s">
        <v>6</v>
      </c>
      <c r="G2012" s="112" t="s">
        <v>1484</v>
      </c>
      <c r="I2012" s="90" t="s">
        <v>26</v>
      </c>
      <c r="J2012" s="91"/>
      <c r="K2012" s="92">
        <v>315</v>
      </c>
      <c r="M2012" s="88" t="s">
        <v>37</v>
      </c>
      <c r="N2012" s="72" t="s">
        <v>33</v>
      </c>
      <c r="O2012" s="72" t="s">
        <v>34</v>
      </c>
      <c r="P2012" s="72" t="s">
        <v>35</v>
      </c>
      <c r="Q2012" s="89" t="s">
        <v>1778</v>
      </c>
      <c r="S2012" s="88" t="s">
        <v>62</v>
      </c>
      <c r="T2012" s="89" t="s">
        <v>2854</v>
      </c>
      <c r="V2012" s="88" t="s">
        <v>76</v>
      </c>
      <c r="W2012" s="89" t="s">
        <v>3260</v>
      </c>
      <c r="Y2012" s="88" t="s">
        <v>26</v>
      </c>
      <c r="Z2012" s="72">
        <v>315</v>
      </c>
      <c r="AA2012" s="89">
        <v>280</v>
      </c>
    </row>
    <row r="2013" spans="1:27">
      <c r="A2013" s="216"/>
      <c r="B2013" s="217"/>
      <c r="F2013" s="88" t="s">
        <v>8</v>
      </c>
      <c r="G2013" s="112" t="s">
        <v>942</v>
      </c>
      <c r="M2013" s="88" t="s">
        <v>1553</v>
      </c>
      <c r="N2013" s="72" t="s">
        <v>33</v>
      </c>
      <c r="O2013" s="72" t="s">
        <v>43</v>
      </c>
      <c r="P2013" s="72" t="s">
        <v>33</v>
      </c>
      <c r="Q2013" s="89" t="s">
        <v>1811</v>
      </c>
      <c r="S2013" s="119" t="s">
        <v>64</v>
      </c>
      <c r="T2013" s="120" t="s">
        <v>2958</v>
      </c>
      <c r="V2013" s="88" t="s">
        <v>79</v>
      </c>
      <c r="W2013" s="89" t="s">
        <v>945</v>
      </c>
      <c r="Y2013" s="90" t="s">
        <v>92</v>
      </c>
      <c r="Z2013" s="91"/>
      <c r="AA2013" s="122">
        <v>0.11</v>
      </c>
    </row>
    <row r="2014" spans="1:27">
      <c r="A2014" s="216"/>
      <c r="B2014" s="217"/>
      <c r="F2014" s="88" t="s">
        <v>10</v>
      </c>
      <c r="G2014" s="112" t="s">
        <v>12</v>
      </c>
      <c r="M2014" s="88" t="s">
        <v>42</v>
      </c>
      <c r="N2014" s="72" t="s">
        <v>33</v>
      </c>
      <c r="O2014" s="72" t="s">
        <v>34</v>
      </c>
      <c r="P2014" s="72" t="s">
        <v>35</v>
      </c>
      <c r="Q2014" s="89" t="s">
        <v>2837</v>
      </c>
      <c r="S2014" s="90" t="s">
        <v>66</v>
      </c>
      <c r="T2014" s="133" t="s">
        <v>1988</v>
      </c>
      <c r="V2014" s="90" t="s">
        <v>82</v>
      </c>
      <c r="W2014" s="92" t="s">
        <v>2516</v>
      </c>
    </row>
    <row r="2015" spans="1:27">
      <c r="A2015" s="216"/>
      <c r="B2015" s="217"/>
      <c r="F2015" s="88" t="s">
        <v>13</v>
      </c>
      <c r="G2015" s="201" t="s">
        <v>2562</v>
      </c>
      <c r="M2015" s="88" t="s">
        <v>3261</v>
      </c>
      <c r="N2015" s="72" t="s">
        <v>33</v>
      </c>
      <c r="O2015" s="72" t="s">
        <v>43</v>
      </c>
      <c r="P2015" s="72" t="s">
        <v>33</v>
      </c>
      <c r="Q2015" s="89" t="s">
        <v>1734</v>
      </c>
    </row>
    <row r="2016" spans="1:27">
      <c r="A2016" s="216"/>
      <c r="B2016" s="217"/>
      <c r="F2016" s="88" t="s">
        <v>15</v>
      </c>
      <c r="G2016" s="112" t="s">
        <v>3262</v>
      </c>
      <c r="M2016" s="88" t="s">
        <v>2698</v>
      </c>
      <c r="N2016" s="72" t="s">
        <v>33</v>
      </c>
      <c r="O2016" s="72" t="s">
        <v>34</v>
      </c>
      <c r="P2016" s="72" t="s">
        <v>35</v>
      </c>
      <c r="Q2016" s="89" t="s">
        <v>2761</v>
      </c>
    </row>
    <row r="2017" spans="1:27">
      <c r="A2017" s="216"/>
      <c r="B2017" s="217"/>
      <c r="F2017" s="119" t="s">
        <v>17</v>
      </c>
      <c r="G2017" s="144">
        <v>46069</v>
      </c>
      <c r="M2017" s="88" t="s">
        <v>3263</v>
      </c>
      <c r="N2017" s="72" t="s">
        <v>35</v>
      </c>
      <c r="O2017" s="72" t="s">
        <v>52</v>
      </c>
      <c r="P2017" s="72" t="s">
        <v>35</v>
      </c>
      <c r="Q2017" s="89" t="s">
        <v>1627</v>
      </c>
    </row>
    <row r="2018" spans="1:27">
      <c r="A2018" s="218"/>
      <c r="B2018" s="219"/>
      <c r="F2018" s="90" t="s">
        <v>18</v>
      </c>
      <c r="G2018" s="114" t="s">
        <v>19</v>
      </c>
      <c r="M2018" s="88" t="s">
        <v>1679</v>
      </c>
      <c r="N2018" s="72" t="s">
        <v>35</v>
      </c>
      <c r="O2018" s="72" t="s">
        <v>52</v>
      </c>
      <c r="P2018" s="72" t="s">
        <v>35</v>
      </c>
      <c r="Q2018" s="89" t="s">
        <v>2763</v>
      </c>
    </row>
    <row r="2019" spans="1:27">
      <c r="M2019" s="88" t="s">
        <v>2059</v>
      </c>
      <c r="N2019" s="72" t="s">
        <v>35</v>
      </c>
      <c r="O2019" s="72" t="s">
        <v>52</v>
      </c>
      <c r="P2019" s="72" t="s">
        <v>35</v>
      </c>
      <c r="Q2019" s="89" t="s">
        <v>2041</v>
      </c>
    </row>
    <row r="2020" spans="1:27">
      <c r="M2020" s="88" t="s">
        <v>2545</v>
      </c>
      <c r="N2020" s="72" t="s">
        <v>35</v>
      </c>
      <c r="O2020" s="72" t="s">
        <v>52</v>
      </c>
      <c r="P2020" s="72" t="s">
        <v>35</v>
      </c>
      <c r="Q2020" s="89" t="s">
        <v>2963</v>
      </c>
    </row>
    <row r="2021" spans="1:27">
      <c r="M2021" s="90" t="s">
        <v>1975</v>
      </c>
      <c r="N2021" s="91" t="s">
        <v>35</v>
      </c>
      <c r="O2021" s="91" t="s">
        <v>52</v>
      </c>
      <c r="P2021" s="91" t="s">
        <v>35</v>
      </c>
      <c r="Q2021" s="92" t="s">
        <v>2866</v>
      </c>
    </row>
    <row r="2027" spans="1:27">
      <c r="A2027" s="214" t="s">
        <v>602</v>
      </c>
      <c r="B2027" s="215"/>
      <c r="F2027" s="85" t="s">
        <v>0</v>
      </c>
      <c r="G2027" s="118" t="s">
        <v>1</v>
      </c>
      <c r="I2027" s="85" t="s">
        <v>20</v>
      </c>
      <c r="J2027" s="86" t="s">
        <v>21</v>
      </c>
      <c r="K2027" s="87" t="s">
        <v>23</v>
      </c>
      <c r="M2027" s="85" t="s">
        <v>27</v>
      </c>
      <c r="N2027" s="86" t="s">
        <v>28</v>
      </c>
      <c r="O2027" s="86" t="s">
        <v>29</v>
      </c>
      <c r="P2027" s="86" t="s">
        <v>30</v>
      </c>
      <c r="Q2027" s="87" t="s">
        <v>31</v>
      </c>
      <c r="S2027" s="85" t="s">
        <v>56</v>
      </c>
      <c r="T2027" s="87" t="s">
        <v>57</v>
      </c>
      <c r="U2027" s="79"/>
      <c r="V2027" s="85" t="s">
        <v>68</v>
      </c>
      <c r="W2027" s="87" t="s">
        <v>69</v>
      </c>
      <c r="Y2027" s="85" t="s">
        <v>85</v>
      </c>
      <c r="Z2027" s="86" t="s">
        <v>88</v>
      </c>
      <c r="AA2027" s="87" t="s">
        <v>89</v>
      </c>
    </row>
    <row r="2028" spans="1:27">
      <c r="A2028" s="216"/>
      <c r="B2028" s="217"/>
      <c r="F2028" s="88" t="s">
        <v>2</v>
      </c>
      <c r="G2028" s="134" t="s">
        <v>602</v>
      </c>
      <c r="I2028" s="88" t="s">
        <v>24</v>
      </c>
      <c r="J2028" s="72">
        <v>7</v>
      </c>
      <c r="K2028" s="89">
        <v>195</v>
      </c>
      <c r="M2028" s="88" t="s">
        <v>3264</v>
      </c>
      <c r="N2028" s="72" t="s">
        <v>33</v>
      </c>
      <c r="O2028" s="72" t="s">
        <v>43</v>
      </c>
      <c r="P2028" s="72" t="s">
        <v>33</v>
      </c>
      <c r="Q2028" s="89" t="s">
        <v>3265</v>
      </c>
      <c r="S2028" s="88" t="s">
        <v>58</v>
      </c>
      <c r="T2028" s="89" t="s">
        <v>3266</v>
      </c>
      <c r="V2028" s="138" t="s">
        <v>70</v>
      </c>
      <c r="W2028" s="139" t="s">
        <v>3267</v>
      </c>
      <c r="Y2028" s="138" t="s">
        <v>90</v>
      </c>
      <c r="Z2028" s="137">
        <v>195</v>
      </c>
      <c r="AA2028" s="139">
        <v>120</v>
      </c>
    </row>
    <row r="2029" spans="1:27">
      <c r="A2029" s="216"/>
      <c r="B2029" s="217"/>
      <c r="F2029" s="88" t="s">
        <v>4</v>
      </c>
      <c r="G2029" s="112" t="s">
        <v>894</v>
      </c>
      <c r="I2029" s="88" t="s">
        <v>25</v>
      </c>
      <c r="J2029" s="80">
        <v>5</v>
      </c>
      <c r="K2029" s="89">
        <v>95</v>
      </c>
      <c r="M2029" s="88" t="s">
        <v>3121</v>
      </c>
      <c r="N2029" s="72" t="s">
        <v>33</v>
      </c>
      <c r="O2029" s="72" t="s">
        <v>34</v>
      </c>
      <c r="P2029" s="72" t="s">
        <v>35</v>
      </c>
      <c r="Q2029" s="89" t="s">
        <v>3268</v>
      </c>
      <c r="S2029" s="88" t="s">
        <v>60</v>
      </c>
      <c r="T2029" s="89" t="s">
        <v>2079</v>
      </c>
      <c r="V2029" s="135" t="s">
        <v>73</v>
      </c>
      <c r="W2029" s="136" t="s">
        <v>3269</v>
      </c>
      <c r="Y2029" s="88" t="s">
        <v>91</v>
      </c>
      <c r="Z2029" s="72">
        <v>95</v>
      </c>
      <c r="AA2029" s="89">
        <v>135</v>
      </c>
    </row>
    <row r="2030" spans="1:27">
      <c r="A2030" s="216"/>
      <c r="B2030" s="217"/>
      <c r="F2030" s="88" t="s">
        <v>6</v>
      </c>
      <c r="G2030" s="112" t="s">
        <v>1484</v>
      </c>
      <c r="I2030" s="90" t="s">
        <v>26</v>
      </c>
      <c r="J2030" s="91"/>
      <c r="K2030" s="92">
        <v>290</v>
      </c>
      <c r="M2030" s="88" t="s">
        <v>37</v>
      </c>
      <c r="N2030" s="72" t="s">
        <v>33</v>
      </c>
      <c r="O2030" s="72" t="s">
        <v>34</v>
      </c>
      <c r="P2030" s="72" t="s">
        <v>35</v>
      </c>
      <c r="Q2030" s="89" t="s">
        <v>1778</v>
      </c>
      <c r="S2030" s="88" t="s">
        <v>62</v>
      </c>
      <c r="T2030" s="89" t="s">
        <v>3165</v>
      </c>
      <c r="V2030" s="88" t="s">
        <v>76</v>
      </c>
      <c r="W2030" s="89" t="s">
        <v>3270</v>
      </c>
      <c r="Y2030" s="88" t="s">
        <v>26</v>
      </c>
      <c r="Z2030" s="72">
        <v>290</v>
      </c>
      <c r="AA2030" s="89">
        <v>255</v>
      </c>
    </row>
    <row r="2031" spans="1:27">
      <c r="A2031" s="216"/>
      <c r="B2031" s="217"/>
      <c r="F2031" s="88" t="s">
        <v>8</v>
      </c>
      <c r="G2031" s="112" t="s">
        <v>2973</v>
      </c>
      <c r="M2031" s="88" t="s">
        <v>1135</v>
      </c>
      <c r="N2031" s="72" t="s">
        <v>33</v>
      </c>
      <c r="O2031" s="72" t="s">
        <v>43</v>
      </c>
      <c r="P2031" s="72" t="s">
        <v>33</v>
      </c>
      <c r="Q2031" s="89" t="s">
        <v>2691</v>
      </c>
      <c r="S2031" s="119" t="s">
        <v>64</v>
      </c>
      <c r="T2031" s="120" t="s">
        <v>3271</v>
      </c>
      <c r="V2031" s="88" t="s">
        <v>79</v>
      </c>
      <c r="W2031" s="89" t="s">
        <v>1584</v>
      </c>
      <c r="Y2031" s="90" t="s">
        <v>92</v>
      </c>
      <c r="Z2031" s="91"/>
      <c r="AA2031" s="122">
        <v>0.12</v>
      </c>
    </row>
    <row r="2032" spans="1:27">
      <c r="A2032" s="216"/>
      <c r="B2032" s="217"/>
      <c r="F2032" s="88" t="s">
        <v>10</v>
      </c>
      <c r="G2032" s="112" t="s">
        <v>12</v>
      </c>
      <c r="M2032" s="88" t="s">
        <v>42</v>
      </c>
      <c r="N2032" s="72" t="s">
        <v>33</v>
      </c>
      <c r="O2032" s="72" t="s">
        <v>34</v>
      </c>
      <c r="P2032" s="72" t="s">
        <v>35</v>
      </c>
      <c r="Q2032" s="89" t="s">
        <v>2837</v>
      </c>
      <c r="S2032" s="90" t="s">
        <v>66</v>
      </c>
      <c r="T2032" s="133" t="s">
        <v>3272</v>
      </c>
      <c r="V2032" s="90" t="s">
        <v>82</v>
      </c>
      <c r="W2032" s="92" t="s">
        <v>2891</v>
      </c>
    </row>
    <row r="2033" spans="1:27">
      <c r="A2033" s="216"/>
      <c r="B2033" s="217"/>
      <c r="F2033" s="88" t="s">
        <v>13</v>
      </c>
      <c r="G2033" s="201" t="s">
        <v>3179</v>
      </c>
      <c r="M2033" s="88" t="s">
        <v>3273</v>
      </c>
      <c r="N2033" s="72" t="s">
        <v>33</v>
      </c>
      <c r="O2033" s="72" t="s">
        <v>43</v>
      </c>
      <c r="P2033" s="72" t="s">
        <v>33</v>
      </c>
      <c r="Q2033" s="89" t="s">
        <v>2893</v>
      </c>
    </row>
    <row r="2034" spans="1:27">
      <c r="A2034" s="216"/>
      <c r="B2034" s="217"/>
      <c r="F2034" s="88" t="s">
        <v>15</v>
      </c>
      <c r="G2034" s="112" t="s">
        <v>3048</v>
      </c>
      <c r="M2034" s="88" t="s">
        <v>1574</v>
      </c>
      <c r="N2034" s="72" t="s">
        <v>33</v>
      </c>
      <c r="O2034" s="72" t="s">
        <v>34</v>
      </c>
      <c r="P2034" s="72" t="s">
        <v>35</v>
      </c>
      <c r="Q2034" s="89" t="s">
        <v>2761</v>
      </c>
    </row>
    <row r="2035" spans="1:27">
      <c r="A2035" s="216"/>
      <c r="B2035" s="217"/>
      <c r="F2035" s="119" t="s">
        <v>17</v>
      </c>
      <c r="G2035" s="144">
        <v>46058</v>
      </c>
      <c r="M2035" s="88" t="s">
        <v>2074</v>
      </c>
      <c r="N2035" s="72" t="s">
        <v>35</v>
      </c>
      <c r="O2035" s="72" t="s">
        <v>52</v>
      </c>
      <c r="P2035" s="72" t="s">
        <v>35</v>
      </c>
      <c r="Q2035" s="89" t="s">
        <v>1902</v>
      </c>
    </row>
    <row r="2036" spans="1:27">
      <c r="A2036" s="218"/>
      <c r="B2036" s="219"/>
      <c r="F2036" s="90" t="s">
        <v>18</v>
      </c>
      <c r="G2036" s="114" t="s">
        <v>19</v>
      </c>
      <c r="M2036" s="88" t="s">
        <v>1794</v>
      </c>
      <c r="N2036" s="72" t="s">
        <v>35</v>
      </c>
      <c r="O2036" s="72" t="s">
        <v>52</v>
      </c>
      <c r="P2036" s="72" t="s">
        <v>35</v>
      </c>
      <c r="Q2036" s="89" t="s">
        <v>3274</v>
      </c>
    </row>
    <row r="2037" spans="1:27">
      <c r="M2037" s="88" t="s">
        <v>2059</v>
      </c>
      <c r="N2037" s="72" t="s">
        <v>35</v>
      </c>
      <c r="O2037" s="72" t="s">
        <v>52</v>
      </c>
      <c r="P2037" s="72" t="s">
        <v>35</v>
      </c>
      <c r="Q2037" s="89" t="s">
        <v>3275</v>
      </c>
    </row>
    <row r="2038" spans="1:27">
      <c r="M2038" s="88" t="s">
        <v>2545</v>
      </c>
      <c r="N2038" s="72" t="s">
        <v>35</v>
      </c>
      <c r="O2038" s="72" t="s">
        <v>52</v>
      </c>
      <c r="P2038" s="72" t="s">
        <v>35</v>
      </c>
      <c r="Q2038" s="89" t="s">
        <v>2963</v>
      </c>
    </row>
    <row r="2039" spans="1:27">
      <c r="M2039" s="90" t="s">
        <v>1975</v>
      </c>
      <c r="N2039" s="91" t="s">
        <v>35</v>
      </c>
      <c r="O2039" s="91" t="s">
        <v>52</v>
      </c>
      <c r="P2039" s="91" t="s">
        <v>35</v>
      </c>
      <c r="Q2039" s="92" t="s">
        <v>2866</v>
      </c>
    </row>
    <row r="2046" spans="1:27">
      <c r="A2046" s="214" t="s">
        <v>606</v>
      </c>
      <c r="B2046" s="215"/>
      <c r="F2046" s="85" t="s">
        <v>0</v>
      </c>
      <c r="G2046" s="118" t="s">
        <v>1</v>
      </c>
      <c r="I2046" s="85" t="s">
        <v>20</v>
      </c>
      <c r="J2046" s="86" t="s">
        <v>21</v>
      </c>
      <c r="K2046" s="87" t="s">
        <v>23</v>
      </c>
      <c r="M2046" s="85" t="s">
        <v>27</v>
      </c>
      <c r="N2046" s="86" t="s">
        <v>28</v>
      </c>
      <c r="O2046" s="86" t="s">
        <v>29</v>
      </c>
      <c r="P2046" s="86" t="s">
        <v>30</v>
      </c>
      <c r="Q2046" s="87" t="s">
        <v>31</v>
      </c>
      <c r="S2046" s="85" t="s">
        <v>56</v>
      </c>
      <c r="T2046" s="87" t="s">
        <v>57</v>
      </c>
      <c r="U2046" s="79"/>
      <c r="V2046" s="85" t="s">
        <v>68</v>
      </c>
      <c r="W2046" s="87" t="s">
        <v>69</v>
      </c>
      <c r="Y2046" s="85" t="s">
        <v>85</v>
      </c>
      <c r="Z2046" s="86" t="s">
        <v>88</v>
      </c>
      <c r="AA2046" s="87" t="s">
        <v>89</v>
      </c>
    </row>
    <row r="2047" spans="1:27">
      <c r="A2047" s="216"/>
      <c r="B2047" s="217"/>
      <c r="F2047" s="88" t="s">
        <v>2</v>
      </c>
      <c r="G2047" s="134" t="s">
        <v>606</v>
      </c>
      <c r="I2047" s="88" t="s">
        <v>24</v>
      </c>
      <c r="J2047" s="72">
        <v>6</v>
      </c>
      <c r="K2047" s="89">
        <v>165</v>
      </c>
      <c r="M2047" s="88" t="s">
        <v>3149</v>
      </c>
      <c r="N2047" s="72" t="s">
        <v>33</v>
      </c>
      <c r="O2047" s="72" t="s">
        <v>43</v>
      </c>
      <c r="P2047" s="72" t="s">
        <v>33</v>
      </c>
      <c r="Q2047" s="89" t="s">
        <v>1805</v>
      </c>
      <c r="S2047" s="88" t="s">
        <v>58</v>
      </c>
      <c r="T2047" s="89" t="s">
        <v>3212</v>
      </c>
      <c r="V2047" s="138" t="s">
        <v>70</v>
      </c>
      <c r="W2047" s="139" t="s">
        <v>2088</v>
      </c>
      <c r="Y2047" s="138" t="s">
        <v>90</v>
      </c>
      <c r="Z2047" s="137">
        <v>165</v>
      </c>
      <c r="AA2047" s="139">
        <v>105</v>
      </c>
    </row>
    <row r="2048" spans="1:27">
      <c r="A2048" s="216"/>
      <c r="B2048" s="217"/>
      <c r="F2048" s="88" t="s">
        <v>4</v>
      </c>
      <c r="G2048" s="112" t="s">
        <v>894</v>
      </c>
      <c r="I2048" s="88" t="s">
        <v>25</v>
      </c>
      <c r="J2048" s="80">
        <v>6</v>
      </c>
      <c r="K2048" s="89">
        <v>105</v>
      </c>
      <c r="M2048" s="88" t="s">
        <v>1430</v>
      </c>
      <c r="N2048" s="72" t="s">
        <v>33</v>
      </c>
      <c r="O2048" s="72" t="s">
        <v>34</v>
      </c>
      <c r="P2048" s="72" t="s">
        <v>35</v>
      </c>
      <c r="Q2048" s="89" t="s">
        <v>2733</v>
      </c>
      <c r="S2048" s="88" t="s">
        <v>60</v>
      </c>
      <c r="T2048" s="89" t="s">
        <v>2049</v>
      </c>
      <c r="V2048" s="135" t="s">
        <v>73</v>
      </c>
      <c r="W2048" s="136" t="s">
        <v>2943</v>
      </c>
      <c r="Y2048" s="88" t="s">
        <v>91</v>
      </c>
      <c r="Z2048" s="72">
        <v>105</v>
      </c>
      <c r="AA2048" s="89">
        <v>145</v>
      </c>
    </row>
    <row r="2049" spans="1:27">
      <c r="A2049" s="216"/>
      <c r="B2049" s="217"/>
      <c r="F2049" s="88" t="s">
        <v>6</v>
      </c>
      <c r="G2049" s="112" t="s">
        <v>895</v>
      </c>
      <c r="I2049" s="90" t="s">
        <v>26</v>
      </c>
      <c r="J2049" s="91"/>
      <c r="K2049" s="92">
        <v>270</v>
      </c>
      <c r="M2049" s="88" t="s">
        <v>37</v>
      </c>
      <c r="N2049" s="72" t="s">
        <v>33</v>
      </c>
      <c r="O2049" s="72" t="s">
        <v>34</v>
      </c>
      <c r="P2049" s="72" t="s">
        <v>35</v>
      </c>
      <c r="Q2049" s="89" t="s">
        <v>1778</v>
      </c>
      <c r="S2049" s="88" t="s">
        <v>62</v>
      </c>
      <c r="T2049" s="89" t="s">
        <v>2854</v>
      </c>
      <c r="V2049" s="88" t="s">
        <v>76</v>
      </c>
      <c r="W2049" s="89" t="s">
        <v>3276</v>
      </c>
      <c r="Y2049" s="88" t="s">
        <v>26</v>
      </c>
      <c r="Z2049" s="72">
        <v>270</v>
      </c>
      <c r="AA2049" s="89">
        <v>250</v>
      </c>
    </row>
    <row r="2050" spans="1:27">
      <c r="A2050" s="216"/>
      <c r="B2050" s="217"/>
      <c r="F2050" s="88" t="s">
        <v>8</v>
      </c>
      <c r="G2050" s="112" t="s">
        <v>3081</v>
      </c>
      <c r="M2050" s="88" t="s">
        <v>2741</v>
      </c>
      <c r="N2050" s="72" t="s">
        <v>33</v>
      </c>
      <c r="O2050" s="72" t="s">
        <v>34</v>
      </c>
      <c r="P2050" s="72" t="s">
        <v>35</v>
      </c>
      <c r="Q2050" s="89" t="s">
        <v>2742</v>
      </c>
      <c r="S2050" s="119" t="s">
        <v>64</v>
      </c>
      <c r="T2050" s="120" t="s">
        <v>2946</v>
      </c>
      <c r="V2050" s="88" t="s">
        <v>79</v>
      </c>
      <c r="W2050" s="89" t="s">
        <v>1584</v>
      </c>
      <c r="Y2050" s="90" t="s">
        <v>92</v>
      </c>
      <c r="Z2050" s="91"/>
      <c r="AA2050" s="122">
        <v>7.0000000000000007E-2</v>
      </c>
    </row>
    <row r="2051" spans="1:27">
      <c r="A2051" s="216"/>
      <c r="B2051" s="217"/>
      <c r="F2051" s="88" t="s">
        <v>10</v>
      </c>
      <c r="G2051" s="112" t="s">
        <v>2735</v>
      </c>
      <c r="M2051" s="88" t="s">
        <v>42</v>
      </c>
      <c r="N2051" s="72" t="s">
        <v>33</v>
      </c>
      <c r="O2051" s="72" t="s">
        <v>34</v>
      </c>
      <c r="P2051" s="72" t="s">
        <v>35</v>
      </c>
      <c r="Q2051" s="89" t="s">
        <v>2837</v>
      </c>
      <c r="S2051" s="90" t="s">
        <v>66</v>
      </c>
      <c r="T2051" s="133" t="s">
        <v>1971</v>
      </c>
      <c r="V2051" s="90" t="s">
        <v>82</v>
      </c>
      <c r="W2051" s="92" t="s">
        <v>2948</v>
      </c>
    </row>
    <row r="2052" spans="1:27">
      <c r="A2052" s="216"/>
      <c r="B2052" s="217"/>
      <c r="F2052" s="88" t="s">
        <v>13</v>
      </c>
      <c r="G2052" s="201" t="s">
        <v>2007</v>
      </c>
      <c r="M2052" s="88" t="s">
        <v>2020</v>
      </c>
      <c r="N2052" s="72" t="s">
        <v>33</v>
      </c>
      <c r="O2052" s="72" t="s">
        <v>43</v>
      </c>
      <c r="P2052" s="72" t="s">
        <v>33</v>
      </c>
      <c r="Q2052" s="89" t="s">
        <v>2301</v>
      </c>
    </row>
    <row r="2053" spans="1:27">
      <c r="A2053" s="216"/>
      <c r="B2053" s="217"/>
      <c r="F2053" s="88" t="s">
        <v>15</v>
      </c>
      <c r="G2053" s="112" t="s">
        <v>3277</v>
      </c>
      <c r="M2053" s="88" t="s">
        <v>3224</v>
      </c>
      <c r="N2053" s="72" t="s">
        <v>35</v>
      </c>
      <c r="O2053" s="72" t="s">
        <v>52</v>
      </c>
      <c r="P2053" s="72" t="s">
        <v>35</v>
      </c>
      <c r="Q2053" s="89" t="s">
        <v>3278</v>
      </c>
    </row>
    <row r="2054" spans="1:27">
      <c r="A2054" s="216"/>
      <c r="B2054" s="217"/>
      <c r="F2054" s="119" t="s">
        <v>17</v>
      </c>
      <c r="G2054" s="144">
        <v>46044</v>
      </c>
      <c r="M2054" s="88" t="s">
        <v>1679</v>
      </c>
      <c r="N2054" s="72" t="s">
        <v>35</v>
      </c>
      <c r="O2054" s="72" t="s">
        <v>52</v>
      </c>
      <c r="P2054" s="72" t="s">
        <v>35</v>
      </c>
      <c r="Q2054" s="89" t="s">
        <v>2745</v>
      </c>
    </row>
    <row r="2055" spans="1:27">
      <c r="A2055" s="218"/>
      <c r="B2055" s="219"/>
      <c r="F2055" s="90" t="s">
        <v>18</v>
      </c>
      <c r="G2055" s="114" t="s">
        <v>19</v>
      </c>
      <c r="M2055" s="88" t="s">
        <v>2059</v>
      </c>
      <c r="N2055" s="72" t="s">
        <v>35</v>
      </c>
      <c r="O2055" s="72" t="s">
        <v>52</v>
      </c>
      <c r="P2055" s="72" t="s">
        <v>35</v>
      </c>
      <c r="Q2055" s="89" t="s">
        <v>2746</v>
      </c>
    </row>
    <row r="2056" spans="1:27">
      <c r="M2056" s="88" t="s">
        <v>2545</v>
      </c>
      <c r="N2056" s="72" t="s">
        <v>35</v>
      </c>
      <c r="O2056" s="72" t="s">
        <v>52</v>
      </c>
      <c r="P2056" s="72" t="s">
        <v>35</v>
      </c>
      <c r="Q2056" s="89" t="s">
        <v>2882</v>
      </c>
    </row>
    <row r="2057" spans="1:27">
      <c r="M2057" s="88" t="s">
        <v>3226</v>
      </c>
      <c r="N2057" s="72" t="s">
        <v>35</v>
      </c>
      <c r="O2057" s="72" t="s">
        <v>52</v>
      </c>
      <c r="P2057" s="72" t="s">
        <v>35</v>
      </c>
      <c r="Q2057" s="89" t="s">
        <v>2748</v>
      </c>
    </row>
    <row r="2058" spans="1:27">
      <c r="M2058" s="90" t="s">
        <v>1975</v>
      </c>
      <c r="N2058" s="91" t="s">
        <v>35</v>
      </c>
      <c r="O2058" s="91" t="s">
        <v>52</v>
      </c>
      <c r="P2058" s="91" t="s">
        <v>35</v>
      </c>
      <c r="Q2058" s="92" t="s">
        <v>1826</v>
      </c>
    </row>
    <row r="2064" spans="1:27">
      <c r="A2064" s="214" t="s">
        <v>608</v>
      </c>
      <c r="B2064" s="215"/>
      <c r="F2064" s="85" t="s">
        <v>0</v>
      </c>
      <c r="G2064" s="118" t="s">
        <v>1</v>
      </c>
      <c r="I2064" s="85" t="s">
        <v>20</v>
      </c>
      <c r="J2064" s="86" t="s">
        <v>21</v>
      </c>
      <c r="K2064" s="87" t="s">
        <v>23</v>
      </c>
      <c r="M2064" s="85" t="s">
        <v>27</v>
      </c>
      <c r="N2064" s="86" t="s">
        <v>28</v>
      </c>
      <c r="O2064" s="86" t="s">
        <v>29</v>
      </c>
      <c r="P2064" s="86" t="s">
        <v>30</v>
      </c>
      <c r="Q2064" s="87" t="s">
        <v>31</v>
      </c>
      <c r="S2064" s="85" t="s">
        <v>56</v>
      </c>
      <c r="T2064" s="87" t="s">
        <v>57</v>
      </c>
      <c r="U2064" s="79"/>
      <c r="V2064" s="85" t="s">
        <v>68</v>
      </c>
      <c r="W2064" s="87" t="s">
        <v>69</v>
      </c>
      <c r="Y2064" s="85" t="s">
        <v>85</v>
      </c>
      <c r="Z2064" s="86" t="s">
        <v>88</v>
      </c>
      <c r="AA2064" s="87" t="s">
        <v>89</v>
      </c>
    </row>
    <row r="2065" spans="1:27">
      <c r="A2065" s="216"/>
      <c r="B2065" s="217"/>
      <c r="F2065" s="88" t="s">
        <v>2</v>
      </c>
      <c r="G2065" s="134" t="s">
        <v>608</v>
      </c>
      <c r="I2065" s="88" t="s">
        <v>24</v>
      </c>
      <c r="J2065" s="72">
        <v>6</v>
      </c>
      <c r="K2065" s="89">
        <v>155</v>
      </c>
      <c r="M2065" s="88" t="s">
        <v>3279</v>
      </c>
      <c r="N2065" s="72" t="s">
        <v>33</v>
      </c>
      <c r="O2065" s="72" t="s">
        <v>43</v>
      </c>
      <c r="P2065" s="72" t="s">
        <v>33</v>
      </c>
      <c r="Q2065" s="89" t="s">
        <v>1984</v>
      </c>
      <c r="S2065" s="88" t="s">
        <v>58</v>
      </c>
      <c r="T2065" s="89" t="s">
        <v>3280</v>
      </c>
      <c r="V2065" s="138" t="s">
        <v>70</v>
      </c>
      <c r="W2065" s="139" t="s">
        <v>3281</v>
      </c>
      <c r="Y2065" s="138" t="s">
        <v>90</v>
      </c>
      <c r="Z2065" s="137">
        <v>155</v>
      </c>
      <c r="AA2065" s="139">
        <v>100</v>
      </c>
    </row>
    <row r="2066" spans="1:27">
      <c r="A2066" s="216"/>
      <c r="B2066" s="217"/>
      <c r="F2066" s="88" t="s">
        <v>4</v>
      </c>
      <c r="G2066" s="112" t="s">
        <v>894</v>
      </c>
      <c r="I2066" s="88" t="s">
        <v>25</v>
      </c>
      <c r="J2066" s="80">
        <v>5</v>
      </c>
      <c r="K2066" s="89">
        <v>90</v>
      </c>
      <c r="M2066" s="88" t="s">
        <v>1684</v>
      </c>
      <c r="N2066" s="72" t="s">
        <v>33</v>
      </c>
      <c r="O2066" s="72" t="s">
        <v>34</v>
      </c>
      <c r="P2066" s="72" t="s">
        <v>35</v>
      </c>
      <c r="Q2066" s="89" t="s">
        <v>2733</v>
      </c>
      <c r="S2066" s="88" t="s">
        <v>60</v>
      </c>
      <c r="T2066" s="89" t="s">
        <v>2728</v>
      </c>
      <c r="V2066" s="135" t="s">
        <v>73</v>
      </c>
      <c r="W2066" s="136" t="s">
        <v>3282</v>
      </c>
      <c r="Y2066" s="88" t="s">
        <v>91</v>
      </c>
      <c r="Z2066" s="72">
        <v>90</v>
      </c>
      <c r="AA2066" s="89">
        <v>125</v>
      </c>
    </row>
    <row r="2067" spans="1:27">
      <c r="A2067" s="216"/>
      <c r="B2067" s="217"/>
      <c r="F2067" s="88" t="s">
        <v>6</v>
      </c>
      <c r="G2067" s="112" t="s">
        <v>1484</v>
      </c>
      <c r="I2067" s="90" t="s">
        <v>26</v>
      </c>
      <c r="J2067" s="91"/>
      <c r="K2067" s="92">
        <v>245</v>
      </c>
      <c r="M2067" s="88" t="s">
        <v>37</v>
      </c>
      <c r="N2067" s="72" t="s">
        <v>33</v>
      </c>
      <c r="O2067" s="72" t="s">
        <v>34</v>
      </c>
      <c r="P2067" s="72" t="s">
        <v>35</v>
      </c>
      <c r="Q2067" s="89" t="s">
        <v>1778</v>
      </c>
      <c r="S2067" s="88" t="s">
        <v>62</v>
      </c>
      <c r="T2067" s="89" t="s">
        <v>3283</v>
      </c>
      <c r="V2067" s="88" t="s">
        <v>76</v>
      </c>
      <c r="W2067" s="89" t="s">
        <v>3284</v>
      </c>
      <c r="Y2067" s="88" t="s">
        <v>26</v>
      </c>
      <c r="Z2067" s="72">
        <v>245</v>
      </c>
      <c r="AA2067" s="89">
        <v>225</v>
      </c>
    </row>
    <row r="2068" spans="1:27">
      <c r="A2068" s="216"/>
      <c r="B2068" s="217"/>
      <c r="F2068" s="88" t="s">
        <v>8</v>
      </c>
      <c r="G2068" s="112" t="s">
        <v>1913</v>
      </c>
      <c r="M2068" s="88" t="s">
        <v>1841</v>
      </c>
      <c r="N2068" s="72" t="s">
        <v>33</v>
      </c>
      <c r="O2068" s="72" t="s">
        <v>43</v>
      </c>
      <c r="P2068" s="72" t="s">
        <v>33</v>
      </c>
      <c r="Q2068" s="89" t="s">
        <v>3285</v>
      </c>
      <c r="S2068" s="119" t="s">
        <v>64</v>
      </c>
      <c r="T2068" s="120" t="s">
        <v>3082</v>
      </c>
      <c r="V2068" s="88" t="s">
        <v>79</v>
      </c>
      <c r="W2068" s="89" t="s">
        <v>1584</v>
      </c>
      <c r="Y2068" s="90" t="s">
        <v>92</v>
      </c>
      <c r="Z2068" s="91"/>
      <c r="AA2068" s="122">
        <v>0.08</v>
      </c>
    </row>
    <row r="2069" spans="1:27">
      <c r="A2069" s="216"/>
      <c r="B2069" s="217"/>
      <c r="F2069" s="88" t="s">
        <v>10</v>
      </c>
      <c r="G2069" s="112" t="s">
        <v>1494</v>
      </c>
      <c r="M2069" s="88" t="s">
        <v>42</v>
      </c>
      <c r="N2069" s="72" t="s">
        <v>33</v>
      </c>
      <c r="O2069" s="72" t="s">
        <v>34</v>
      </c>
      <c r="P2069" s="72" t="s">
        <v>35</v>
      </c>
      <c r="Q2069" s="89" t="s">
        <v>2837</v>
      </c>
      <c r="S2069" s="90" t="s">
        <v>66</v>
      </c>
      <c r="T2069" s="133" t="s">
        <v>2390</v>
      </c>
      <c r="V2069" s="90" t="s">
        <v>82</v>
      </c>
      <c r="W2069" s="92" t="s">
        <v>2516</v>
      </c>
    </row>
    <row r="2070" spans="1:27">
      <c r="A2070" s="216"/>
      <c r="B2070" s="217"/>
      <c r="F2070" s="88" t="s">
        <v>13</v>
      </c>
      <c r="G2070" s="112" t="s">
        <v>3286</v>
      </c>
      <c r="M2070" s="88" t="s">
        <v>3287</v>
      </c>
      <c r="N2070" s="72" t="s">
        <v>33</v>
      </c>
      <c r="O2070" s="72" t="s">
        <v>43</v>
      </c>
      <c r="P2070" s="72" t="s">
        <v>33</v>
      </c>
      <c r="Q2070" s="89" t="s">
        <v>2301</v>
      </c>
    </row>
    <row r="2071" spans="1:27">
      <c r="A2071" s="216"/>
      <c r="B2071" s="217"/>
      <c r="F2071" s="88" t="s">
        <v>15</v>
      </c>
      <c r="G2071" s="112" t="s">
        <v>3288</v>
      </c>
      <c r="M2071" s="88" t="s">
        <v>3224</v>
      </c>
      <c r="N2071" s="72" t="s">
        <v>35</v>
      </c>
      <c r="O2071" s="72" t="s">
        <v>52</v>
      </c>
      <c r="P2071" s="72" t="s">
        <v>35</v>
      </c>
      <c r="Q2071" s="89" t="s">
        <v>1627</v>
      </c>
    </row>
    <row r="2072" spans="1:27">
      <c r="A2072" s="216"/>
      <c r="B2072" s="217"/>
      <c r="F2072" s="119" t="s">
        <v>17</v>
      </c>
      <c r="G2072" s="144">
        <v>46064</v>
      </c>
      <c r="M2072" s="88" t="s">
        <v>1679</v>
      </c>
      <c r="N2072" s="72" t="s">
        <v>35</v>
      </c>
      <c r="O2072" s="72" t="s">
        <v>52</v>
      </c>
      <c r="P2072" s="72" t="s">
        <v>35</v>
      </c>
      <c r="Q2072" s="89" t="s">
        <v>2763</v>
      </c>
    </row>
    <row r="2073" spans="1:27">
      <c r="A2073" s="218"/>
      <c r="B2073" s="219"/>
      <c r="F2073" s="90" t="s">
        <v>18</v>
      </c>
      <c r="G2073" s="114" t="s">
        <v>19</v>
      </c>
      <c r="M2073" s="88" t="s">
        <v>2059</v>
      </c>
      <c r="N2073" s="72" t="s">
        <v>35</v>
      </c>
      <c r="O2073" s="72" t="s">
        <v>52</v>
      </c>
      <c r="P2073" s="72" t="s">
        <v>35</v>
      </c>
      <c r="Q2073" s="89" t="s">
        <v>2746</v>
      </c>
    </row>
    <row r="2074" spans="1:27">
      <c r="M2074" s="88" t="s">
        <v>2545</v>
      </c>
      <c r="N2074" s="72" t="s">
        <v>35</v>
      </c>
      <c r="O2074" s="72" t="s">
        <v>52</v>
      </c>
      <c r="P2074" s="72" t="s">
        <v>35</v>
      </c>
      <c r="Q2074" s="89" t="s">
        <v>2963</v>
      </c>
    </row>
    <row r="2075" spans="1:27">
      <c r="M2075" s="90" t="s">
        <v>1975</v>
      </c>
      <c r="N2075" s="91" t="s">
        <v>35</v>
      </c>
      <c r="O2075" s="91" t="s">
        <v>52</v>
      </c>
      <c r="P2075" s="91" t="s">
        <v>35</v>
      </c>
      <c r="Q2075" s="92" t="s">
        <v>2866</v>
      </c>
    </row>
    <row r="2076" spans="1:27">
      <c r="M2076" s="130"/>
      <c r="N2076" s="130"/>
      <c r="O2076" s="130"/>
      <c r="P2076" s="130"/>
      <c r="Q2076" s="130"/>
    </row>
    <row r="2083" spans="1:27">
      <c r="A2083" s="214" t="s">
        <v>3289</v>
      </c>
      <c r="B2083" s="215"/>
      <c r="F2083" s="85" t="s">
        <v>0</v>
      </c>
      <c r="G2083" s="118" t="s">
        <v>1</v>
      </c>
      <c r="I2083" s="85" t="s">
        <v>20</v>
      </c>
      <c r="J2083" s="86" t="s">
        <v>21</v>
      </c>
      <c r="K2083" s="87" t="s">
        <v>23</v>
      </c>
      <c r="M2083" s="85" t="s">
        <v>27</v>
      </c>
      <c r="N2083" s="86" t="s">
        <v>28</v>
      </c>
      <c r="O2083" s="86" t="s">
        <v>29</v>
      </c>
      <c r="P2083" s="86" t="s">
        <v>30</v>
      </c>
      <c r="Q2083" s="87" t="s">
        <v>31</v>
      </c>
      <c r="S2083" s="85" t="s">
        <v>56</v>
      </c>
      <c r="T2083" s="87" t="s">
        <v>57</v>
      </c>
      <c r="U2083" s="79"/>
      <c r="V2083" s="85" t="s">
        <v>68</v>
      </c>
      <c r="W2083" s="87" t="s">
        <v>69</v>
      </c>
      <c r="Y2083" s="85" t="s">
        <v>85</v>
      </c>
      <c r="Z2083" s="86" t="s">
        <v>88</v>
      </c>
      <c r="AA2083" s="87" t="s">
        <v>89</v>
      </c>
    </row>
    <row r="2084" spans="1:27">
      <c r="A2084" s="216"/>
      <c r="B2084" s="217"/>
      <c r="F2084" s="88" t="s">
        <v>2</v>
      </c>
      <c r="G2084" s="134" t="s">
        <v>3289</v>
      </c>
      <c r="I2084" s="88" t="s">
        <v>24</v>
      </c>
      <c r="J2084" s="72">
        <v>8</v>
      </c>
      <c r="K2084" s="89">
        <v>220</v>
      </c>
      <c r="M2084" s="88" t="s">
        <v>2316</v>
      </c>
      <c r="N2084" s="72" t="s">
        <v>33</v>
      </c>
      <c r="O2084" s="72" t="s">
        <v>43</v>
      </c>
      <c r="P2084" s="72" t="s">
        <v>33</v>
      </c>
      <c r="Q2084" s="89" t="s">
        <v>1988</v>
      </c>
      <c r="S2084" s="88" t="s">
        <v>58</v>
      </c>
      <c r="T2084" s="89" t="s">
        <v>3212</v>
      </c>
      <c r="V2084" s="138" t="s">
        <v>70</v>
      </c>
      <c r="W2084" s="139" t="s">
        <v>3290</v>
      </c>
      <c r="Y2084" s="138" t="s">
        <v>90</v>
      </c>
      <c r="Z2084" s="137">
        <v>220</v>
      </c>
      <c r="AA2084" s="139">
        <v>140</v>
      </c>
    </row>
    <row r="2085" spans="1:27">
      <c r="A2085" s="216"/>
      <c r="B2085" s="217"/>
      <c r="F2085" s="88" t="s">
        <v>4</v>
      </c>
      <c r="G2085" s="112" t="s">
        <v>894</v>
      </c>
      <c r="I2085" s="88" t="s">
        <v>25</v>
      </c>
      <c r="J2085" s="80">
        <v>6</v>
      </c>
      <c r="K2085" s="89">
        <v>115</v>
      </c>
      <c r="M2085" s="88" t="s">
        <v>32</v>
      </c>
      <c r="N2085" s="72" t="s">
        <v>33</v>
      </c>
      <c r="O2085" s="72" t="s">
        <v>34</v>
      </c>
      <c r="P2085" s="72" t="s">
        <v>35</v>
      </c>
      <c r="Q2085" s="89" t="s">
        <v>3291</v>
      </c>
      <c r="S2085" s="88" t="s">
        <v>60</v>
      </c>
      <c r="T2085" s="89" t="s">
        <v>2049</v>
      </c>
      <c r="V2085" s="135" t="s">
        <v>73</v>
      </c>
      <c r="W2085" s="136" t="s">
        <v>2687</v>
      </c>
      <c r="Y2085" s="88" t="s">
        <v>91</v>
      </c>
      <c r="Z2085" s="72">
        <v>115</v>
      </c>
      <c r="AA2085" s="89">
        <v>160</v>
      </c>
    </row>
    <row r="2086" spans="1:27">
      <c r="A2086" s="216"/>
      <c r="B2086" s="217"/>
      <c r="F2086" s="88" t="s">
        <v>6</v>
      </c>
      <c r="G2086" s="112" t="s">
        <v>895</v>
      </c>
      <c r="I2086" s="90" t="s">
        <v>26</v>
      </c>
      <c r="J2086" s="91"/>
      <c r="K2086" s="92">
        <v>335</v>
      </c>
      <c r="M2086" s="88" t="s">
        <v>37</v>
      </c>
      <c r="N2086" s="72" t="s">
        <v>33</v>
      </c>
      <c r="O2086" s="72" t="s">
        <v>34</v>
      </c>
      <c r="P2086" s="72" t="s">
        <v>35</v>
      </c>
      <c r="Q2086" s="89" t="s">
        <v>1778</v>
      </c>
      <c r="S2086" s="88" t="s">
        <v>62</v>
      </c>
      <c r="T2086" s="89" t="s">
        <v>3292</v>
      </c>
      <c r="V2086" s="88" t="s">
        <v>76</v>
      </c>
      <c r="W2086" s="89" t="s">
        <v>3293</v>
      </c>
      <c r="Y2086" s="88" t="s">
        <v>26</v>
      </c>
      <c r="Z2086" s="72">
        <v>335</v>
      </c>
      <c r="AA2086" s="89">
        <v>300</v>
      </c>
    </row>
    <row r="2087" spans="1:27">
      <c r="A2087" s="216"/>
      <c r="B2087" s="217"/>
      <c r="F2087" s="88" t="s">
        <v>8</v>
      </c>
      <c r="G2087" s="112" t="s">
        <v>3108</v>
      </c>
      <c r="M2087" s="88" t="s">
        <v>1553</v>
      </c>
      <c r="N2087" s="72" t="s">
        <v>33</v>
      </c>
      <c r="O2087" s="72" t="s">
        <v>43</v>
      </c>
      <c r="P2087" s="72" t="s">
        <v>33</v>
      </c>
      <c r="Q2087" s="89" t="s">
        <v>2691</v>
      </c>
      <c r="S2087" s="119" t="s">
        <v>64</v>
      </c>
      <c r="T2087" s="120" t="s">
        <v>3294</v>
      </c>
      <c r="V2087" s="88" t="s">
        <v>79</v>
      </c>
      <c r="W2087" s="89" t="s">
        <v>945</v>
      </c>
      <c r="Y2087" s="90" t="s">
        <v>92</v>
      </c>
      <c r="Z2087" s="91"/>
      <c r="AA2087" s="122">
        <v>0.1</v>
      </c>
    </row>
    <row r="2088" spans="1:27">
      <c r="A2088" s="216"/>
      <c r="B2088" s="217"/>
      <c r="F2088" s="88" t="s">
        <v>10</v>
      </c>
      <c r="G2088" s="112" t="s">
        <v>12</v>
      </c>
      <c r="M2088" s="88" t="s">
        <v>42</v>
      </c>
      <c r="N2088" s="72" t="s">
        <v>33</v>
      </c>
      <c r="O2088" s="72" t="s">
        <v>34</v>
      </c>
      <c r="P2088" s="72" t="s">
        <v>35</v>
      </c>
      <c r="Q2088" s="89" t="s">
        <v>2837</v>
      </c>
      <c r="S2088" s="90" t="s">
        <v>66</v>
      </c>
      <c r="T2088" s="133" t="s">
        <v>3295</v>
      </c>
      <c r="V2088" s="90" t="s">
        <v>82</v>
      </c>
      <c r="W2088" s="92" t="s">
        <v>2695</v>
      </c>
    </row>
    <row r="2089" spans="1:27">
      <c r="A2089" s="216"/>
      <c r="B2089" s="217"/>
      <c r="F2089" s="88" t="s">
        <v>13</v>
      </c>
      <c r="G2089" s="201" t="s">
        <v>3296</v>
      </c>
      <c r="M2089" s="88" t="s">
        <v>2673</v>
      </c>
      <c r="N2089" s="72" t="s">
        <v>33</v>
      </c>
      <c r="O2089" s="72" t="s">
        <v>43</v>
      </c>
      <c r="P2089" s="72" t="s">
        <v>33</v>
      </c>
      <c r="Q2089" s="89" t="s">
        <v>1734</v>
      </c>
    </row>
    <row r="2090" spans="1:27">
      <c r="A2090" s="216"/>
      <c r="B2090" s="217"/>
      <c r="F2090" s="88" t="s">
        <v>15</v>
      </c>
      <c r="G2090" s="112" t="s">
        <v>3297</v>
      </c>
      <c r="M2090" s="88" t="s">
        <v>2698</v>
      </c>
      <c r="N2090" s="72" t="s">
        <v>33</v>
      </c>
      <c r="O2090" s="72" t="s">
        <v>34</v>
      </c>
      <c r="P2090" s="72" t="s">
        <v>35</v>
      </c>
      <c r="Q2090" s="89" t="s">
        <v>2761</v>
      </c>
    </row>
    <row r="2091" spans="1:27">
      <c r="A2091" s="216"/>
      <c r="B2091" s="217"/>
      <c r="F2091" s="119" t="s">
        <v>17</v>
      </c>
      <c r="G2091" s="144">
        <v>46072</v>
      </c>
      <c r="M2091" s="88" t="s">
        <v>3298</v>
      </c>
      <c r="N2091" s="72" t="s">
        <v>33</v>
      </c>
      <c r="O2091" s="72" t="s">
        <v>43</v>
      </c>
      <c r="P2091" s="72" t="s">
        <v>33</v>
      </c>
      <c r="Q2091" s="89" t="s">
        <v>3101</v>
      </c>
    </row>
    <row r="2092" spans="1:27">
      <c r="A2092" s="218"/>
      <c r="B2092" s="219"/>
      <c r="F2092" s="90" t="s">
        <v>18</v>
      </c>
      <c r="G2092" s="114" t="s">
        <v>19</v>
      </c>
      <c r="M2092" s="88" t="s">
        <v>3224</v>
      </c>
      <c r="N2092" s="72" t="s">
        <v>35</v>
      </c>
      <c r="O2092" s="72" t="s">
        <v>52</v>
      </c>
      <c r="P2092" s="72" t="s">
        <v>35</v>
      </c>
      <c r="Q2092" s="89" t="s">
        <v>1627</v>
      </c>
    </row>
    <row r="2093" spans="1:27">
      <c r="M2093" s="88" t="s">
        <v>1679</v>
      </c>
      <c r="N2093" s="72" t="s">
        <v>35</v>
      </c>
      <c r="O2093" s="72" t="s">
        <v>52</v>
      </c>
      <c r="P2093" s="72" t="s">
        <v>35</v>
      </c>
      <c r="Q2093" s="89" t="s">
        <v>2763</v>
      </c>
    </row>
    <row r="2094" spans="1:27">
      <c r="M2094" s="88" t="s">
        <v>3299</v>
      </c>
      <c r="N2094" s="72" t="s">
        <v>35</v>
      </c>
      <c r="O2094" s="72" t="s">
        <v>52</v>
      </c>
      <c r="P2094" s="72" t="s">
        <v>35</v>
      </c>
      <c r="Q2094" s="89" t="s">
        <v>2746</v>
      </c>
    </row>
    <row r="2095" spans="1:27">
      <c r="M2095" s="88" t="s">
        <v>2545</v>
      </c>
      <c r="N2095" s="72" t="s">
        <v>35</v>
      </c>
      <c r="O2095" s="72" t="s">
        <v>52</v>
      </c>
      <c r="P2095" s="72" t="s">
        <v>35</v>
      </c>
      <c r="Q2095" s="89" t="s">
        <v>2882</v>
      </c>
    </row>
    <row r="2096" spans="1:27">
      <c r="M2096" s="88" t="s">
        <v>1626</v>
      </c>
      <c r="N2096" s="72" t="s">
        <v>35</v>
      </c>
      <c r="O2096" s="72" t="s">
        <v>52</v>
      </c>
      <c r="P2096" s="72" t="s">
        <v>35</v>
      </c>
      <c r="Q2096" s="89" t="s">
        <v>3172</v>
      </c>
    </row>
    <row r="2097" spans="1:27">
      <c r="M2097" s="90" t="s">
        <v>1975</v>
      </c>
      <c r="N2097" s="91" t="s">
        <v>35</v>
      </c>
      <c r="O2097" s="91" t="s">
        <v>52</v>
      </c>
      <c r="P2097" s="91" t="s">
        <v>35</v>
      </c>
      <c r="Q2097" s="92" t="s">
        <v>2866</v>
      </c>
    </row>
    <row r="2102" spans="1:27">
      <c r="A2102" s="214" t="s">
        <v>3300</v>
      </c>
      <c r="B2102" s="215"/>
      <c r="F2102" s="85" t="s">
        <v>0</v>
      </c>
      <c r="G2102" s="118" t="s">
        <v>1</v>
      </c>
      <c r="I2102" s="85" t="s">
        <v>20</v>
      </c>
      <c r="J2102" s="86" t="s">
        <v>21</v>
      </c>
      <c r="K2102" s="87" t="s">
        <v>23</v>
      </c>
      <c r="M2102" s="85" t="s">
        <v>27</v>
      </c>
      <c r="N2102" s="86" t="s">
        <v>28</v>
      </c>
      <c r="O2102" s="86" t="s">
        <v>29</v>
      </c>
      <c r="P2102" s="86" t="s">
        <v>30</v>
      </c>
      <c r="Q2102" s="87" t="s">
        <v>31</v>
      </c>
      <c r="S2102" s="85" t="s">
        <v>56</v>
      </c>
      <c r="T2102" s="87" t="s">
        <v>57</v>
      </c>
      <c r="U2102" s="79"/>
      <c r="V2102" s="85" t="s">
        <v>68</v>
      </c>
      <c r="W2102" s="87" t="s">
        <v>69</v>
      </c>
      <c r="Y2102" s="85" t="s">
        <v>85</v>
      </c>
      <c r="Z2102" s="86" t="s">
        <v>88</v>
      </c>
      <c r="AA2102" s="87" t="s">
        <v>89</v>
      </c>
    </row>
    <row r="2103" spans="1:27">
      <c r="A2103" s="216"/>
      <c r="B2103" s="217"/>
      <c r="F2103" s="88" t="s">
        <v>2</v>
      </c>
      <c r="G2103" s="134" t="s">
        <v>3300</v>
      </c>
      <c r="I2103" s="88" t="s">
        <v>24</v>
      </c>
      <c r="J2103" s="72">
        <v>8</v>
      </c>
      <c r="K2103" s="89">
        <v>240</v>
      </c>
      <c r="M2103" s="88" t="s">
        <v>2316</v>
      </c>
      <c r="N2103" s="72" t="s">
        <v>33</v>
      </c>
      <c r="O2103" s="72" t="s">
        <v>43</v>
      </c>
      <c r="P2103" s="72" t="s">
        <v>33</v>
      </c>
      <c r="Q2103" s="89" t="s">
        <v>3301</v>
      </c>
      <c r="S2103" s="88" t="s">
        <v>58</v>
      </c>
      <c r="T2103" s="89" t="s">
        <v>3212</v>
      </c>
      <c r="V2103" s="138" t="s">
        <v>70</v>
      </c>
      <c r="W2103" s="139" t="s">
        <v>3290</v>
      </c>
      <c r="Y2103" s="138" t="s">
        <v>90</v>
      </c>
      <c r="Z2103" s="137">
        <v>240</v>
      </c>
      <c r="AA2103" s="139">
        <v>150</v>
      </c>
    </row>
    <row r="2104" spans="1:27">
      <c r="A2104" s="216"/>
      <c r="B2104" s="217"/>
      <c r="F2104" s="88" t="s">
        <v>4</v>
      </c>
      <c r="G2104" s="112" t="s">
        <v>894</v>
      </c>
      <c r="I2104" s="88" t="s">
        <v>25</v>
      </c>
      <c r="J2104" s="80">
        <v>5</v>
      </c>
      <c r="K2104" s="89">
        <v>110</v>
      </c>
      <c r="M2104" s="88" t="s">
        <v>32</v>
      </c>
      <c r="N2104" s="72" t="s">
        <v>33</v>
      </c>
      <c r="O2104" s="72" t="s">
        <v>34</v>
      </c>
      <c r="P2104" s="72" t="s">
        <v>35</v>
      </c>
      <c r="Q2104" s="89" t="s">
        <v>3302</v>
      </c>
      <c r="S2104" s="88" t="s">
        <v>60</v>
      </c>
      <c r="T2104" s="89" t="s">
        <v>2049</v>
      </c>
      <c r="V2104" s="135" t="s">
        <v>73</v>
      </c>
      <c r="W2104" s="136" t="s">
        <v>3269</v>
      </c>
      <c r="Y2104" s="88" t="s">
        <v>91</v>
      </c>
      <c r="Z2104" s="72">
        <v>110</v>
      </c>
      <c r="AA2104" s="89">
        <v>160</v>
      </c>
    </row>
    <row r="2105" spans="1:27">
      <c r="A2105" s="216"/>
      <c r="B2105" s="217"/>
      <c r="F2105" s="88" t="s">
        <v>6</v>
      </c>
      <c r="G2105" s="112" t="s">
        <v>1484</v>
      </c>
      <c r="I2105" s="90" t="s">
        <v>26</v>
      </c>
      <c r="J2105" s="91"/>
      <c r="K2105" s="92">
        <v>350</v>
      </c>
      <c r="M2105" s="88" t="s">
        <v>37</v>
      </c>
      <c r="N2105" s="72" t="s">
        <v>33</v>
      </c>
      <c r="O2105" s="72" t="s">
        <v>34</v>
      </c>
      <c r="P2105" s="72" t="s">
        <v>35</v>
      </c>
      <c r="Q2105" s="89" t="s">
        <v>1778</v>
      </c>
      <c r="S2105" s="88" t="s">
        <v>62</v>
      </c>
      <c r="T2105" s="89" t="s">
        <v>3303</v>
      </c>
      <c r="V2105" s="88" t="s">
        <v>76</v>
      </c>
      <c r="W2105" s="89" t="s">
        <v>3304</v>
      </c>
      <c r="Y2105" s="88" t="s">
        <v>26</v>
      </c>
      <c r="Z2105" s="72">
        <v>350</v>
      </c>
      <c r="AA2105" s="89">
        <v>310</v>
      </c>
    </row>
    <row r="2106" spans="1:27">
      <c r="A2106" s="216"/>
      <c r="B2106" s="217"/>
      <c r="F2106" s="88" t="s">
        <v>8</v>
      </c>
      <c r="G2106" s="112" t="s">
        <v>2973</v>
      </c>
      <c r="M2106" s="88" t="s">
        <v>1135</v>
      </c>
      <c r="N2106" s="72" t="s">
        <v>33</v>
      </c>
      <c r="O2106" s="72" t="s">
        <v>43</v>
      </c>
      <c r="P2106" s="72" t="s">
        <v>33</v>
      </c>
      <c r="Q2106" s="89" t="s">
        <v>3305</v>
      </c>
      <c r="S2106" s="119" t="s">
        <v>64</v>
      </c>
      <c r="T2106" s="120" t="s">
        <v>3306</v>
      </c>
      <c r="V2106" s="88" t="s">
        <v>79</v>
      </c>
      <c r="W2106" s="89" t="s">
        <v>945</v>
      </c>
      <c r="Y2106" s="90" t="s">
        <v>92</v>
      </c>
      <c r="Z2106" s="91"/>
      <c r="AA2106" s="122">
        <v>0.11</v>
      </c>
    </row>
    <row r="2107" spans="1:27">
      <c r="A2107" s="216"/>
      <c r="B2107" s="217"/>
      <c r="F2107" s="88" t="s">
        <v>10</v>
      </c>
      <c r="G2107" s="112" t="s">
        <v>12</v>
      </c>
      <c r="M2107" s="88" t="s">
        <v>42</v>
      </c>
      <c r="N2107" s="72" t="s">
        <v>33</v>
      </c>
      <c r="O2107" s="72" t="s">
        <v>34</v>
      </c>
      <c r="P2107" s="72" t="s">
        <v>35</v>
      </c>
      <c r="Q2107" s="89" t="s">
        <v>2837</v>
      </c>
      <c r="S2107" s="90" t="s">
        <v>66</v>
      </c>
      <c r="T2107" s="133" t="s">
        <v>3307</v>
      </c>
      <c r="V2107" s="90" t="s">
        <v>82</v>
      </c>
      <c r="W2107" s="92" t="s">
        <v>3308</v>
      </c>
    </row>
    <row r="2108" spans="1:27" ht="30.75">
      <c r="A2108" s="216"/>
      <c r="B2108" s="217"/>
      <c r="F2108" s="88" t="s">
        <v>13</v>
      </c>
      <c r="G2108" s="210" t="s">
        <v>2252</v>
      </c>
      <c r="M2108" s="88" t="s">
        <v>3309</v>
      </c>
      <c r="N2108" s="72" t="s">
        <v>33</v>
      </c>
      <c r="O2108" s="72" t="s">
        <v>43</v>
      </c>
      <c r="P2108" s="72" t="s">
        <v>33</v>
      </c>
      <c r="Q2108" s="89" t="s">
        <v>2301</v>
      </c>
    </row>
    <row r="2109" spans="1:27">
      <c r="A2109" s="216"/>
      <c r="B2109" s="217"/>
      <c r="F2109" s="88" t="s">
        <v>15</v>
      </c>
      <c r="G2109" s="112" t="s">
        <v>3310</v>
      </c>
      <c r="M2109" s="88" t="s">
        <v>1574</v>
      </c>
      <c r="N2109" s="72" t="s">
        <v>33</v>
      </c>
      <c r="O2109" s="72" t="s">
        <v>34</v>
      </c>
      <c r="P2109" s="72" t="s">
        <v>35</v>
      </c>
      <c r="Q2109" s="89" t="s">
        <v>2761</v>
      </c>
    </row>
    <row r="2110" spans="1:27">
      <c r="A2110" s="216"/>
      <c r="B2110" s="217"/>
      <c r="F2110" s="119" t="s">
        <v>17</v>
      </c>
      <c r="G2110" s="144">
        <v>46058</v>
      </c>
      <c r="M2110" s="88" t="s">
        <v>3311</v>
      </c>
      <c r="N2110" s="72" t="s">
        <v>33</v>
      </c>
      <c r="O2110" s="72" t="s">
        <v>43</v>
      </c>
      <c r="P2110" s="72" t="s">
        <v>33</v>
      </c>
      <c r="Q2110" s="89" t="s">
        <v>1609</v>
      </c>
    </row>
    <row r="2111" spans="1:27">
      <c r="A2111" s="218"/>
      <c r="B2111" s="219"/>
      <c r="F2111" s="90" t="s">
        <v>18</v>
      </c>
      <c r="G2111" s="114" t="s">
        <v>19</v>
      </c>
      <c r="M2111" s="88" t="s">
        <v>3312</v>
      </c>
      <c r="N2111" s="72" t="s">
        <v>35</v>
      </c>
      <c r="O2111" s="72" t="s">
        <v>52</v>
      </c>
      <c r="P2111" s="72" t="s">
        <v>35</v>
      </c>
      <c r="Q2111" s="89" t="s">
        <v>1627</v>
      </c>
    </row>
    <row r="2112" spans="1:27">
      <c r="M2112" s="88" t="s">
        <v>1794</v>
      </c>
      <c r="N2112" s="72" t="s">
        <v>35</v>
      </c>
      <c r="O2112" s="72" t="s">
        <v>52</v>
      </c>
      <c r="P2112" s="72" t="s">
        <v>35</v>
      </c>
      <c r="Q2112" s="89" t="s">
        <v>3313</v>
      </c>
    </row>
    <row r="2113" spans="1:27">
      <c r="M2113" s="88" t="s">
        <v>3299</v>
      </c>
      <c r="N2113" s="72" t="s">
        <v>35</v>
      </c>
      <c r="O2113" s="72" t="s">
        <v>52</v>
      </c>
      <c r="P2113" s="72" t="s">
        <v>35</v>
      </c>
      <c r="Q2113" s="89" t="s">
        <v>2041</v>
      </c>
    </row>
    <row r="2114" spans="1:27">
      <c r="M2114" s="88" t="s">
        <v>2545</v>
      </c>
      <c r="N2114" s="72" t="s">
        <v>35</v>
      </c>
      <c r="O2114" s="72" t="s">
        <v>52</v>
      </c>
      <c r="P2114" s="72" t="s">
        <v>35</v>
      </c>
      <c r="Q2114" s="89" t="s">
        <v>2882</v>
      </c>
    </row>
    <row r="2115" spans="1:27">
      <c r="M2115" s="90" t="s">
        <v>1975</v>
      </c>
      <c r="N2115" s="91" t="s">
        <v>35</v>
      </c>
      <c r="O2115" s="91" t="s">
        <v>52</v>
      </c>
      <c r="P2115" s="91" t="s">
        <v>35</v>
      </c>
      <c r="Q2115" s="92" t="s">
        <v>2866</v>
      </c>
    </row>
    <row r="2116" spans="1:27">
      <c r="M2116" s="130"/>
      <c r="N2116" s="130"/>
      <c r="O2116" s="130"/>
      <c r="P2116" s="130"/>
      <c r="Q2116" s="130"/>
    </row>
    <row r="2117" spans="1:27">
      <c r="M2117" s="130"/>
      <c r="N2117" s="130"/>
      <c r="O2117" s="130"/>
      <c r="P2117" s="130"/>
      <c r="Q2117" s="130"/>
    </row>
    <row r="2122" spans="1:27">
      <c r="A2122" s="214" t="s">
        <v>3314</v>
      </c>
      <c r="B2122" s="215"/>
      <c r="F2122" s="85" t="s">
        <v>0</v>
      </c>
      <c r="G2122" s="118" t="s">
        <v>1</v>
      </c>
      <c r="I2122" s="85" t="s">
        <v>20</v>
      </c>
      <c r="J2122" s="86" t="s">
        <v>21</v>
      </c>
      <c r="K2122" s="87" t="s">
        <v>23</v>
      </c>
      <c r="M2122" s="85" t="s">
        <v>27</v>
      </c>
      <c r="N2122" s="86" t="s">
        <v>28</v>
      </c>
      <c r="O2122" s="86" t="s">
        <v>29</v>
      </c>
      <c r="P2122" s="86" t="s">
        <v>30</v>
      </c>
      <c r="Q2122" s="87" t="s">
        <v>31</v>
      </c>
      <c r="S2122" s="85" t="s">
        <v>56</v>
      </c>
      <c r="T2122" s="87" t="s">
        <v>57</v>
      </c>
      <c r="U2122" s="79"/>
      <c r="V2122" s="85" t="s">
        <v>68</v>
      </c>
      <c r="W2122" s="87" t="s">
        <v>69</v>
      </c>
      <c r="Y2122" s="85" t="s">
        <v>85</v>
      </c>
      <c r="Z2122" s="86" t="s">
        <v>88</v>
      </c>
      <c r="AA2122" s="87" t="s">
        <v>89</v>
      </c>
    </row>
    <row r="2123" spans="1:27">
      <c r="A2123" s="216"/>
      <c r="B2123" s="217"/>
      <c r="F2123" s="88" t="s">
        <v>2</v>
      </c>
      <c r="G2123" s="134" t="s">
        <v>3314</v>
      </c>
      <c r="I2123" s="88" t="s">
        <v>24</v>
      </c>
      <c r="J2123" s="72">
        <v>6</v>
      </c>
      <c r="K2123" s="89">
        <v>165</v>
      </c>
      <c r="M2123" s="88" t="s">
        <v>1318</v>
      </c>
      <c r="N2123" s="72" t="s">
        <v>33</v>
      </c>
      <c r="O2123" s="72" t="s">
        <v>43</v>
      </c>
      <c r="P2123" s="72" t="s">
        <v>33</v>
      </c>
      <c r="Q2123" s="89" t="s">
        <v>3315</v>
      </c>
      <c r="S2123" s="88" t="s">
        <v>58</v>
      </c>
      <c r="T2123" s="89" t="s">
        <v>3316</v>
      </c>
      <c r="V2123" s="138" t="s">
        <v>70</v>
      </c>
      <c r="W2123" s="139" t="s">
        <v>3317</v>
      </c>
      <c r="Y2123" s="138" t="s">
        <v>90</v>
      </c>
      <c r="Z2123" s="137">
        <v>165</v>
      </c>
      <c r="AA2123" s="139">
        <v>105</v>
      </c>
    </row>
    <row r="2124" spans="1:27">
      <c r="A2124" s="216"/>
      <c r="B2124" s="217"/>
      <c r="F2124" s="88" t="s">
        <v>4</v>
      </c>
      <c r="G2124" s="112" t="s">
        <v>894</v>
      </c>
      <c r="I2124" s="88" t="s">
        <v>25</v>
      </c>
      <c r="J2124" s="80">
        <v>4</v>
      </c>
      <c r="K2124" s="89">
        <v>80</v>
      </c>
      <c r="M2124" s="88" t="s">
        <v>37</v>
      </c>
      <c r="N2124" s="72" t="s">
        <v>33</v>
      </c>
      <c r="O2124" s="72" t="s">
        <v>34</v>
      </c>
      <c r="P2124" s="72" t="s">
        <v>35</v>
      </c>
      <c r="Q2124" s="89" t="s">
        <v>1778</v>
      </c>
      <c r="S2124" s="88" t="s">
        <v>60</v>
      </c>
      <c r="T2124" s="89" t="s">
        <v>2049</v>
      </c>
      <c r="V2124" s="135" t="s">
        <v>73</v>
      </c>
      <c r="W2124" s="136" t="s">
        <v>2687</v>
      </c>
      <c r="Y2124" s="88" t="s">
        <v>91</v>
      </c>
      <c r="Z2124" s="72">
        <v>80</v>
      </c>
      <c r="AA2124" s="89">
        <v>120</v>
      </c>
    </row>
    <row r="2125" spans="1:27">
      <c r="A2125" s="216"/>
      <c r="B2125" s="217"/>
      <c r="F2125" s="88" t="s">
        <v>6</v>
      </c>
      <c r="G2125" s="112" t="s">
        <v>895</v>
      </c>
      <c r="I2125" s="90" t="s">
        <v>26</v>
      </c>
      <c r="J2125" s="91"/>
      <c r="K2125" s="92">
        <v>245</v>
      </c>
      <c r="M2125" s="88" t="s">
        <v>1553</v>
      </c>
      <c r="N2125" s="72" t="s">
        <v>33</v>
      </c>
      <c r="O2125" s="72" t="s">
        <v>43</v>
      </c>
      <c r="P2125" s="72" t="s">
        <v>33</v>
      </c>
      <c r="Q2125" s="89" t="s">
        <v>1811</v>
      </c>
      <c r="S2125" s="88" t="s">
        <v>62</v>
      </c>
      <c r="T2125" s="89" t="s">
        <v>2984</v>
      </c>
      <c r="V2125" s="88" t="s">
        <v>76</v>
      </c>
      <c r="W2125" s="89" t="s">
        <v>3318</v>
      </c>
      <c r="Y2125" s="88" t="s">
        <v>26</v>
      </c>
      <c r="Z2125" s="72">
        <v>245</v>
      </c>
      <c r="AA2125" s="89">
        <v>225</v>
      </c>
    </row>
    <row r="2126" spans="1:27">
      <c r="A2126" s="216"/>
      <c r="B2126" s="217"/>
      <c r="F2126" s="88" t="s">
        <v>8</v>
      </c>
      <c r="G2126" s="112" t="s">
        <v>942</v>
      </c>
      <c r="M2126" s="88" t="s">
        <v>42</v>
      </c>
      <c r="N2126" s="72" t="s">
        <v>33</v>
      </c>
      <c r="O2126" s="72" t="s">
        <v>34</v>
      </c>
      <c r="P2126" s="72" t="s">
        <v>35</v>
      </c>
      <c r="Q2126" s="89" t="s">
        <v>2837</v>
      </c>
      <c r="S2126" s="119" t="s">
        <v>64</v>
      </c>
      <c r="T2126" s="120" t="s">
        <v>3319</v>
      </c>
      <c r="V2126" s="88" t="s">
        <v>79</v>
      </c>
      <c r="W2126" s="89" t="s">
        <v>1584</v>
      </c>
      <c r="Y2126" s="90" t="s">
        <v>92</v>
      </c>
      <c r="Z2126" s="91"/>
      <c r="AA2126" s="122">
        <v>0.08</v>
      </c>
    </row>
    <row r="2127" spans="1:27">
      <c r="A2127" s="216"/>
      <c r="B2127" s="217"/>
      <c r="F2127" s="88" t="s">
        <v>10</v>
      </c>
      <c r="G2127" s="112" t="s">
        <v>12</v>
      </c>
      <c r="M2127" s="88" t="s">
        <v>3320</v>
      </c>
      <c r="N2127" s="72" t="s">
        <v>33</v>
      </c>
      <c r="O2127" s="72" t="s">
        <v>43</v>
      </c>
      <c r="P2127" s="72" t="s">
        <v>33</v>
      </c>
      <c r="Q2127" s="89" t="s">
        <v>2301</v>
      </c>
      <c r="S2127" s="90" t="s">
        <v>66</v>
      </c>
      <c r="T2127" s="133" t="s">
        <v>1971</v>
      </c>
      <c r="V2127" s="90" t="s">
        <v>82</v>
      </c>
      <c r="W2127" s="92" t="s">
        <v>3321</v>
      </c>
    </row>
    <row r="2128" spans="1:27">
      <c r="A2128" s="216"/>
      <c r="B2128" s="217"/>
      <c r="F2128" s="88" t="s">
        <v>13</v>
      </c>
      <c r="G2128" s="201" t="s">
        <v>3322</v>
      </c>
      <c r="M2128" s="88" t="s">
        <v>2698</v>
      </c>
      <c r="N2128" s="72" t="s">
        <v>33</v>
      </c>
      <c r="O2128" s="72" t="s">
        <v>34</v>
      </c>
      <c r="P2128" s="72" t="s">
        <v>35</v>
      </c>
      <c r="Q2128" s="89" t="s">
        <v>2761</v>
      </c>
    </row>
    <row r="2129" spans="1:27">
      <c r="A2129" s="216"/>
      <c r="B2129" s="217"/>
      <c r="F2129" s="88" t="s">
        <v>15</v>
      </c>
      <c r="G2129" s="112" t="s">
        <v>2788</v>
      </c>
      <c r="M2129" s="88" t="s">
        <v>3224</v>
      </c>
      <c r="N2129" s="72" t="s">
        <v>35</v>
      </c>
      <c r="O2129" s="72" t="s">
        <v>52</v>
      </c>
      <c r="P2129" s="72" t="s">
        <v>35</v>
      </c>
      <c r="Q2129" s="89" t="s">
        <v>3323</v>
      </c>
    </row>
    <row r="2130" spans="1:27">
      <c r="A2130" s="216"/>
      <c r="B2130" s="217"/>
      <c r="F2130" s="119" t="s">
        <v>17</v>
      </c>
      <c r="G2130" s="144">
        <v>46044</v>
      </c>
      <c r="M2130" s="88" t="s">
        <v>1679</v>
      </c>
      <c r="N2130" s="72" t="s">
        <v>35</v>
      </c>
      <c r="O2130" s="72" t="s">
        <v>52</v>
      </c>
      <c r="P2130" s="72" t="s">
        <v>35</v>
      </c>
      <c r="Q2130" s="89" t="s">
        <v>2845</v>
      </c>
    </row>
    <row r="2131" spans="1:27">
      <c r="A2131" s="218"/>
      <c r="B2131" s="219"/>
      <c r="F2131" s="90" t="s">
        <v>18</v>
      </c>
      <c r="G2131" s="114" t="s">
        <v>19</v>
      </c>
      <c r="M2131" s="88" t="s">
        <v>3324</v>
      </c>
      <c r="N2131" s="72" t="s">
        <v>35</v>
      </c>
      <c r="O2131" s="72" t="s">
        <v>52</v>
      </c>
      <c r="P2131" s="72" t="s">
        <v>35</v>
      </c>
      <c r="Q2131" s="89" t="s">
        <v>2746</v>
      </c>
    </row>
    <row r="2132" spans="1:27">
      <c r="M2132" s="90" t="s">
        <v>2545</v>
      </c>
      <c r="N2132" s="91" t="s">
        <v>35</v>
      </c>
      <c r="O2132" s="91" t="s">
        <v>52</v>
      </c>
      <c r="P2132" s="91" t="s">
        <v>35</v>
      </c>
      <c r="Q2132" s="92" t="s">
        <v>2963</v>
      </c>
    </row>
    <row r="2133" spans="1:27">
      <c r="M2133" s="130"/>
      <c r="N2133" s="130"/>
      <c r="O2133" s="130"/>
      <c r="P2133" s="130"/>
      <c r="Q2133" s="130"/>
    </row>
    <row r="2134" spans="1:27">
      <c r="M2134" s="130"/>
      <c r="N2134" s="130"/>
      <c r="O2134" s="130"/>
      <c r="P2134" s="130"/>
      <c r="Q2134" s="130"/>
    </row>
    <row r="2135" spans="1:27">
      <c r="M2135" s="130"/>
      <c r="N2135" s="130"/>
      <c r="O2135" s="130"/>
      <c r="P2135" s="130"/>
      <c r="Q2135" s="130"/>
    </row>
    <row r="2136" spans="1:27">
      <c r="M2136" s="130"/>
      <c r="N2136" s="130"/>
      <c r="O2136" s="130"/>
      <c r="P2136" s="130"/>
      <c r="Q2136" s="130"/>
    </row>
    <row r="2142" spans="1:27">
      <c r="A2142" s="214" t="s">
        <v>622</v>
      </c>
      <c r="B2142" s="215"/>
      <c r="F2142" s="85" t="s">
        <v>0</v>
      </c>
      <c r="G2142" s="118" t="s">
        <v>1</v>
      </c>
      <c r="I2142" s="85" t="s">
        <v>20</v>
      </c>
      <c r="J2142" s="86" t="s">
        <v>21</v>
      </c>
      <c r="K2142" s="87" t="s">
        <v>23</v>
      </c>
      <c r="M2142" s="85" t="s">
        <v>27</v>
      </c>
      <c r="N2142" s="86" t="s">
        <v>28</v>
      </c>
      <c r="O2142" s="86" t="s">
        <v>29</v>
      </c>
      <c r="P2142" s="86" t="s">
        <v>30</v>
      </c>
      <c r="Q2142" s="87" t="s">
        <v>31</v>
      </c>
      <c r="S2142" s="85" t="s">
        <v>56</v>
      </c>
      <c r="T2142" s="87" t="s">
        <v>57</v>
      </c>
      <c r="U2142" s="79"/>
      <c r="V2142" s="85" t="s">
        <v>68</v>
      </c>
      <c r="W2142" s="87" t="s">
        <v>69</v>
      </c>
      <c r="Y2142" s="85" t="s">
        <v>85</v>
      </c>
      <c r="Z2142" s="86" t="s">
        <v>88</v>
      </c>
      <c r="AA2142" s="87" t="s">
        <v>89</v>
      </c>
    </row>
    <row r="2143" spans="1:27">
      <c r="A2143" s="216"/>
      <c r="B2143" s="217"/>
      <c r="F2143" s="88" t="s">
        <v>2</v>
      </c>
      <c r="G2143" s="134" t="s">
        <v>622</v>
      </c>
      <c r="I2143" s="88" t="s">
        <v>24</v>
      </c>
      <c r="J2143" s="72">
        <v>7</v>
      </c>
      <c r="K2143" s="89">
        <v>210</v>
      </c>
      <c r="M2143" s="88" t="s">
        <v>2269</v>
      </c>
      <c r="N2143" s="72" t="s">
        <v>33</v>
      </c>
      <c r="O2143" s="72" t="s">
        <v>43</v>
      </c>
      <c r="P2143" s="72" t="s">
        <v>33</v>
      </c>
      <c r="Q2143" s="89" t="s">
        <v>2274</v>
      </c>
      <c r="S2143" s="88" t="s">
        <v>58</v>
      </c>
      <c r="T2143" s="89" t="s">
        <v>3325</v>
      </c>
      <c r="V2143" s="138" t="s">
        <v>70</v>
      </c>
      <c r="W2143" s="139" t="s">
        <v>2829</v>
      </c>
      <c r="Y2143" s="138" t="s">
        <v>90</v>
      </c>
      <c r="Z2143" s="137">
        <v>210</v>
      </c>
      <c r="AA2143" s="139">
        <v>135</v>
      </c>
    </row>
    <row r="2144" spans="1:27">
      <c r="A2144" s="216"/>
      <c r="B2144" s="217"/>
      <c r="F2144" s="88" t="s">
        <v>4</v>
      </c>
      <c r="G2144" s="112" t="s">
        <v>894</v>
      </c>
      <c r="I2144" s="88" t="s">
        <v>25</v>
      </c>
      <c r="J2144" s="80">
        <v>6</v>
      </c>
      <c r="K2144" s="89">
        <v>120</v>
      </c>
      <c r="M2144" s="88" t="s">
        <v>32</v>
      </c>
      <c r="N2144" s="72" t="s">
        <v>33</v>
      </c>
      <c r="O2144" s="72" t="s">
        <v>34</v>
      </c>
      <c r="P2144" s="72" t="s">
        <v>35</v>
      </c>
      <c r="Q2144" s="89" t="s">
        <v>3326</v>
      </c>
      <c r="S2144" s="88" t="s">
        <v>60</v>
      </c>
      <c r="T2144" s="89" t="s">
        <v>2922</v>
      </c>
      <c r="V2144" s="135" t="s">
        <v>73</v>
      </c>
      <c r="W2144" s="136" t="s">
        <v>3020</v>
      </c>
      <c r="Y2144" s="88" t="s">
        <v>91</v>
      </c>
      <c r="Z2144" s="72">
        <v>120</v>
      </c>
      <c r="AA2144" s="89">
        <v>165</v>
      </c>
    </row>
    <row r="2145" spans="1:27">
      <c r="A2145" s="216"/>
      <c r="B2145" s="217"/>
      <c r="F2145" s="88" t="s">
        <v>6</v>
      </c>
      <c r="G2145" s="112" t="s">
        <v>1484</v>
      </c>
      <c r="I2145" s="90" t="s">
        <v>26</v>
      </c>
      <c r="J2145" s="91"/>
      <c r="K2145" s="92">
        <v>330</v>
      </c>
      <c r="M2145" s="88" t="s">
        <v>37</v>
      </c>
      <c r="N2145" s="72" t="s">
        <v>33</v>
      </c>
      <c r="O2145" s="72" t="s">
        <v>34</v>
      </c>
      <c r="P2145" s="72" t="s">
        <v>35</v>
      </c>
      <c r="Q2145" s="89" t="s">
        <v>1778</v>
      </c>
      <c r="S2145" s="88" t="s">
        <v>62</v>
      </c>
      <c r="T2145" s="89" t="s">
        <v>2854</v>
      </c>
      <c r="V2145" s="88" t="s">
        <v>76</v>
      </c>
      <c r="W2145" s="89" t="s">
        <v>3327</v>
      </c>
      <c r="Y2145" s="88" t="s">
        <v>26</v>
      </c>
      <c r="Z2145" s="72">
        <v>330</v>
      </c>
      <c r="AA2145" s="89">
        <v>300</v>
      </c>
    </row>
    <row r="2146" spans="1:27">
      <c r="A2146" s="216"/>
      <c r="B2146" s="217"/>
      <c r="F2146" s="88" t="s">
        <v>8</v>
      </c>
      <c r="G2146" s="112" t="s">
        <v>2510</v>
      </c>
      <c r="M2146" s="88" t="s">
        <v>1553</v>
      </c>
      <c r="N2146" s="72" t="s">
        <v>33</v>
      </c>
      <c r="O2146" s="72" t="s">
        <v>43</v>
      </c>
      <c r="P2146" s="72" t="s">
        <v>33</v>
      </c>
      <c r="Q2146" s="89" t="s">
        <v>1811</v>
      </c>
      <c r="S2146" s="119" t="s">
        <v>64</v>
      </c>
      <c r="T2146" s="120" t="s">
        <v>3328</v>
      </c>
      <c r="V2146" s="88" t="s">
        <v>79</v>
      </c>
      <c r="W2146" s="89" t="s">
        <v>945</v>
      </c>
      <c r="Y2146" s="90" t="s">
        <v>92</v>
      </c>
      <c r="Z2146" s="91"/>
      <c r="AA2146" s="122">
        <v>0.09</v>
      </c>
    </row>
    <row r="2147" spans="1:27">
      <c r="A2147" s="216"/>
      <c r="B2147" s="217"/>
      <c r="F2147" s="88" t="s">
        <v>10</v>
      </c>
      <c r="G2147" s="112" t="s">
        <v>12</v>
      </c>
      <c r="M2147" s="88" t="s">
        <v>42</v>
      </c>
      <c r="N2147" s="72" t="s">
        <v>33</v>
      </c>
      <c r="O2147" s="72" t="s">
        <v>34</v>
      </c>
      <c r="P2147" s="72" t="s">
        <v>35</v>
      </c>
      <c r="Q2147" s="89" t="s">
        <v>2837</v>
      </c>
      <c r="S2147" s="90" t="s">
        <v>66</v>
      </c>
      <c r="T2147" s="133" t="s">
        <v>1988</v>
      </c>
      <c r="V2147" s="90" t="s">
        <v>82</v>
      </c>
      <c r="W2147" s="92" t="s">
        <v>2516</v>
      </c>
    </row>
    <row r="2148" spans="1:27" ht="30.75">
      <c r="A2148" s="216"/>
      <c r="B2148" s="217"/>
      <c r="F2148" s="88" t="s">
        <v>13</v>
      </c>
      <c r="G2148" s="210" t="s">
        <v>3137</v>
      </c>
      <c r="M2148" s="88" t="s">
        <v>49</v>
      </c>
      <c r="N2148" s="72" t="s">
        <v>33</v>
      </c>
      <c r="O2148" s="72" t="s">
        <v>43</v>
      </c>
      <c r="P2148" s="72" t="s">
        <v>33</v>
      </c>
      <c r="Q2148" s="89" t="s">
        <v>1734</v>
      </c>
    </row>
    <row r="2149" spans="1:27">
      <c r="A2149" s="216"/>
      <c r="B2149" s="217"/>
      <c r="F2149" s="88" t="s">
        <v>15</v>
      </c>
      <c r="G2149" s="112" t="s">
        <v>3329</v>
      </c>
      <c r="M2149" s="88" t="s">
        <v>2895</v>
      </c>
      <c r="N2149" s="72" t="s">
        <v>33</v>
      </c>
      <c r="O2149" s="72" t="s">
        <v>34</v>
      </c>
      <c r="P2149" s="72" t="s">
        <v>35</v>
      </c>
      <c r="Q2149" s="89" t="s">
        <v>2761</v>
      </c>
    </row>
    <row r="2150" spans="1:27">
      <c r="A2150" s="216"/>
      <c r="B2150" s="217"/>
      <c r="F2150" s="119" t="s">
        <v>17</v>
      </c>
      <c r="G2150" s="144">
        <v>46064</v>
      </c>
      <c r="M2150" s="88" t="s">
        <v>2843</v>
      </c>
      <c r="N2150" s="72" t="s">
        <v>35</v>
      </c>
      <c r="O2150" s="72" t="s">
        <v>52</v>
      </c>
      <c r="P2150" s="72" t="s">
        <v>35</v>
      </c>
      <c r="Q2150" s="89" t="s">
        <v>1627</v>
      </c>
    </row>
    <row r="2151" spans="1:27">
      <c r="A2151" s="218"/>
      <c r="B2151" s="219"/>
      <c r="F2151" s="90" t="s">
        <v>18</v>
      </c>
      <c r="G2151" s="114" t="s">
        <v>19</v>
      </c>
      <c r="M2151" s="88" t="s">
        <v>1679</v>
      </c>
      <c r="N2151" s="72" t="s">
        <v>35</v>
      </c>
      <c r="O2151" s="72" t="s">
        <v>52</v>
      </c>
      <c r="P2151" s="72" t="s">
        <v>35</v>
      </c>
      <c r="Q2151" s="89" t="s">
        <v>2763</v>
      </c>
    </row>
    <row r="2152" spans="1:27">
      <c r="M2152" s="88" t="s">
        <v>2059</v>
      </c>
      <c r="N2152" s="72" t="s">
        <v>35</v>
      </c>
      <c r="O2152" s="72" t="s">
        <v>52</v>
      </c>
      <c r="P2152" s="72" t="s">
        <v>35</v>
      </c>
      <c r="Q2152" s="89" t="s">
        <v>2746</v>
      </c>
    </row>
    <row r="2153" spans="1:27">
      <c r="M2153" s="88" t="s">
        <v>2545</v>
      </c>
      <c r="N2153" s="72" t="s">
        <v>35</v>
      </c>
      <c r="O2153" s="72" t="s">
        <v>52</v>
      </c>
      <c r="P2153" s="72" t="s">
        <v>35</v>
      </c>
      <c r="Q2153" s="89" t="s">
        <v>2963</v>
      </c>
    </row>
    <row r="2154" spans="1:27">
      <c r="M2154" s="88" t="s">
        <v>1975</v>
      </c>
      <c r="N2154" s="72" t="s">
        <v>35</v>
      </c>
      <c r="O2154" s="72" t="s">
        <v>52</v>
      </c>
      <c r="P2154" s="72" t="s">
        <v>35</v>
      </c>
      <c r="Q2154" s="89" t="s">
        <v>2866</v>
      </c>
    </row>
    <row r="2155" spans="1:27">
      <c r="M2155" s="90" t="s">
        <v>1626</v>
      </c>
      <c r="N2155" s="91" t="s">
        <v>35</v>
      </c>
      <c r="O2155" s="91" t="s">
        <v>52</v>
      </c>
      <c r="P2155" s="91" t="s">
        <v>35</v>
      </c>
      <c r="Q2155" s="92" t="s">
        <v>2749</v>
      </c>
    </row>
    <row r="2161" spans="1:27">
      <c r="A2161" s="214" t="s">
        <v>628</v>
      </c>
      <c r="B2161" s="215"/>
      <c r="F2161" s="85" t="s">
        <v>0</v>
      </c>
      <c r="G2161" s="118" t="s">
        <v>1</v>
      </c>
      <c r="I2161" s="85" t="s">
        <v>20</v>
      </c>
      <c r="J2161" s="86" t="s">
        <v>21</v>
      </c>
      <c r="K2161" s="87" t="s">
        <v>23</v>
      </c>
      <c r="M2161" s="85" t="s">
        <v>27</v>
      </c>
      <c r="N2161" s="86" t="s">
        <v>28</v>
      </c>
      <c r="O2161" s="86" t="s">
        <v>29</v>
      </c>
      <c r="P2161" s="86" t="s">
        <v>30</v>
      </c>
      <c r="Q2161" s="87" t="s">
        <v>31</v>
      </c>
      <c r="S2161" s="85" t="s">
        <v>56</v>
      </c>
      <c r="T2161" s="87" t="s">
        <v>57</v>
      </c>
      <c r="U2161" s="79"/>
      <c r="V2161" s="85" t="s">
        <v>68</v>
      </c>
      <c r="W2161" s="87" t="s">
        <v>69</v>
      </c>
      <c r="Y2161" s="85" t="s">
        <v>85</v>
      </c>
      <c r="Z2161" s="86" t="s">
        <v>88</v>
      </c>
      <c r="AA2161" s="87" t="s">
        <v>89</v>
      </c>
    </row>
    <row r="2162" spans="1:27">
      <c r="A2162" s="216"/>
      <c r="B2162" s="217"/>
      <c r="F2162" s="88" t="s">
        <v>2</v>
      </c>
      <c r="G2162" s="134" t="s">
        <v>628</v>
      </c>
      <c r="I2162" s="88" t="s">
        <v>24</v>
      </c>
      <c r="J2162" s="72">
        <v>8</v>
      </c>
      <c r="K2162" s="89">
        <v>235</v>
      </c>
      <c r="M2162" s="88" t="s">
        <v>3330</v>
      </c>
      <c r="N2162" s="72" t="s">
        <v>33</v>
      </c>
      <c r="O2162" s="72" t="s">
        <v>43</v>
      </c>
      <c r="P2162" s="72" t="s">
        <v>33</v>
      </c>
      <c r="Q2162" s="89" t="s">
        <v>1988</v>
      </c>
      <c r="S2162" s="88" t="s">
        <v>58</v>
      </c>
      <c r="T2162" s="89" t="s">
        <v>3212</v>
      </c>
      <c r="V2162" s="138" t="s">
        <v>70</v>
      </c>
      <c r="W2162" s="139" t="s">
        <v>3331</v>
      </c>
      <c r="Y2162" s="138" t="s">
        <v>90</v>
      </c>
      <c r="Z2162" s="137">
        <v>235</v>
      </c>
      <c r="AA2162" s="139">
        <v>150</v>
      </c>
    </row>
    <row r="2163" spans="1:27">
      <c r="A2163" s="216"/>
      <c r="B2163" s="217"/>
      <c r="F2163" s="88" t="s">
        <v>4</v>
      </c>
      <c r="G2163" s="112" t="s">
        <v>894</v>
      </c>
      <c r="I2163" s="88" t="s">
        <v>25</v>
      </c>
      <c r="J2163" s="80">
        <v>6</v>
      </c>
      <c r="K2163" s="89">
        <v>115</v>
      </c>
      <c r="M2163" s="88" t="s">
        <v>32</v>
      </c>
      <c r="N2163" s="72" t="s">
        <v>33</v>
      </c>
      <c r="O2163" s="72" t="s">
        <v>34</v>
      </c>
      <c r="P2163" s="72" t="s">
        <v>35</v>
      </c>
      <c r="Q2163" s="89" t="s">
        <v>2869</v>
      </c>
      <c r="S2163" s="88" t="s">
        <v>60</v>
      </c>
      <c r="T2163" s="89" t="s">
        <v>2942</v>
      </c>
      <c r="V2163" s="135" t="s">
        <v>73</v>
      </c>
      <c r="W2163" s="136" t="s">
        <v>2687</v>
      </c>
      <c r="Y2163" s="88" t="s">
        <v>91</v>
      </c>
      <c r="Z2163" s="72">
        <v>115</v>
      </c>
      <c r="AA2163" s="89">
        <v>165</v>
      </c>
    </row>
    <row r="2164" spans="1:27">
      <c r="A2164" s="216"/>
      <c r="B2164" s="217"/>
      <c r="F2164" s="88" t="s">
        <v>6</v>
      </c>
      <c r="G2164" s="112" t="s">
        <v>895</v>
      </c>
      <c r="I2164" s="90" t="s">
        <v>26</v>
      </c>
      <c r="J2164" s="91"/>
      <c r="K2164" s="92">
        <v>350</v>
      </c>
      <c r="M2164" s="88" t="s">
        <v>37</v>
      </c>
      <c r="N2164" s="72" t="s">
        <v>33</v>
      </c>
      <c r="O2164" s="72" t="s">
        <v>34</v>
      </c>
      <c r="P2164" s="72" t="s">
        <v>35</v>
      </c>
      <c r="Q2164" s="89" t="s">
        <v>1778</v>
      </c>
      <c r="S2164" s="88" t="s">
        <v>62</v>
      </c>
      <c r="T2164" s="89" t="s">
        <v>2508</v>
      </c>
      <c r="V2164" s="88" t="s">
        <v>76</v>
      </c>
      <c r="W2164" s="89" t="s">
        <v>3332</v>
      </c>
      <c r="Y2164" s="88" t="s">
        <v>26</v>
      </c>
      <c r="Z2164" s="72">
        <v>350</v>
      </c>
      <c r="AA2164" s="89">
        <v>315</v>
      </c>
    </row>
    <row r="2165" spans="1:27">
      <c r="A2165" s="216"/>
      <c r="B2165" s="217"/>
      <c r="F2165" s="88" t="s">
        <v>8</v>
      </c>
      <c r="G2165" s="112" t="s">
        <v>3252</v>
      </c>
      <c r="M2165" s="88" t="s">
        <v>1135</v>
      </c>
      <c r="N2165" s="72" t="s">
        <v>33</v>
      </c>
      <c r="O2165" s="72" t="s">
        <v>43</v>
      </c>
      <c r="P2165" s="72" t="s">
        <v>33</v>
      </c>
      <c r="Q2165" s="89" t="s">
        <v>2691</v>
      </c>
      <c r="S2165" s="119" t="s">
        <v>64</v>
      </c>
      <c r="T2165" s="120" t="s">
        <v>3333</v>
      </c>
      <c r="V2165" s="88" t="s">
        <v>79</v>
      </c>
      <c r="W2165" s="89" t="s">
        <v>945</v>
      </c>
      <c r="Y2165" s="90" t="s">
        <v>92</v>
      </c>
      <c r="Z2165" s="91"/>
      <c r="AA2165" s="122">
        <v>0.1</v>
      </c>
    </row>
    <row r="2166" spans="1:27">
      <c r="A2166" s="216"/>
      <c r="B2166" s="217"/>
      <c r="F2166" s="88" t="s">
        <v>10</v>
      </c>
      <c r="G2166" s="112" t="s">
        <v>12</v>
      </c>
      <c r="M2166" s="88" t="s">
        <v>42</v>
      </c>
      <c r="N2166" s="72" t="s">
        <v>33</v>
      </c>
      <c r="O2166" s="72" t="s">
        <v>34</v>
      </c>
      <c r="P2166" s="72" t="s">
        <v>35</v>
      </c>
      <c r="Q2166" s="89" t="s">
        <v>2837</v>
      </c>
      <c r="S2166" s="90" t="s">
        <v>66</v>
      </c>
      <c r="T2166" s="133" t="s">
        <v>2211</v>
      </c>
      <c r="V2166" s="90" t="s">
        <v>82</v>
      </c>
      <c r="W2166" s="92" t="s">
        <v>3334</v>
      </c>
    </row>
    <row r="2167" spans="1:27">
      <c r="A2167" s="216"/>
      <c r="B2167" s="217"/>
      <c r="F2167" s="88" t="s">
        <v>13</v>
      </c>
      <c r="G2167" s="201" t="s">
        <v>1202</v>
      </c>
      <c r="M2167" s="88" t="s">
        <v>49</v>
      </c>
      <c r="N2167" s="72" t="s">
        <v>33</v>
      </c>
      <c r="O2167" s="72" t="s">
        <v>43</v>
      </c>
      <c r="P2167" s="72" t="s">
        <v>33</v>
      </c>
      <c r="Q2167" s="89" t="s">
        <v>2301</v>
      </c>
    </row>
    <row r="2168" spans="1:27">
      <c r="A2168" s="216"/>
      <c r="B2168" s="217"/>
      <c r="F2168" s="88" t="s">
        <v>15</v>
      </c>
      <c r="G2168" s="112" t="s">
        <v>3277</v>
      </c>
      <c r="M2168" s="88" t="s">
        <v>2895</v>
      </c>
      <c r="N2168" s="72" t="s">
        <v>33</v>
      </c>
      <c r="O2168" s="72" t="s">
        <v>34</v>
      </c>
      <c r="P2168" s="72" t="s">
        <v>35</v>
      </c>
      <c r="Q2168" s="89" t="s">
        <v>2761</v>
      </c>
    </row>
    <row r="2169" spans="1:27">
      <c r="A2169" s="216"/>
      <c r="B2169" s="217"/>
      <c r="F2169" s="119" t="s">
        <v>17</v>
      </c>
      <c r="G2169" s="144">
        <v>46072</v>
      </c>
      <c r="M2169" s="88" t="s">
        <v>1923</v>
      </c>
      <c r="N2169" s="72" t="s">
        <v>33</v>
      </c>
      <c r="O2169" s="72" t="s">
        <v>43</v>
      </c>
      <c r="P2169" s="72" t="s">
        <v>33</v>
      </c>
      <c r="Q2169" s="89" t="s">
        <v>2934</v>
      </c>
    </row>
    <row r="2170" spans="1:27">
      <c r="A2170" s="218"/>
      <c r="B2170" s="219"/>
      <c r="F2170" s="90" t="s">
        <v>18</v>
      </c>
      <c r="G2170" s="114" t="s">
        <v>19</v>
      </c>
      <c r="M2170" s="88" t="s">
        <v>3224</v>
      </c>
      <c r="N2170" s="72" t="s">
        <v>35</v>
      </c>
      <c r="O2170" s="72" t="s">
        <v>52</v>
      </c>
      <c r="P2170" s="72" t="s">
        <v>35</v>
      </c>
      <c r="Q2170" s="89" t="s">
        <v>1627</v>
      </c>
    </row>
    <row r="2171" spans="1:27">
      <c r="M2171" s="88" t="s">
        <v>1679</v>
      </c>
      <c r="N2171" s="72" t="s">
        <v>35</v>
      </c>
      <c r="O2171" s="72" t="s">
        <v>52</v>
      </c>
      <c r="P2171" s="72" t="s">
        <v>35</v>
      </c>
      <c r="Q2171" s="89" t="s">
        <v>2763</v>
      </c>
    </row>
    <row r="2172" spans="1:27">
      <c r="M2172" s="88" t="s">
        <v>2059</v>
      </c>
      <c r="N2172" s="72" t="s">
        <v>35</v>
      </c>
      <c r="O2172" s="72" t="s">
        <v>52</v>
      </c>
      <c r="P2172" s="72" t="s">
        <v>35</v>
      </c>
      <c r="Q2172" s="89" t="s">
        <v>2746</v>
      </c>
    </row>
    <row r="2173" spans="1:27">
      <c r="M2173" s="88" t="s">
        <v>2545</v>
      </c>
      <c r="N2173" s="72" t="s">
        <v>35</v>
      </c>
      <c r="O2173" s="72" t="s">
        <v>52</v>
      </c>
      <c r="P2173" s="72" t="s">
        <v>35</v>
      </c>
      <c r="Q2173" s="89" t="s">
        <v>2882</v>
      </c>
    </row>
    <row r="2174" spans="1:27">
      <c r="M2174" s="88" t="s">
        <v>1975</v>
      </c>
      <c r="N2174" s="72" t="s">
        <v>35</v>
      </c>
      <c r="O2174" s="72" t="s">
        <v>52</v>
      </c>
      <c r="P2174" s="72" t="s">
        <v>35</v>
      </c>
      <c r="Q2174" s="89" t="s">
        <v>2866</v>
      </c>
    </row>
    <row r="2175" spans="1:27">
      <c r="M2175" s="90" t="s">
        <v>1626</v>
      </c>
      <c r="N2175" s="91" t="s">
        <v>35</v>
      </c>
      <c r="O2175" s="91" t="s">
        <v>52</v>
      </c>
      <c r="P2175" s="91" t="s">
        <v>35</v>
      </c>
      <c r="Q2175" s="92" t="s">
        <v>2938</v>
      </c>
    </row>
    <row r="2182" spans="1:27">
      <c r="A2182" s="214" t="s">
        <v>3335</v>
      </c>
      <c r="B2182" s="215"/>
      <c r="F2182" s="85" t="s">
        <v>0</v>
      </c>
      <c r="G2182" s="118" t="s">
        <v>1</v>
      </c>
      <c r="I2182" s="85" t="s">
        <v>20</v>
      </c>
      <c r="J2182" s="86" t="s">
        <v>21</v>
      </c>
      <c r="K2182" s="87" t="s">
        <v>23</v>
      </c>
      <c r="M2182" s="85" t="s">
        <v>27</v>
      </c>
      <c r="N2182" s="86" t="s">
        <v>28</v>
      </c>
      <c r="O2182" s="86" t="s">
        <v>29</v>
      </c>
      <c r="P2182" s="86" t="s">
        <v>30</v>
      </c>
      <c r="Q2182" s="87" t="s">
        <v>31</v>
      </c>
      <c r="S2182" s="85" t="s">
        <v>56</v>
      </c>
      <c r="T2182" s="87" t="s">
        <v>57</v>
      </c>
      <c r="U2182" s="79"/>
      <c r="V2182" s="85" t="s">
        <v>68</v>
      </c>
      <c r="W2182" s="87" t="s">
        <v>69</v>
      </c>
      <c r="Y2182" s="85" t="s">
        <v>85</v>
      </c>
      <c r="Z2182" s="86" t="s">
        <v>88</v>
      </c>
      <c r="AA2182" s="87" t="s">
        <v>89</v>
      </c>
    </row>
    <row r="2183" spans="1:27">
      <c r="A2183" s="216"/>
      <c r="B2183" s="217"/>
      <c r="F2183" s="88" t="s">
        <v>2</v>
      </c>
      <c r="G2183" s="134" t="s">
        <v>3335</v>
      </c>
      <c r="I2183" s="88" t="s">
        <v>24</v>
      </c>
      <c r="J2183" s="72">
        <v>6</v>
      </c>
      <c r="K2183" s="89">
        <v>150</v>
      </c>
      <c r="M2183" s="88" t="s">
        <v>3174</v>
      </c>
      <c r="N2183" s="72" t="s">
        <v>33</v>
      </c>
      <c r="O2183" s="72" t="s">
        <v>43</v>
      </c>
      <c r="P2183" s="72" t="s">
        <v>33</v>
      </c>
      <c r="Q2183" s="89" t="s">
        <v>3118</v>
      </c>
      <c r="S2183" s="88" t="s">
        <v>58</v>
      </c>
      <c r="T2183" s="89" t="s">
        <v>3103</v>
      </c>
      <c r="V2183" s="138" t="s">
        <v>70</v>
      </c>
      <c r="W2183" s="139" t="s">
        <v>3336</v>
      </c>
      <c r="Y2183" s="138" t="s">
        <v>90</v>
      </c>
      <c r="Z2183" s="137">
        <v>150</v>
      </c>
      <c r="AA2183" s="139">
        <v>95</v>
      </c>
    </row>
    <row r="2184" spans="1:27">
      <c r="A2184" s="216"/>
      <c r="B2184" s="217"/>
      <c r="F2184" s="88" t="s">
        <v>4</v>
      </c>
      <c r="G2184" s="112" t="s">
        <v>894</v>
      </c>
      <c r="I2184" s="88" t="s">
        <v>25</v>
      </c>
      <c r="J2184" s="80">
        <v>5</v>
      </c>
      <c r="K2184" s="89">
        <v>85</v>
      </c>
      <c r="M2184" s="88" t="s">
        <v>32</v>
      </c>
      <c r="N2184" s="72" t="s">
        <v>33</v>
      </c>
      <c r="O2184" s="72" t="s">
        <v>34</v>
      </c>
      <c r="P2184" s="72" t="s">
        <v>35</v>
      </c>
      <c r="Q2184" s="89" t="s">
        <v>3105</v>
      </c>
      <c r="S2184" s="88" t="s">
        <v>60</v>
      </c>
      <c r="T2184" s="89" t="s">
        <v>2772</v>
      </c>
      <c r="V2184" s="135" t="s">
        <v>73</v>
      </c>
      <c r="W2184" s="136" t="s">
        <v>2687</v>
      </c>
      <c r="Y2184" s="88" t="s">
        <v>91</v>
      </c>
      <c r="Z2184" s="72">
        <v>85</v>
      </c>
      <c r="AA2184" s="89">
        <v>120</v>
      </c>
    </row>
    <row r="2185" spans="1:27">
      <c r="A2185" s="216"/>
      <c r="B2185" s="217"/>
      <c r="F2185" s="88" t="s">
        <v>6</v>
      </c>
      <c r="G2185" s="112" t="s">
        <v>1484</v>
      </c>
      <c r="I2185" s="90" t="s">
        <v>26</v>
      </c>
      <c r="J2185" s="91"/>
      <c r="K2185" s="92">
        <v>235</v>
      </c>
      <c r="M2185" s="88" t="s">
        <v>37</v>
      </c>
      <c r="N2185" s="72" t="s">
        <v>33</v>
      </c>
      <c r="O2185" s="72" t="s">
        <v>34</v>
      </c>
      <c r="P2185" s="72" t="s">
        <v>35</v>
      </c>
      <c r="Q2185" s="89" t="s">
        <v>1665</v>
      </c>
      <c r="S2185" s="88" t="s">
        <v>62</v>
      </c>
      <c r="T2185" s="89" t="s">
        <v>3337</v>
      </c>
      <c r="V2185" s="88" t="s">
        <v>76</v>
      </c>
      <c r="W2185" s="89" t="s">
        <v>3107</v>
      </c>
      <c r="Y2185" s="88" t="s">
        <v>26</v>
      </c>
      <c r="Z2185" s="72">
        <v>235</v>
      </c>
      <c r="AA2185" s="89">
        <v>215</v>
      </c>
    </row>
    <row r="2186" spans="1:27">
      <c r="A2186" s="216"/>
      <c r="B2186" s="217"/>
      <c r="F2186" s="88" t="s">
        <v>8</v>
      </c>
      <c r="G2186" s="112" t="s">
        <v>942</v>
      </c>
      <c r="M2186" s="88" t="s">
        <v>1553</v>
      </c>
      <c r="N2186" s="72" t="s">
        <v>33</v>
      </c>
      <c r="O2186" s="72" t="s">
        <v>43</v>
      </c>
      <c r="P2186" s="72" t="s">
        <v>33</v>
      </c>
      <c r="Q2186" s="89" t="s">
        <v>1811</v>
      </c>
      <c r="S2186" s="119" t="s">
        <v>64</v>
      </c>
      <c r="T2186" s="120" t="s">
        <v>3338</v>
      </c>
      <c r="V2186" s="88" t="s">
        <v>79</v>
      </c>
      <c r="W2186" s="89" t="s">
        <v>1584</v>
      </c>
      <c r="Y2186" s="90" t="s">
        <v>92</v>
      </c>
      <c r="Z2186" s="91"/>
      <c r="AA2186" s="122">
        <v>0.09</v>
      </c>
    </row>
    <row r="2187" spans="1:27">
      <c r="A2187" s="216"/>
      <c r="B2187" s="217"/>
      <c r="F2187" s="88" t="s">
        <v>10</v>
      </c>
      <c r="G2187" s="112" t="s">
        <v>12</v>
      </c>
      <c r="M2187" s="88" t="s">
        <v>42</v>
      </c>
      <c r="N2187" s="72" t="s">
        <v>33</v>
      </c>
      <c r="O2187" s="72" t="s">
        <v>34</v>
      </c>
      <c r="P2187" s="72" t="s">
        <v>35</v>
      </c>
      <c r="Q2187" s="89" t="s">
        <v>2837</v>
      </c>
      <c r="S2187" s="90" t="s">
        <v>66</v>
      </c>
      <c r="T2187" s="133" t="s">
        <v>2344</v>
      </c>
      <c r="V2187" s="90" t="s">
        <v>82</v>
      </c>
      <c r="W2187" s="92" t="s">
        <v>2516</v>
      </c>
    </row>
    <row r="2188" spans="1:27">
      <c r="A2188" s="216"/>
      <c r="B2188" s="217"/>
      <c r="F2188" s="88" t="s">
        <v>13</v>
      </c>
      <c r="G2188" s="201" t="s">
        <v>3339</v>
      </c>
      <c r="M2188" s="88" t="s">
        <v>3110</v>
      </c>
      <c r="N2188" s="72" t="s">
        <v>33</v>
      </c>
      <c r="O2188" s="72" t="s">
        <v>43</v>
      </c>
      <c r="P2188" s="72" t="s">
        <v>33</v>
      </c>
      <c r="Q2188" s="89" t="s">
        <v>2301</v>
      </c>
    </row>
    <row r="2189" spans="1:27">
      <c r="A2189" s="216"/>
      <c r="B2189" s="217"/>
      <c r="F2189" s="88" t="s">
        <v>15</v>
      </c>
      <c r="G2189" s="112" t="s">
        <v>2788</v>
      </c>
      <c r="M2189" s="88" t="s">
        <v>3113</v>
      </c>
      <c r="N2189" s="72" t="s">
        <v>35</v>
      </c>
      <c r="O2189" s="72" t="s">
        <v>52</v>
      </c>
      <c r="P2189" s="72" t="s">
        <v>35</v>
      </c>
      <c r="Q2189" s="89" t="s">
        <v>3180</v>
      </c>
    </row>
    <row r="2190" spans="1:27">
      <c r="A2190" s="216"/>
      <c r="B2190" s="217"/>
      <c r="F2190" s="119" t="s">
        <v>17</v>
      </c>
      <c r="G2190" s="144">
        <v>46043</v>
      </c>
      <c r="M2190" s="88" t="s">
        <v>1679</v>
      </c>
      <c r="N2190" s="72" t="s">
        <v>35</v>
      </c>
      <c r="O2190" s="72" t="s">
        <v>52</v>
      </c>
      <c r="P2190" s="72" t="s">
        <v>35</v>
      </c>
      <c r="Q2190" s="89" t="s">
        <v>2763</v>
      </c>
    </row>
    <row r="2191" spans="1:27">
      <c r="A2191" s="218"/>
      <c r="B2191" s="219"/>
      <c r="F2191" s="90" t="s">
        <v>18</v>
      </c>
      <c r="G2191" s="114" t="s">
        <v>19</v>
      </c>
      <c r="M2191" s="88" t="s">
        <v>2059</v>
      </c>
      <c r="N2191" s="72" t="s">
        <v>35</v>
      </c>
      <c r="O2191" s="72" t="s">
        <v>52</v>
      </c>
      <c r="P2191" s="72" t="s">
        <v>35</v>
      </c>
      <c r="Q2191" s="89" t="s">
        <v>2041</v>
      </c>
    </row>
    <row r="2192" spans="1:27">
      <c r="M2192" s="88" t="s">
        <v>2545</v>
      </c>
      <c r="N2192" s="72" t="s">
        <v>35</v>
      </c>
      <c r="O2192" s="72" t="s">
        <v>52</v>
      </c>
      <c r="P2192" s="72" t="s">
        <v>35</v>
      </c>
      <c r="Q2192" s="89" t="s">
        <v>2882</v>
      </c>
    </row>
    <row r="2193" spans="1:27">
      <c r="M2193" s="90" t="s">
        <v>1975</v>
      </c>
      <c r="N2193" s="91" t="s">
        <v>35</v>
      </c>
      <c r="O2193" s="91" t="s">
        <v>52</v>
      </c>
      <c r="P2193" s="91" t="s">
        <v>35</v>
      </c>
      <c r="Q2193" s="92" t="s">
        <v>1792</v>
      </c>
    </row>
    <row r="2194" spans="1:27">
      <c r="M2194" s="130"/>
      <c r="N2194" s="130"/>
      <c r="O2194" s="130"/>
      <c r="P2194" s="130"/>
      <c r="Q2194" s="130"/>
    </row>
    <row r="2195" spans="1:27">
      <c r="M2195" s="130"/>
      <c r="N2195" s="130"/>
      <c r="O2195" s="130"/>
      <c r="P2195" s="130"/>
      <c r="Q2195" s="130"/>
    </row>
    <row r="2196" spans="1:27">
      <c r="M2196" s="130"/>
      <c r="N2196" s="130"/>
      <c r="O2196" s="130"/>
      <c r="P2196" s="130"/>
      <c r="Q2196" s="130"/>
    </row>
    <row r="2197" spans="1:27">
      <c r="M2197" s="130"/>
      <c r="N2197" s="130"/>
      <c r="O2197" s="130"/>
      <c r="P2197" s="130"/>
      <c r="Q2197" s="130"/>
    </row>
    <row r="2200" spans="1:27">
      <c r="A2200" s="214" t="s">
        <v>632</v>
      </c>
      <c r="B2200" s="215"/>
      <c r="F2200" s="85" t="s">
        <v>0</v>
      </c>
      <c r="G2200" s="118" t="s">
        <v>1</v>
      </c>
      <c r="I2200" s="85" t="s">
        <v>20</v>
      </c>
      <c r="J2200" s="86" t="s">
        <v>21</v>
      </c>
      <c r="K2200" s="87" t="s">
        <v>23</v>
      </c>
      <c r="M2200" s="85" t="s">
        <v>27</v>
      </c>
      <c r="N2200" s="86" t="s">
        <v>28</v>
      </c>
      <c r="O2200" s="86" t="s">
        <v>29</v>
      </c>
      <c r="P2200" s="86" t="s">
        <v>30</v>
      </c>
      <c r="Q2200" s="87" t="s">
        <v>31</v>
      </c>
      <c r="S2200" s="85" t="s">
        <v>56</v>
      </c>
      <c r="T2200" s="87" t="s">
        <v>57</v>
      </c>
      <c r="U2200" s="79"/>
      <c r="V2200" s="85" t="s">
        <v>68</v>
      </c>
      <c r="W2200" s="87" t="s">
        <v>69</v>
      </c>
      <c r="Y2200" s="85" t="s">
        <v>85</v>
      </c>
      <c r="Z2200" s="86" t="s">
        <v>88</v>
      </c>
      <c r="AA2200" s="87" t="s">
        <v>89</v>
      </c>
    </row>
    <row r="2201" spans="1:27">
      <c r="A2201" s="216"/>
      <c r="B2201" s="217"/>
      <c r="F2201" s="88" t="s">
        <v>2</v>
      </c>
      <c r="G2201" s="134" t="s">
        <v>632</v>
      </c>
      <c r="I2201" s="88" t="s">
        <v>24</v>
      </c>
      <c r="J2201" s="72">
        <v>7</v>
      </c>
      <c r="K2201" s="89">
        <v>195</v>
      </c>
      <c r="M2201" s="88" t="s">
        <v>2316</v>
      </c>
      <c r="N2201" s="72" t="s">
        <v>33</v>
      </c>
      <c r="O2201" s="72" t="s">
        <v>43</v>
      </c>
      <c r="P2201" s="72" t="s">
        <v>33</v>
      </c>
      <c r="Q2201" s="89" t="s">
        <v>3340</v>
      </c>
      <c r="S2201" s="88" t="s">
        <v>58</v>
      </c>
      <c r="T2201" s="89" t="s">
        <v>3212</v>
      </c>
      <c r="V2201" s="138" t="s">
        <v>70</v>
      </c>
      <c r="W2201" s="139" t="s">
        <v>3341</v>
      </c>
      <c r="Y2201" s="138" t="s">
        <v>90</v>
      </c>
      <c r="Z2201" s="137">
        <v>195</v>
      </c>
      <c r="AA2201" s="139">
        <v>120</v>
      </c>
    </row>
    <row r="2202" spans="1:27">
      <c r="A2202" s="216"/>
      <c r="B2202" s="217"/>
      <c r="F2202" s="88" t="s">
        <v>4</v>
      </c>
      <c r="G2202" s="112" t="s">
        <v>894</v>
      </c>
      <c r="I2202" s="88" t="s">
        <v>25</v>
      </c>
      <c r="J2202" s="80">
        <v>4</v>
      </c>
      <c r="K2202" s="89">
        <v>80</v>
      </c>
      <c r="M2202" s="88" t="s">
        <v>1037</v>
      </c>
      <c r="N2202" s="72" t="s">
        <v>33</v>
      </c>
      <c r="O2202" s="72" t="s">
        <v>34</v>
      </c>
      <c r="P2202" s="72" t="s">
        <v>35</v>
      </c>
      <c r="Q2202" s="89" t="s">
        <v>3291</v>
      </c>
      <c r="S2202" s="88" t="s">
        <v>60</v>
      </c>
      <c r="T2202" s="89" t="s">
        <v>3010</v>
      </c>
      <c r="V2202" s="135" t="s">
        <v>73</v>
      </c>
      <c r="W2202" s="136" t="s">
        <v>2687</v>
      </c>
      <c r="Y2202" s="88" t="s">
        <v>91</v>
      </c>
      <c r="Z2202" s="72">
        <v>80</v>
      </c>
      <c r="AA2202" s="89">
        <v>115</v>
      </c>
    </row>
    <row r="2203" spans="1:27">
      <c r="A2203" s="216"/>
      <c r="B2203" s="217"/>
      <c r="F2203" s="88" t="s">
        <v>6</v>
      </c>
      <c r="G2203" s="112" t="s">
        <v>895</v>
      </c>
      <c r="I2203" s="90" t="s">
        <v>26</v>
      </c>
      <c r="J2203" s="91"/>
      <c r="K2203" s="92">
        <v>275</v>
      </c>
      <c r="M2203" s="88" t="s">
        <v>37</v>
      </c>
      <c r="N2203" s="72" t="s">
        <v>33</v>
      </c>
      <c r="O2203" s="72" t="s">
        <v>34</v>
      </c>
      <c r="P2203" s="72" t="s">
        <v>35</v>
      </c>
      <c r="Q2203" s="89" t="s">
        <v>1778</v>
      </c>
      <c r="S2203" s="88" t="s">
        <v>62</v>
      </c>
      <c r="T2203" s="89" t="s">
        <v>2508</v>
      </c>
      <c r="V2203" s="88" t="s">
        <v>76</v>
      </c>
      <c r="W2203" s="89" t="s">
        <v>3342</v>
      </c>
      <c r="Y2203" s="88" t="s">
        <v>26</v>
      </c>
      <c r="Z2203" s="72">
        <v>275</v>
      </c>
      <c r="AA2203" s="89">
        <v>235</v>
      </c>
    </row>
    <row r="2204" spans="1:27">
      <c r="A2204" s="216"/>
      <c r="B2204" s="217"/>
      <c r="F2204" s="88" t="s">
        <v>8</v>
      </c>
      <c r="G2204" s="112" t="s">
        <v>2510</v>
      </c>
      <c r="M2204" s="88" t="s">
        <v>1553</v>
      </c>
      <c r="N2204" s="72" t="s">
        <v>33</v>
      </c>
      <c r="O2204" s="72" t="s">
        <v>43</v>
      </c>
      <c r="P2204" s="72" t="s">
        <v>33</v>
      </c>
      <c r="Q2204" s="89" t="s">
        <v>1811</v>
      </c>
      <c r="S2204" s="119" t="s">
        <v>64</v>
      </c>
      <c r="T2204" s="120" t="s">
        <v>3306</v>
      </c>
      <c r="V2204" s="88" t="s">
        <v>79</v>
      </c>
      <c r="W2204" s="89" t="s">
        <v>1584</v>
      </c>
      <c r="Y2204" s="90" t="s">
        <v>92</v>
      </c>
      <c r="Z2204" s="91"/>
      <c r="AA2204" s="122">
        <v>0.14000000000000001</v>
      </c>
    </row>
    <row r="2205" spans="1:27">
      <c r="A2205" s="216"/>
      <c r="B2205" s="217"/>
      <c r="F2205" s="88" t="s">
        <v>10</v>
      </c>
      <c r="G2205" s="112" t="s">
        <v>12</v>
      </c>
      <c r="M2205" s="88" t="s">
        <v>42</v>
      </c>
      <c r="N2205" s="72" t="s">
        <v>33</v>
      </c>
      <c r="O2205" s="72" t="s">
        <v>34</v>
      </c>
      <c r="P2205" s="72" t="s">
        <v>35</v>
      </c>
      <c r="Q2205" s="89" t="s">
        <v>2837</v>
      </c>
      <c r="S2205" s="90" t="s">
        <v>66</v>
      </c>
      <c r="T2205" s="133" t="s">
        <v>3343</v>
      </c>
      <c r="V2205" s="90" t="s">
        <v>82</v>
      </c>
      <c r="W2205" s="92" t="s">
        <v>3344</v>
      </c>
    </row>
    <row r="2206" spans="1:27">
      <c r="A2206" s="216"/>
      <c r="B2206" s="217"/>
      <c r="F2206" s="88" t="s">
        <v>13</v>
      </c>
      <c r="G2206" s="201" t="s">
        <v>3033</v>
      </c>
      <c r="M2206" s="88" t="s">
        <v>3345</v>
      </c>
      <c r="N2206" s="72" t="s">
        <v>33</v>
      </c>
      <c r="O2206" s="72" t="s">
        <v>43</v>
      </c>
      <c r="P2206" s="72" t="s">
        <v>33</v>
      </c>
      <c r="Q2206" s="89" t="s">
        <v>1734</v>
      </c>
    </row>
    <row r="2207" spans="1:27">
      <c r="A2207" s="216"/>
      <c r="B2207" s="217"/>
      <c r="F2207" s="88" t="s">
        <v>15</v>
      </c>
      <c r="G2207" s="112" t="s">
        <v>3346</v>
      </c>
      <c r="M2207" s="88" t="s">
        <v>3098</v>
      </c>
      <c r="N2207" s="72" t="s">
        <v>33</v>
      </c>
      <c r="O2207" s="72" t="s">
        <v>34</v>
      </c>
      <c r="P2207" s="72" t="s">
        <v>35</v>
      </c>
      <c r="Q2207" s="89" t="s">
        <v>2761</v>
      </c>
    </row>
    <row r="2208" spans="1:27">
      <c r="A2208" s="216"/>
      <c r="B2208" s="217"/>
      <c r="F2208" s="119" t="s">
        <v>17</v>
      </c>
      <c r="G2208" s="144">
        <v>46058</v>
      </c>
      <c r="M2208" s="88" t="s">
        <v>3312</v>
      </c>
      <c r="N2208" s="72" t="s">
        <v>35</v>
      </c>
      <c r="O2208" s="72" t="s">
        <v>52</v>
      </c>
      <c r="P2208" s="72" t="s">
        <v>35</v>
      </c>
      <c r="Q2208" s="89" t="s">
        <v>1627</v>
      </c>
    </row>
    <row r="2209" spans="1:27">
      <c r="A2209" s="218"/>
      <c r="B2209" s="219"/>
      <c r="F2209" s="90" t="s">
        <v>18</v>
      </c>
      <c r="G2209" s="114" t="s">
        <v>19</v>
      </c>
      <c r="M2209" s="88" t="s">
        <v>1679</v>
      </c>
      <c r="N2209" s="72" t="s">
        <v>35</v>
      </c>
      <c r="O2209" s="72" t="s">
        <v>52</v>
      </c>
      <c r="P2209" s="72" t="s">
        <v>35</v>
      </c>
      <c r="Q2209" s="89" t="s">
        <v>2763</v>
      </c>
    </row>
    <row r="2210" spans="1:27">
      <c r="M2210" s="88" t="s">
        <v>2059</v>
      </c>
      <c r="N2210" s="72" t="s">
        <v>35</v>
      </c>
      <c r="O2210" s="72" t="s">
        <v>52</v>
      </c>
      <c r="P2210" s="72" t="s">
        <v>35</v>
      </c>
      <c r="Q2210" s="89" t="s">
        <v>2746</v>
      </c>
    </row>
    <row r="2211" spans="1:27">
      <c r="M2211" s="90" t="s">
        <v>1975</v>
      </c>
      <c r="N2211" s="91" t="s">
        <v>35</v>
      </c>
      <c r="O2211" s="91" t="s">
        <v>52</v>
      </c>
      <c r="P2211" s="91" t="s">
        <v>35</v>
      </c>
      <c r="Q2211" s="92" t="s">
        <v>2866</v>
      </c>
    </row>
    <row r="2218" spans="1:27">
      <c r="A2218" s="214" t="s">
        <v>3347</v>
      </c>
      <c r="B2218" s="215"/>
      <c r="F2218" s="85" t="s">
        <v>0</v>
      </c>
      <c r="G2218" s="118" t="s">
        <v>1</v>
      </c>
      <c r="I2218" s="85" t="s">
        <v>20</v>
      </c>
      <c r="J2218" s="86" t="s">
        <v>21</v>
      </c>
      <c r="K2218" s="87" t="s">
        <v>23</v>
      </c>
      <c r="M2218" s="85" t="s">
        <v>27</v>
      </c>
      <c r="N2218" s="86" t="s">
        <v>28</v>
      </c>
      <c r="O2218" s="86" t="s">
        <v>29</v>
      </c>
      <c r="P2218" s="86" t="s">
        <v>30</v>
      </c>
      <c r="Q2218" s="87" t="s">
        <v>31</v>
      </c>
      <c r="S2218" s="85" t="s">
        <v>56</v>
      </c>
      <c r="T2218" s="87" t="s">
        <v>57</v>
      </c>
      <c r="U2218" s="79"/>
      <c r="V2218" s="85" t="s">
        <v>68</v>
      </c>
      <c r="W2218" s="87" t="s">
        <v>69</v>
      </c>
      <c r="Y2218" s="85" t="s">
        <v>85</v>
      </c>
      <c r="Z2218" s="86" t="s">
        <v>88</v>
      </c>
      <c r="AA2218" s="87" t="s">
        <v>89</v>
      </c>
    </row>
    <row r="2219" spans="1:27">
      <c r="A2219" s="216"/>
      <c r="B2219" s="217"/>
      <c r="F2219" s="88" t="s">
        <v>2</v>
      </c>
      <c r="G2219" s="134" t="s">
        <v>3348</v>
      </c>
      <c r="I2219" s="88" t="s">
        <v>24</v>
      </c>
      <c r="J2219" s="72">
        <v>6</v>
      </c>
      <c r="K2219" s="89">
        <v>160</v>
      </c>
      <c r="M2219" s="88" t="s">
        <v>3349</v>
      </c>
      <c r="N2219" s="72" t="s">
        <v>33</v>
      </c>
      <c r="O2219" s="72" t="s">
        <v>43</v>
      </c>
      <c r="P2219" s="72" t="s">
        <v>33</v>
      </c>
      <c r="Q2219" s="89" t="s">
        <v>2274</v>
      </c>
      <c r="S2219" s="88" t="s">
        <v>58</v>
      </c>
      <c r="T2219" s="89" t="s">
        <v>3350</v>
      </c>
      <c r="V2219" s="138" t="s">
        <v>70</v>
      </c>
      <c r="W2219" s="139" t="s">
        <v>2752</v>
      </c>
      <c r="Y2219" s="138" t="s">
        <v>90</v>
      </c>
      <c r="Z2219" s="137">
        <v>160</v>
      </c>
      <c r="AA2219" s="139">
        <v>100</v>
      </c>
    </row>
    <row r="2220" spans="1:27">
      <c r="A2220" s="216"/>
      <c r="B2220" s="217"/>
      <c r="F2220" s="88" t="s">
        <v>4</v>
      </c>
      <c r="G2220" s="112" t="s">
        <v>894</v>
      </c>
      <c r="I2220" s="88" t="s">
        <v>25</v>
      </c>
      <c r="J2220" s="80">
        <v>5</v>
      </c>
      <c r="K2220" s="89">
        <v>90</v>
      </c>
      <c r="M2220" s="88" t="s">
        <v>32</v>
      </c>
      <c r="N2220" s="72" t="s">
        <v>33</v>
      </c>
      <c r="O2220" s="72" t="s">
        <v>34</v>
      </c>
      <c r="P2220" s="72" t="s">
        <v>35</v>
      </c>
      <c r="Q2220" s="89" t="s">
        <v>2686</v>
      </c>
      <c r="S2220" s="88" t="s">
        <v>60</v>
      </c>
      <c r="T2220" s="89" t="s">
        <v>2204</v>
      </c>
      <c r="V2220" s="135" t="s">
        <v>73</v>
      </c>
      <c r="W2220" s="136" t="s">
        <v>2687</v>
      </c>
      <c r="Y2220" s="88" t="s">
        <v>91</v>
      </c>
      <c r="Z2220" s="72">
        <v>90</v>
      </c>
      <c r="AA2220" s="89">
        <v>125</v>
      </c>
    </row>
    <row r="2221" spans="1:27">
      <c r="A2221" s="216"/>
      <c r="B2221" s="217"/>
      <c r="F2221" s="88" t="s">
        <v>6</v>
      </c>
      <c r="G2221" s="112" t="s">
        <v>1484</v>
      </c>
      <c r="I2221" s="90" t="s">
        <v>26</v>
      </c>
      <c r="J2221" s="91"/>
      <c r="K2221" s="92">
        <v>250</v>
      </c>
      <c r="M2221" s="88" t="s">
        <v>37</v>
      </c>
      <c r="N2221" s="72" t="s">
        <v>33</v>
      </c>
      <c r="O2221" s="72" t="s">
        <v>34</v>
      </c>
      <c r="P2221" s="72" t="s">
        <v>35</v>
      </c>
      <c r="Q2221" s="89" t="s">
        <v>1665</v>
      </c>
      <c r="S2221" s="88" t="s">
        <v>62</v>
      </c>
      <c r="T2221" s="89" t="s">
        <v>3237</v>
      </c>
      <c r="V2221" s="88" t="s">
        <v>76</v>
      </c>
      <c r="W2221" s="89" t="s">
        <v>3351</v>
      </c>
      <c r="Y2221" s="88" t="s">
        <v>26</v>
      </c>
      <c r="Z2221" s="72">
        <v>250</v>
      </c>
      <c r="AA2221" s="89">
        <v>225</v>
      </c>
    </row>
    <row r="2222" spans="1:27">
      <c r="A2222" s="216"/>
      <c r="B2222" s="217"/>
      <c r="F2222" s="88" t="s">
        <v>8</v>
      </c>
      <c r="G2222" s="112" t="s">
        <v>3178</v>
      </c>
      <c r="M2222" s="88" t="s">
        <v>1135</v>
      </c>
      <c r="N2222" s="72" t="s">
        <v>33</v>
      </c>
      <c r="O2222" s="72" t="s">
        <v>43</v>
      </c>
      <c r="P2222" s="72" t="s">
        <v>33</v>
      </c>
      <c r="Q2222" s="89" t="s">
        <v>1811</v>
      </c>
      <c r="S2222" s="119" t="s">
        <v>64</v>
      </c>
      <c r="T2222" s="120" t="s">
        <v>3352</v>
      </c>
      <c r="V2222" s="88" t="s">
        <v>79</v>
      </c>
      <c r="W2222" s="89" t="s">
        <v>1584</v>
      </c>
      <c r="Y2222" s="90" t="s">
        <v>92</v>
      </c>
      <c r="Z2222" s="91"/>
      <c r="AA2222" s="122">
        <v>0.1</v>
      </c>
    </row>
    <row r="2223" spans="1:27">
      <c r="A2223" s="216"/>
      <c r="B2223" s="217"/>
      <c r="F2223" s="88" t="s">
        <v>10</v>
      </c>
      <c r="G2223" s="112" t="s">
        <v>12</v>
      </c>
      <c r="M2223" s="88" t="s">
        <v>42</v>
      </c>
      <c r="N2223" s="72" t="s">
        <v>33</v>
      </c>
      <c r="O2223" s="72" t="s">
        <v>34</v>
      </c>
      <c r="P2223" s="72" t="s">
        <v>35</v>
      </c>
      <c r="Q2223" s="89" t="s">
        <v>2837</v>
      </c>
      <c r="S2223" s="90" t="s">
        <v>66</v>
      </c>
      <c r="T2223" s="133" t="s">
        <v>3353</v>
      </c>
      <c r="V2223" s="90" t="s">
        <v>82</v>
      </c>
      <c r="W2223" s="92" t="s">
        <v>2695</v>
      </c>
    </row>
    <row r="2224" spans="1:27">
      <c r="A2224" s="216"/>
      <c r="B2224" s="217"/>
      <c r="F2224" s="88" t="s">
        <v>13</v>
      </c>
      <c r="G2224" s="201" t="s">
        <v>2477</v>
      </c>
      <c r="M2224" s="88" t="s">
        <v>2696</v>
      </c>
      <c r="N2224" s="72" t="s">
        <v>33</v>
      </c>
      <c r="O2224" s="72" t="s">
        <v>43</v>
      </c>
      <c r="P2224" s="72" t="s">
        <v>33</v>
      </c>
      <c r="Q2224" s="89" t="s">
        <v>2301</v>
      </c>
    </row>
    <row r="2225" spans="1:27">
      <c r="A2225" s="216"/>
      <c r="B2225" s="217"/>
      <c r="F2225" s="88" t="s">
        <v>15</v>
      </c>
      <c r="G2225" s="112" t="s">
        <v>3277</v>
      </c>
      <c r="M2225" s="88" t="s">
        <v>1972</v>
      </c>
      <c r="N2225" s="72" t="s">
        <v>35</v>
      </c>
      <c r="O2225" s="72" t="s">
        <v>52</v>
      </c>
      <c r="P2225" s="72" t="s">
        <v>35</v>
      </c>
      <c r="Q2225" s="89" t="s">
        <v>2993</v>
      </c>
    </row>
    <row r="2226" spans="1:27">
      <c r="A2226" s="216"/>
      <c r="B2226" s="217"/>
      <c r="F2226" s="119" t="s">
        <v>17</v>
      </c>
      <c r="G2226" s="144">
        <v>46047</v>
      </c>
      <c r="M2226" s="88" t="s">
        <v>1679</v>
      </c>
      <c r="N2226" s="72" t="s">
        <v>35</v>
      </c>
      <c r="O2226" s="72" t="s">
        <v>52</v>
      </c>
      <c r="P2226" s="72" t="s">
        <v>35</v>
      </c>
      <c r="Q2226" s="89" t="s">
        <v>2763</v>
      </c>
    </row>
    <row r="2227" spans="1:27">
      <c r="A2227" s="218"/>
      <c r="B2227" s="219"/>
      <c r="F2227" s="90" t="s">
        <v>18</v>
      </c>
      <c r="G2227" s="114" t="s">
        <v>19</v>
      </c>
      <c r="M2227" s="88" t="s">
        <v>3225</v>
      </c>
      <c r="N2227" s="72" t="s">
        <v>35</v>
      </c>
      <c r="O2227" s="72" t="s">
        <v>52</v>
      </c>
      <c r="P2227" s="72" t="s">
        <v>35</v>
      </c>
      <c r="Q2227" s="89" t="s">
        <v>2746</v>
      </c>
    </row>
    <row r="2228" spans="1:27">
      <c r="M2228" s="88" t="s">
        <v>2545</v>
      </c>
      <c r="N2228" s="72" t="s">
        <v>35</v>
      </c>
      <c r="O2228" s="72" t="s">
        <v>52</v>
      </c>
      <c r="P2228" s="72" t="s">
        <v>35</v>
      </c>
      <c r="Q2228" s="89" t="s">
        <v>2963</v>
      </c>
    </row>
    <row r="2229" spans="1:27">
      <c r="M2229" s="90" t="s">
        <v>1975</v>
      </c>
      <c r="N2229" s="91" t="s">
        <v>35</v>
      </c>
      <c r="O2229" s="91" t="s">
        <v>52</v>
      </c>
      <c r="P2229" s="91" t="s">
        <v>35</v>
      </c>
      <c r="Q2229" s="92" t="s">
        <v>2866</v>
      </c>
    </row>
    <row r="2237" spans="1:27">
      <c r="A2237" s="214" t="s">
        <v>668</v>
      </c>
      <c r="B2237" s="215"/>
      <c r="F2237" s="85" t="s">
        <v>0</v>
      </c>
      <c r="G2237" s="118" t="s">
        <v>1</v>
      </c>
      <c r="I2237" s="85" t="s">
        <v>20</v>
      </c>
      <c r="J2237" s="86" t="s">
        <v>21</v>
      </c>
      <c r="K2237" s="87" t="s">
        <v>23</v>
      </c>
      <c r="M2237" s="85" t="s">
        <v>27</v>
      </c>
      <c r="N2237" s="86" t="s">
        <v>28</v>
      </c>
      <c r="O2237" s="86" t="s">
        <v>29</v>
      </c>
      <c r="P2237" s="86" t="s">
        <v>30</v>
      </c>
      <c r="Q2237" s="87" t="s">
        <v>31</v>
      </c>
      <c r="S2237" s="85" t="s">
        <v>56</v>
      </c>
      <c r="T2237" s="87" t="s">
        <v>57</v>
      </c>
      <c r="U2237" s="79"/>
      <c r="V2237" s="85" t="s">
        <v>68</v>
      </c>
      <c r="W2237" s="87" t="s">
        <v>69</v>
      </c>
      <c r="Y2237" s="85" t="s">
        <v>85</v>
      </c>
      <c r="Z2237" s="86" t="s">
        <v>88</v>
      </c>
      <c r="AA2237" s="87" t="s">
        <v>89</v>
      </c>
    </row>
    <row r="2238" spans="1:27">
      <c r="A2238" s="216"/>
      <c r="B2238" s="217"/>
      <c r="F2238" s="88" t="s">
        <v>2</v>
      </c>
      <c r="G2238" s="134" t="s">
        <v>668</v>
      </c>
      <c r="I2238" s="88" t="s">
        <v>24</v>
      </c>
      <c r="J2238" s="72">
        <v>8</v>
      </c>
      <c r="K2238" s="89">
        <v>235</v>
      </c>
      <c r="M2238" s="88" t="s">
        <v>3354</v>
      </c>
      <c r="N2238" s="72" t="s">
        <v>33</v>
      </c>
      <c r="O2238" s="72" t="s">
        <v>43</v>
      </c>
      <c r="P2238" s="72" t="s">
        <v>33</v>
      </c>
      <c r="Q2238" s="89" t="s">
        <v>3183</v>
      </c>
      <c r="S2238" s="88" t="s">
        <v>58</v>
      </c>
      <c r="T2238" s="89" t="s">
        <v>3184</v>
      </c>
      <c r="V2238" s="138" t="s">
        <v>70</v>
      </c>
      <c r="W2238" s="139" t="s">
        <v>3185</v>
      </c>
      <c r="Y2238" s="138" t="s">
        <v>90</v>
      </c>
      <c r="Z2238" s="137">
        <v>235</v>
      </c>
      <c r="AA2238" s="139">
        <v>145</v>
      </c>
    </row>
    <row r="2239" spans="1:27">
      <c r="A2239" s="216"/>
      <c r="B2239" s="217"/>
      <c r="F2239" s="88" t="s">
        <v>4</v>
      </c>
      <c r="G2239" s="112" t="s">
        <v>894</v>
      </c>
      <c r="I2239" s="88" t="s">
        <v>25</v>
      </c>
      <c r="J2239" s="80">
        <v>6</v>
      </c>
      <c r="K2239" s="89">
        <v>120</v>
      </c>
      <c r="M2239" s="88" t="s">
        <v>32</v>
      </c>
      <c r="N2239" s="72" t="s">
        <v>33</v>
      </c>
      <c r="O2239" s="72" t="s">
        <v>34</v>
      </c>
      <c r="P2239" s="72" t="s">
        <v>35</v>
      </c>
      <c r="Q2239" s="89" t="s">
        <v>2727</v>
      </c>
      <c r="S2239" s="88" t="s">
        <v>60</v>
      </c>
      <c r="T2239" s="89" t="s">
        <v>3355</v>
      </c>
      <c r="V2239" s="135" t="s">
        <v>73</v>
      </c>
      <c r="W2239" s="136" t="s">
        <v>2943</v>
      </c>
      <c r="Y2239" s="88" t="s">
        <v>91</v>
      </c>
      <c r="Z2239" s="72">
        <v>120</v>
      </c>
      <c r="AA2239" s="89">
        <v>170</v>
      </c>
    </row>
    <row r="2240" spans="1:27">
      <c r="A2240" s="216"/>
      <c r="B2240" s="217"/>
      <c r="F2240" s="88" t="s">
        <v>6</v>
      </c>
      <c r="G2240" s="112" t="s">
        <v>895</v>
      </c>
      <c r="I2240" s="90" t="s">
        <v>26</v>
      </c>
      <c r="J2240" s="91"/>
      <c r="K2240" s="92">
        <v>355</v>
      </c>
      <c r="M2240" s="88" t="s">
        <v>37</v>
      </c>
      <c r="N2240" s="72" t="s">
        <v>33</v>
      </c>
      <c r="O2240" s="72" t="s">
        <v>34</v>
      </c>
      <c r="P2240" s="72" t="s">
        <v>35</v>
      </c>
      <c r="Q2240" s="89" t="s">
        <v>1778</v>
      </c>
      <c r="S2240" s="88" t="s">
        <v>62</v>
      </c>
      <c r="T2240" s="89" t="s">
        <v>2508</v>
      </c>
      <c r="V2240" s="88" t="s">
        <v>76</v>
      </c>
      <c r="W2240" s="89" t="s">
        <v>3356</v>
      </c>
      <c r="Y2240" s="88" t="s">
        <v>26</v>
      </c>
      <c r="Z2240" s="72">
        <v>355</v>
      </c>
      <c r="AA2240" s="89">
        <v>315</v>
      </c>
    </row>
    <row r="2241" spans="1:27">
      <c r="A2241" s="216"/>
      <c r="B2241" s="217"/>
      <c r="F2241" s="88" t="s">
        <v>8</v>
      </c>
      <c r="G2241" s="112" t="s">
        <v>3252</v>
      </c>
      <c r="M2241" s="88" t="s">
        <v>2732</v>
      </c>
      <c r="N2241" s="72" t="s">
        <v>33</v>
      </c>
      <c r="O2241" s="72" t="s">
        <v>34</v>
      </c>
      <c r="P2241" s="72" t="s">
        <v>35</v>
      </c>
      <c r="Q2241" s="89" t="s">
        <v>2733</v>
      </c>
      <c r="S2241" s="119" t="s">
        <v>64</v>
      </c>
      <c r="T2241" s="120" t="s">
        <v>2958</v>
      </c>
      <c r="V2241" s="88" t="s">
        <v>79</v>
      </c>
      <c r="W2241" s="89" t="s">
        <v>945</v>
      </c>
      <c r="Y2241" s="90" t="s">
        <v>92</v>
      </c>
      <c r="Z2241" s="91"/>
      <c r="AA2241" s="122">
        <v>0.11</v>
      </c>
    </row>
    <row r="2242" spans="1:27">
      <c r="A2242" s="216"/>
      <c r="B2242" s="217"/>
      <c r="F2242" s="88" t="s">
        <v>10</v>
      </c>
      <c r="G2242" s="112" t="s">
        <v>2735</v>
      </c>
      <c r="M2242" s="88" t="s">
        <v>42</v>
      </c>
      <c r="N2242" s="72" t="s">
        <v>33</v>
      </c>
      <c r="O2242" s="72" t="s">
        <v>34</v>
      </c>
      <c r="P2242" s="72" t="s">
        <v>35</v>
      </c>
      <c r="Q2242" s="89" t="s">
        <v>2837</v>
      </c>
      <c r="S2242" s="90" t="s">
        <v>66</v>
      </c>
      <c r="T2242" s="133" t="s">
        <v>3357</v>
      </c>
      <c r="V2242" s="90" t="s">
        <v>82</v>
      </c>
      <c r="W2242" s="92" t="s">
        <v>2516</v>
      </c>
    </row>
    <row r="2243" spans="1:27" ht="30.75">
      <c r="A2243" s="216"/>
      <c r="B2243" s="217"/>
      <c r="F2243" s="88" t="s">
        <v>13</v>
      </c>
      <c r="G2243" s="210" t="s">
        <v>1139</v>
      </c>
      <c r="M2243" s="88" t="s">
        <v>3358</v>
      </c>
      <c r="N2243" s="72" t="s">
        <v>33</v>
      </c>
      <c r="O2243" s="72" t="s">
        <v>43</v>
      </c>
      <c r="P2243" s="72" t="s">
        <v>33</v>
      </c>
      <c r="Q2243" s="89" t="s">
        <v>2739</v>
      </c>
    </row>
    <row r="2244" spans="1:27">
      <c r="A2244" s="216"/>
      <c r="B2244" s="217"/>
      <c r="F2244" s="88" t="s">
        <v>15</v>
      </c>
      <c r="G2244" s="112" t="s">
        <v>3359</v>
      </c>
      <c r="M2244" s="88" t="s">
        <v>2741</v>
      </c>
      <c r="N2244" s="72" t="s">
        <v>33</v>
      </c>
      <c r="O2244" s="72" t="s">
        <v>34</v>
      </c>
      <c r="P2244" s="72" t="s">
        <v>35</v>
      </c>
      <c r="Q2244" s="89" t="s">
        <v>2742</v>
      </c>
    </row>
    <row r="2245" spans="1:27">
      <c r="A2245" s="216"/>
      <c r="B2245" s="217"/>
      <c r="F2245" s="119" t="s">
        <v>17</v>
      </c>
      <c r="G2245" s="144">
        <v>46072</v>
      </c>
      <c r="M2245" s="88" t="s">
        <v>2743</v>
      </c>
      <c r="N2245" s="72" t="s">
        <v>33</v>
      </c>
      <c r="O2245" s="72" t="s">
        <v>43</v>
      </c>
      <c r="P2245" s="72" t="s">
        <v>33</v>
      </c>
      <c r="Q2245" s="89" t="s">
        <v>2744</v>
      </c>
    </row>
    <row r="2246" spans="1:27">
      <c r="A2246" s="218"/>
      <c r="B2246" s="219"/>
      <c r="F2246" s="90" t="s">
        <v>18</v>
      </c>
      <c r="G2246" s="114" t="s">
        <v>19</v>
      </c>
      <c r="M2246" s="88" t="s">
        <v>1972</v>
      </c>
      <c r="N2246" s="72" t="s">
        <v>35</v>
      </c>
      <c r="O2246" s="72" t="s">
        <v>52</v>
      </c>
      <c r="P2246" s="72" t="s">
        <v>35</v>
      </c>
      <c r="Q2246" s="89" t="s">
        <v>3360</v>
      </c>
    </row>
    <row r="2247" spans="1:27">
      <c r="M2247" s="88" t="s">
        <v>1679</v>
      </c>
      <c r="N2247" s="72" t="s">
        <v>35</v>
      </c>
      <c r="O2247" s="72" t="s">
        <v>52</v>
      </c>
      <c r="P2247" s="72" t="s">
        <v>35</v>
      </c>
      <c r="Q2247" s="89" t="s">
        <v>2745</v>
      </c>
    </row>
    <row r="2248" spans="1:27">
      <c r="M2248" s="88" t="s">
        <v>3225</v>
      </c>
      <c r="N2248" s="72" t="s">
        <v>35</v>
      </c>
      <c r="O2248" s="72" t="s">
        <v>52</v>
      </c>
      <c r="P2248" s="72" t="s">
        <v>35</v>
      </c>
      <c r="Q2248" s="89" t="s">
        <v>2746</v>
      </c>
    </row>
    <row r="2249" spans="1:27">
      <c r="M2249" s="88" t="s">
        <v>2545</v>
      </c>
      <c r="N2249" s="72" t="s">
        <v>35</v>
      </c>
      <c r="O2249" s="72" t="s">
        <v>52</v>
      </c>
      <c r="P2249" s="72" t="s">
        <v>35</v>
      </c>
      <c r="Q2249" s="89" t="s">
        <v>2867</v>
      </c>
    </row>
    <row r="2250" spans="1:27">
      <c r="M2250" s="88" t="s">
        <v>1975</v>
      </c>
      <c r="N2250" s="72" t="s">
        <v>35</v>
      </c>
      <c r="O2250" s="72" t="s">
        <v>52</v>
      </c>
      <c r="P2250" s="72" t="s">
        <v>35</v>
      </c>
      <c r="Q2250" s="89" t="s">
        <v>2866</v>
      </c>
    </row>
    <row r="2251" spans="1:27">
      <c r="M2251" s="90" t="s">
        <v>1626</v>
      </c>
      <c r="N2251" s="91" t="s">
        <v>35</v>
      </c>
      <c r="O2251" s="91" t="s">
        <v>52</v>
      </c>
      <c r="P2251" s="91" t="s">
        <v>35</v>
      </c>
      <c r="Q2251" s="92" t="s">
        <v>2938</v>
      </c>
    </row>
    <row r="2254" spans="1:27">
      <c r="A2254" s="214" t="s">
        <v>670</v>
      </c>
      <c r="B2254" s="215"/>
      <c r="F2254" s="85" t="s">
        <v>0</v>
      </c>
      <c r="G2254" s="118" t="s">
        <v>1</v>
      </c>
      <c r="I2254" s="85" t="s">
        <v>20</v>
      </c>
      <c r="J2254" s="86" t="s">
        <v>21</v>
      </c>
      <c r="K2254" s="87" t="s">
        <v>23</v>
      </c>
      <c r="M2254" s="85" t="s">
        <v>27</v>
      </c>
      <c r="N2254" s="86" t="s">
        <v>28</v>
      </c>
      <c r="O2254" s="86" t="s">
        <v>29</v>
      </c>
      <c r="P2254" s="86" t="s">
        <v>30</v>
      </c>
      <c r="Q2254" s="87" t="s">
        <v>31</v>
      </c>
      <c r="S2254" s="85" t="s">
        <v>56</v>
      </c>
      <c r="T2254" s="87" t="s">
        <v>57</v>
      </c>
      <c r="U2254" s="79"/>
      <c r="V2254" s="85" t="s">
        <v>68</v>
      </c>
      <c r="W2254" s="87" t="s">
        <v>69</v>
      </c>
      <c r="Y2254" s="85" t="s">
        <v>85</v>
      </c>
      <c r="Z2254" s="86" t="s">
        <v>88</v>
      </c>
      <c r="AA2254" s="87" t="s">
        <v>89</v>
      </c>
    </row>
    <row r="2255" spans="1:27">
      <c r="A2255" s="216"/>
      <c r="B2255" s="217"/>
      <c r="F2255" s="88" t="s">
        <v>2</v>
      </c>
      <c r="G2255" s="134" t="s">
        <v>670</v>
      </c>
      <c r="I2255" s="88" t="s">
        <v>24</v>
      </c>
      <c r="J2255" s="72">
        <v>6</v>
      </c>
      <c r="K2255" s="89">
        <v>165</v>
      </c>
      <c r="M2255" s="88" t="s">
        <v>3066</v>
      </c>
      <c r="N2255" s="72" t="s">
        <v>33</v>
      </c>
      <c r="O2255" s="72" t="s">
        <v>43</v>
      </c>
      <c r="P2255" s="72" t="s">
        <v>33</v>
      </c>
      <c r="Q2255" s="89" t="s">
        <v>1805</v>
      </c>
      <c r="S2255" s="88" t="s">
        <v>58</v>
      </c>
      <c r="T2255" s="89" t="s">
        <v>3361</v>
      </c>
      <c r="V2255" s="138" t="s">
        <v>70</v>
      </c>
      <c r="W2255" s="139" t="s">
        <v>3362</v>
      </c>
      <c r="Y2255" s="138" t="s">
        <v>90</v>
      </c>
      <c r="Z2255" s="137">
        <v>165</v>
      </c>
      <c r="AA2255" s="139">
        <v>105</v>
      </c>
    </row>
    <row r="2256" spans="1:27">
      <c r="A2256" s="216"/>
      <c r="B2256" s="217"/>
      <c r="F2256" s="88" t="s">
        <v>4</v>
      </c>
      <c r="G2256" s="112" t="s">
        <v>894</v>
      </c>
      <c r="I2256" s="88" t="s">
        <v>25</v>
      </c>
      <c r="J2256" s="80">
        <v>6</v>
      </c>
      <c r="K2256" s="89">
        <v>105</v>
      </c>
      <c r="M2256" s="88" t="s">
        <v>1430</v>
      </c>
      <c r="N2256" s="72" t="s">
        <v>33</v>
      </c>
      <c r="O2256" s="72" t="s">
        <v>34</v>
      </c>
      <c r="P2256" s="72" t="s">
        <v>35</v>
      </c>
      <c r="Q2256" s="89" t="s">
        <v>2733</v>
      </c>
      <c r="S2256" s="88" t="s">
        <v>60</v>
      </c>
      <c r="T2256" s="89" t="s">
        <v>2902</v>
      </c>
      <c r="V2256" s="135" t="s">
        <v>73</v>
      </c>
      <c r="W2256" s="136" t="s">
        <v>2983</v>
      </c>
      <c r="Y2256" s="88" t="s">
        <v>91</v>
      </c>
      <c r="Z2256" s="72">
        <v>105</v>
      </c>
      <c r="AA2256" s="89">
        <v>140</v>
      </c>
    </row>
    <row r="2257" spans="1:27">
      <c r="A2257" s="216"/>
      <c r="B2257" s="217"/>
      <c r="F2257" s="88" t="s">
        <v>6</v>
      </c>
      <c r="G2257" s="112" t="s">
        <v>1484</v>
      </c>
      <c r="I2257" s="90" t="s">
        <v>26</v>
      </c>
      <c r="J2257" s="91"/>
      <c r="K2257" s="92">
        <v>270</v>
      </c>
      <c r="M2257" s="88" t="s">
        <v>37</v>
      </c>
      <c r="N2257" s="72" t="s">
        <v>33</v>
      </c>
      <c r="O2257" s="72" t="s">
        <v>34</v>
      </c>
      <c r="P2257" s="72" t="s">
        <v>35</v>
      </c>
      <c r="Q2257" s="89" t="s">
        <v>1778</v>
      </c>
      <c r="S2257" s="88" t="s">
        <v>62</v>
      </c>
      <c r="T2257" s="89" t="s">
        <v>2508</v>
      </c>
      <c r="V2257" s="88" t="s">
        <v>76</v>
      </c>
      <c r="W2257" s="89" t="s">
        <v>2906</v>
      </c>
      <c r="Y2257" s="88" t="s">
        <v>26</v>
      </c>
      <c r="Z2257" s="72">
        <v>270</v>
      </c>
      <c r="AA2257" s="89">
        <v>245</v>
      </c>
    </row>
    <row r="2258" spans="1:27">
      <c r="A2258" s="216"/>
      <c r="B2258" s="217"/>
      <c r="F2258" s="88" t="s">
        <v>8</v>
      </c>
      <c r="G2258" s="112" t="s">
        <v>2973</v>
      </c>
      <c r="M2258" s="88" t="s">
        <v>2741</v>
      </c>
      <c r="N2258" s="72" t="s">
        <v>33</v>
      </c>
      <c r="O2258" s="72" t="s">
        <v>34</v>
      </c>
      <c r="P2258" s="72" t="s">
        <v>35</v>
      </c>
      <c r="Q2258" s="89" t="s">
        <v>2742</v>
      </c>
      <c r="S2258" s="119" t="s">
        <v>64</v>
      </c>
      <c r="T2258" s="120" t="s">
        <v>3363</v>
      </c>
      <c r="V2258" s="88" t="s">
        <v>79</v>
      </c>
      <c r="W2258" s="89" t="s">
        <v>1584</v>
      </c>
      <c r="Y2258" s="90" t="s">
        <v>92</v>
      </c>
      <c r="Z2258" s="91"/>
      <c r="AA2258" s="122">
        <v>0.09</v>
      </c>
    </row>
    <row r="2259" spans="1:27">
      <c r="A2259" s="216"/>
      <c r="B2259" s="217"/>
      <c r="F2259" s="88" t="s">
        <v>10</v>
      </c>
      <c r="G2259" s="112" t="s">
        <v>2735</v>
      </c>
      <c r="M2259" s="88" t="s">
        <v>42</v>
      </c>
      <c r="N2259" s="72" t="s">
        <v>33</v>
      </c>
      <c r="O2259" s="72" t="s">
        <v>34</v>
      </c>
      <c r="P2259" s="72" t="s">
        <v>35</v>
      </c>
      <c r="Q2259" s="89" t="s">
        <v>2837</v>
      </c>
      <c r="S2259" s="90" t="s">
        <v>66</v>
      </c>
      <c r="T2259" s="133" t="s">
        <v>2947</v>
      </c>
      <c r="V2259" s="90" t="s">
        <v>82</v>
      </c>
      <c r="W2259" s="92" t="s">
        <v>2516</v>
      </c>
    </row>
    <row r="2260" spans="1:27">
      <c r="A2260" s="216"/>
      <c r="B2260" s="217"/>
      <c r="F2260" s="88" t="s">
        <v>13</v>
      </c>
      <c r="G2260" s="201" t="s">
        <v>1499</v>
      </c>
      <c r="M2260" s="88" t="s">
        <v>2910</v>
      </c>
      <c r="N2260" s="72" t="s">
        <v>33</v>
      </c>
      <c r="O2260" s="72" t="s">
        <v>43</v>
      </c>
      <c r="P2260" s="72" t="s">
        <v>33</v>
      </c>
      <c r="Q2260" s="89" t="s">
        <v>2301</v>
      </c>
    </row>
    <row r="2261" spans="1:27">
      <c r="A2261" s="216"/>
      <c r="B2261" s="217"/>
      <c r="F2261" s="88" t="s">
        <v>15</v>
      </c>
      <c r="G2261" s="112" t="s">
        <v>3364</v>
      </c>
      <c r="M2261" s="88" t="s">
        <v>3190</v>
      </c>
      <c r="N2261" s="72" t="s">
        <v>35</v>
      </c>
      <c r="O2261" s="72" t="s">
        <v>52</v>
      </c>
      <c r="P2261" s="72" t="s">
        <v>35</v>
      </c>
      <c r="Q2261" s="89" t="s">
        <v>1627</v>
      </c>
    </row>
    <row r="2262" spans="1:27">
      <c r="A2262" s="216"/>
      <c r="B2262" s="217"/>
      <c r="F2262" s="119" t="s">
        <v>17</v>
      </c>
      <c r="G2262" s="144">
        <v>46069</v>
      </c>
      <c r="M2262" s="88" t="s">
        <v>1679</v>
      </c>
      <c r="N2262" s="72" t="s">
        <v>35</v>
      </c>
      <c r="O2262" s="72" t="s">
        <v>52</v>
      </c>
      <c r="P2262" s="72" t="s">
        <v>35</v>
      </c>
      <c r="Q2262" s="89" t="s">
        <v>2745</v>
      </c>
    </row>
    <row r="2263" spans="1:27">
      <c r="A2263" s="218"/>
      <c r="B2263" s="219"/>
      <c r="F2263" s="90" t="s">
        <v>18</v>
      </c>
      <c r="G2263" s="114" t="s">
        <v>19</v>
      </c>
      <c r="M2263" s="88" t="s">
        <v>3225</v>
      </c>
      <c r="N2263" s="72" t="s">
        <v>35</v>
      </c>
      <c r="O2263" s="72" t="s">
        <v>52</v>
      </c>
      <c r="P2263" s="72" t="s">
        <v>35</v>
      </c>
      <c r="Q2263" s="89" t="s">
        <v>2746</v>
      </c>
    </row>
    <row r="2264" spans="1:27">
      <c r="M2264" s="88" t="s">
        <v>3226</v>
      </c>
      <c r="N2264" s="72" t="s">
        <v>35</v>
      </c>
      <c r="O2264" s="72" t="s">
        <v>52</v>
      </c>
      <c r="P2264" s="72" t="s">
        <v>35</v>
      </c>
      <c r="Q2264" s="89" t="s">
        <v>1856</v>
      </c>
    </row>
    <row r="2265" spans="1:27">
      <c r="M2265" s="88" t="s">
        <v>2545</v>
      </c>
      <c r="N2265" s="72" t="s">
        <v>35</v>
      </c>
      <c r="O2265" s="72" t="s">
        <v>52</v>
      </c>
      <c r="P2265" s="72" t="s">
        <v>35</v>
      </c>
      <c r="Q2265" s="89" t="s">
        <v>2963</v>
      </c>
    </row>
    <row r="2266" spans="1:27">
      <c r="M2266" s="90" t="s">
        <v>1975</v>
      </c>
      <c r="N2266" s="91" t="s">
        <v>35</v>
      </c>
      <c r="O2266" s="91" t="s">
        <v>52</v>
      </c>
      <c r="P2266" s="91" t="s">
        <v>35</v>
      </c>
      <c r="Q2266" s="92" t="s">
        <v>2866</v>
      </c>
    </row>
    <row r="2267" spans="1:27">
      <c r="M2267" s="130"/>
      <c r="N2267" s="130"/>
      <c r="O2267" s="130"/>
      <c r="P2267" s="130"/>
      <c r="Q2267" s="130"/>
    </row>
    <row r="2268" spans="1:27">
      <c r="M2268" s="130"/>
      <c r="N2268" s="130"/>
      <c r="O2268" s="130"/>
      <c r="P2268" s="130"/>
      <c r="Q2268" s="130"/>
    </row>
    <row r="2269" spans="1:27">
      <c r="M2269" s="130"/>
      <c r="N2269" s="130"/>
      <c r="O2269" s="130"/>
      <c r="P2269" s="130"/>
      <c r="Q2269" s="130"/>
    </row>
    <row r="2270" spans="1:27">
      <c r="M2270" s="130"/>
      <c r="N2270" s="130"/>
      <c r="O2270" s="130"/>
      <c r="P2270" s="130"/>
      <c r="Q2270" s="130"/>
    </row>
    <row r="2271" spans="1:27">
      <c r="M2271" s="130"/>
      <c r="N2271" s="130"/>
      <c r="O2271" s="130"/>
      <c r="P2271" s="130"/>
      <c r="Q2271" s="130"/>
    </row>
    <row r="2274" spans="1:27">
      <c r="A2274" s="214" t="s">
        <v>3365</v>
      </c>
      <c r="B2274" s="215"/>
      <c r="F2274" s="85" t="s">
        <v>0</v>
      </c>
      <c r="G2274" s="118" t="s">
        <v>1</v>
      </c>
      <c r="I2274" s="85" t="s">
        <v>20</v>
      </c>
      <c r="J2274" s="86" t="s">
        <v>21</v>
      </c>
      <c r="K2274" s="87" t="s">
        <v>23</v>
      </c>
      <c r="M2274" s="85" t="s">
        <v>27</v>
      </c>
      <c r="N2274" s="86" t="s">
        <v>28</v>
      </c>
      <c r="O2274" s="86" t="s">
        <v>29</v>
      </c>
      <c r="P2274" s="86" t="s">
        <v>30</v>
      </c>
      <c r="Q2274" s="87" t="s">
        <v>31</v>
      </c>
      <c r="S2274" s="85" t="s">
        <v>56</v>
      </c>
      <c r="T2274" s="87" t="s">
        <v>57</v>
      </c>
      <c r="U2274" s="79"/>
      <c r="V2274" s="85" t="s">
        <v>56</v>
      </c>
      <c r="W2274" s="87" t="s">
        <v>57</v>
      </c>
      <c r="Y2274" s="85" t="s">
        <v>85</v>
      </c>
      <c r="Z2274" s="86" t="s">
        <v>88</v>
      </c>
      <c r="AA2274" s="87" t="s">
        <v>89</v>
      </c>
    </row>
    <row r="2275" spans="1:27">
      <c r="A2275" s="216"/>
      <c r="B2275" s="217"/>
      <c r="F2275" s="88" t="s">
        <v>2</v>
      </c>
      <c r="G2275" s="134" t="s">
        <v>672</v>
      </c>
      <c r="I2275" s="88" t="s">
        <v>24</v>
      </c>
      <c r="J2275" s="72">
        <v>7</v>
      </c>
      <c r="K2275" s="89">
        <v>210</v>
      </c>
      <c r="M2275" s="88" t="s">
        <v>3366</v>
      </c>
      <c r="N2275" s="72" t="s">
        <v>33</v>
      </c>
      <c r="O2275" s="72" t="s">
        <v>34</v>
      </c>
      <c r="P2275" s="72" t="s">
        <v>35</v>
      </c>
      <c r="Q2275" s="89" t="s">
        <v>2793</v>
      </c>
      <c r="S2275" s="88" t="s">
        <v>58</v>
      </c>
      <c r="T2275" s="89" t="s">
        <v>2811</v>
      </c>
      <c r="V2275" s="138" t="s">
        <v>58</v>
      </c>
      <c r="W2275" s="139" t="s">
        <v>2811</v>
      </c>
      <c r="Y2275" s="138" t="s">
        <v>90</v>
      </c>
      <c r="Z2275" s="137">
        <v>210</v>
      </c>
      <c r="AA2275" s="139">
        <v>130</v>
      </c>
    </row>
    <row r="2276" spans="1:27">
      <c r="A2276" s="216"/>
      <c r="B2276" s="217"/>
      <c r="F2276" s="88" t="s">
        <v>4</v>
      </c>
      <c r="G2276" s="112" t="s">
        <v>894</v>
      </c>
      <c r="I2276" s="88" t="s">
        <v>25</v>
      </c>
      <c r="J2276" s="80">
        <v>5</v>
      </c>
      <c r="K2276" s="89">
        <v>95</v>
      </c>
      <c r="M2276" s="88" t="s">
        <v>1723</v>
      </c>
      <c r="N2276" s="72" t="s">
        <v>33</v>
      </c>
      <c r="O2276" s="72" t="s">
        <v>43</v>
      </c>
      <c r="P2276" s="72" t="s">
        <v>33</v>
      </c>
      <c r="Q2276" s="89" t="s">
        <v>2274</v>
      </c>
      <c r="S2276" s="88" t="s">
        <v>60</v>
      </c>
      <c r="T2276" s="89" t="s">
        <v>3028</v>
      </c>
      <c r="V2276" s="135" t="s">
        <v>60</v>
      </c>
      <c r="W2276" s="136" t="s">
        <v>3028</v>
      </c>
      <c r="Y2276" s="88" t="s">
        <v>91</v>
      </c>
      <c r="Z2276" s="72">
        <v>95</v>
      </c>
      <c r="AA2276" s="89">
        <v>140</v>
      </c>
    </row>
    <row r="2277" spans="1:27">
      <c r="A2277" s="216"/>
      <c r="B2277" s="217"/>
      <c r="F2277" s="88" t="s">
        <v>6</v>
      </c>
      <c r="G2277" s="112" t="s">
        <v>895</v>
      </c>
      <c r="I2277" s="90" t="s">
        <v>26</v>
      </c>
      <c r="J2277" s="91"/>
      <c r="K2277" s="92">
        <v>305</v>
      </c>
      <c r="M2277" s="88" t="s">
        <v>37</v>
      </c>
      <c r="N2277" s="72" t="s">
        <v>33</v>
      </c>
      <c r="O2277" s="72" t="s">
        <v>34</v>
      </c>
      <c r="P2277" s="72" t="s">
        <v>35</v>
      </c>
      <c r="Q2277" s="89" t="s">
        <v>1778</v>
      </c>
      <c r="S2277" s="88" t="s">
        <v>62</v>
      </c>
      <c r="T2277" s="89" t="s">
        <v>3134</v>
      </c>
      <c r="V2277" s="88" t="s">
        <v>62</v>
      </c>
      <c r="W2277" s="89" t="s">
        <v>3134</v>
      </c>
      <c r="Y2277" s="88" t="s">
        <v>26</v>
      </c>
      <c r="Z2277" s="72">
        <v>305</v>
      </c>
      <c r="AA2277" s="89">
        <v>270</v>
      </c>
    </row>
    <row r="2278" spans="1:27">
      <c r="A2278" s="216"/>
      <c r="B2278" s="217"/>
      <c r="F2278" s="88" t="s">
        <v>8</v>
      </c>
      <c r="G2278" s="112" t="s">
        <v>2778</v>
      </c>
      <c r="M2278" s="88" t="s">
        <v>1135</v>
      </c>
      <c r="N2278" s="72" t="s">
        <v>33</v>
      </c>
      <c r="O2278" s="72" t="s">
        <v>43</v>
      </c>
      <c r="P2278" s="72" t="s">
        <v>33</v>
      </c>
      <c r="Q2278" s="89" t="s">
        <v>1811</v>
      </c>
      <c r="S2278" s="119" t="s">
        <v>64</v>
      </c>
      <c r="T2278" s="120" t="s">
        <v>3055</v>
      </c>
      <c r="V2278" s="88" t="s">
        <v>64</v>
      </c>
      <c r="W2278" s="89" t="s">
        <v>3055</v>
      </c>
      <c r="Y2278" s="90" t="s">
        <v>92</v>
      </c>
      <c r="Z2278" s="91"/>
      <c r="AA2278" s="122">
        <v>0.11</v>
      </c>
    </row>
    <row r="2279" spans="1:27">
      <c r="A2279" s="216"/>
      <c r="B2279" s="217"/>
      <c r="F2279" s="88" t="s">
        <v>10</v>
      </c>
      <c r="G2279" s="112" t="s">
        <v>3367</v>
      </c>
      <c r="M2279" s="88" t="s">
        <v>42</v>
      </c>
      <c r="N2279" s="72" t="s">
        <v>33</v>
      </c>
      <c r="O2279" s="72" t="s">
        <v>34</v>
      </c>
      <c r="P2279" s="72" t="s">
        <v>35</v>
      </c>
      <c r="Q2279" s="89" t="s">
        <v>2837</v>
      </c>
      <c r="S2279" s="90" t="s">
        <v>66</v>
      </c>
      <c r="T2279" s="133" t="s">
        <v>1988</v>
      </c>
      <c r="V2279" s="90" t="s">
        <v>66</v>
      </c>
      <c r="W2279" s="92" t="s">
        <v>1988</v>
      </c>
    </row>
    <row r="2280" spans="1:27">
      <c r="A2280" s="216"/>
      <c r="B2280" s="217"/>
      <c r="F2280" s="88" t="s">
        <v>13</v>
      </c>
      <c r="G2280" s="201" t="s">
        <v>2487</v>
      </c>
      <c r="M2280" s="88" t="s">
        <v>3368</v>
      </c>
      <c r="N2280" s="72" t="s">
        <v>33</v>
      </c>
      <c r="O2280" s="72" t="s">
        <v>43</v>
      </c>
      <c r="P2280" s="72" t="s">
        <v>33</v>
      </c>
      <c r="Q2280" s="89" t="s">
        <v>1734</v>
      </c>
    </row>
    <row r="2281" spans="1:27">
      <c r="A2281" s="216"/>
      <c r="B2281" s="217"/>
      <c r="F2281" s="88" t="s">
        <v>15</v>
      </c>
      <c r="G2281" s="112" t="s">
        <v>3048</v>
      </c>
      <c r="M2281" s="88" t="s">
        <v>2817</v>
      </c>
      <c r="N2281" s="72" t="s">
        <v>33</v>
      </c>
      <c r="O2281" s="72" t="s">
        <v>34</v>
      </c>
      <c r="P2281" s="72" t="s">
        <v>35</v>
      </c>
      <c r="Q2281" s="89" t="s">
        <v>2818</v>
      </c>
    </row>
    <row r="2282" spans="1:27">
      <c r="A2282" s="216"/>
      <c r="B2282" s="217"/>
      <c r="F2282" s="119" t="s">
        <v>17</v>
      </c>
      <c r="G2282" s="144">
        <v>46045</v>
      </c>
      <c r="M2282" s="88" t="s">
        <v>2827</v>
      </c>
      <c r="N2282" s="72" t="s">
        <v>35</v>
      </c>
      <c r="O2282" s="72" t="s">
        <v>52</v>
      </c>
      <c r="P2282" s="72" t="s">
        <v>35</v>
      </c>
      <c r="Q2282" s="89" t="s">
        <v>3369</v>
      </c>
    </row>
    <row r="2283" spans="1:27">
      <c r="A2283" s="218"/>
      <c r="B2283" s="219"/>
      <c r="F2283" s="90" t="s">
        <v>18</v>
      </c>
      <c r="G2283" s="114" t="s">
        <v>19</v>
      </c>
      <c r="M2283" s="88" t="s">
        <v>1679</v>
      </c>
      <c r="N2283" s="72" t="s">
        <v>35</v>
      </c>
      <c r="O2283" s="72" t="s">
        <v>52</v>
      </c>
      <c r="P2283" s="72" t="s">
        <v>35</v>
      </c>
      <c r="Q2283" s="89" t="s">
        <v>2763</v>
      </c>
    </row>
    <row r="2284" spans="1:27">
      <c r="M2284" s="88" t="s">
        <v>2059</v>
      </c>
      <c r="N2284" s="72" t="s">
        <v>35</v>
      </c>
      <c r="O2284" s="72" t="s">
        <v>52</v>
      </c>
      <c r="P2284" s="72" t="s">
        <v>35</v>
      </c>
      <c r="Q2284" s="89" t="s">
        <v>2746</v>
      </c>
    </row>
    <row r="2285" spans="1:27">
      <c r="M2285" s="88" t="s">
        <v>2545</v>
      </c>
      <c r="N2285" s="72" t="s">
        <v>35</v>
      </c>
      <c r="O2285" s="72" t="s">
        <v>52</v>
      </c>
      <c r="P2285" s="72" t="s">
        <v>35</v>
      </c>
      <c r="Q2285" s="89" t="s">
        <v>2963</v>
      </c>
    </row>
    <row r="2286" spans="1:27">
      <c r="M2286" s="90" t="s">
        <v>1975</v>
      </c>
      <c r="N2286" s="91" t="s">
        <v>35</v>
      </c>
      <c r="O2286" s="91" t="s">
        <v>52</v>
      </c>
      <c r="P2286" s="91" t="s">
        <v>35</v>
      </c>
      <c r="Q2286" s="92" t="s">
        <v>2866</v>
      </c>
    </row>
    <row r="2293" spans="1:27">
      <c r="A2293" s="214" t="s">
        <v>674</v>
      </c>
      <c r="B2293" s="215"/>
      <c r="F2293" s="85" t="s">
        <v>0</v>
      </c>
      <c r="G2293" s="118" t="s">
        <v>1</v>
      </c>
      <c r="I2293" s="85" t="s">
        <v>20</v>
      </c>
      <c r="J2293" s="86" t="s">
        <v>21</v>
      </c>
      <c r="K2293" s="87" t="s">
        <v>23</v>
      </c>
      <c r="M2293" s="85" t="s">
        <v>27</v>
      </c>
      <c r="N2293" s="86" t="s">
        <v>28</v>
      </c>
      <c r="O2293" s="86" t="s">
        <v>29</v>
      </c>
      <c r="P2293" s="86" t="s">
        <v>30</v>
      </c>
      <c r="Q2293" s="87" t="s">
        <v>31</v>
      </c>
      <c r="S2293" s="85" t="s">
        <v>56</v>
      </c>
      <c r="T2293" s="87" t="s">
        <v>57</v>
      </c>
      <c r="U2293" s="79"/>
      <c r="V2293" s="85" t="s">
        <v>68</v>
      </c>
      <c r="W2293" s="87" t="s">
        <v>69</v>
      </c>
      <c r="Y2293" s="85" t="s">
        <v>85</v>
      </c>
      <c r="Z2293" s="86" t="s">
        <v>88</v>
      </c>
      <c r="AA2293" s="87" t="s">
        <v>89</v>
      </c>
    </row>
    <row r="2294" spans="1:27">
      <c r="A2294" s="216"/>
      <c r="B2294" s="217"/>
      <c r="F2294" s="88" t="s">
        <v>2</v>
      </c>
      <c r="G2294" s="134" t="s">
        <v>674</v>
      </c>
      <c r="I2294" s="88" t="s">
        <v>24</v>
      </c>
      <c r="J2294" s="72">
        <v>7</v>
      </c>
      <c r="K2294" s="89">
        <v>200</v>
      </c>
      <c r="M2294" s="88" t="s">
        <v>3370</v>
      </c>
      <c r="N2294" s="72" t="s">
        <v>33</v>
      </c>
      <c r="O2294" s="72" t="s">
        <v>34</v>
      </c>
      <c r="P2294" s="72" t="s">
        <v>35</v>
      </c>
      <c r="Q2294" s="89" t="s">
        <v>2818</v>
      </c>
      <c r="S2294" s="88" t="s">
        <v>58</v>
      </c>
      <c r="T2294" s="89" t="s">
        <v>3350</v>
      </c>
      <c r="V2294" s="138" t="s">
        <v>70</v>
      </c>
      <c r="W2294" s="139" t="s">
        <v>1944</v>
      </c>
      <c r="Y2294" s="138" t="s">
        <v>90</v>
      </c>
      <c r="Z2294" s="137">
        <v>200</v>
      </c>
      <c r="AA2294" s="139">
        <v>125</v>
      </c>
    </row>
    <row r="2295" spans="1:27">
      <c r="A2295" s="216"/>
      <c r="B2295" s="217"/>
      <c r="F2295" s="88" t="s">
        <v>4</v>
      </c>
      <c r="G2295" s="112" t="s">
        <v>894</v>
      </c>
      <c r="I2295" s="88" t="s">
        <v>25</v>
      </c>
      <c r="J2295" s="80">
        <v>6</v>
      </c>
      <c r="K2295" s="89">
        <v>110</v>
      </c>
      <c r="M2295" s="88" t="s">
        <v>1832</v>
      </c>
      <c r="N2295" s="72" t="s">
        <v>33</v>
      </c>
      <c r="O2295" s="72" t="s">
        <v>34</v>
      </c>
      <c r="P2295" s="72" t="s">
        <v>35</v>
      </c>
      <c r="Q2295" s="89" t="s">
        <v>1833</v>
      </c>
      <c r="S2295" s="88" t="s">
        <v>60</v>
      </c>
      <c r="T2295" s="89" t="s">
        <v>2999</v>
      </c>
      <c r="V2295" s="135" t="s">
        <v>73</v>
      </c>
      <c r="W2295" s="136" t="s">
        <v>2818</v>
      </c>
      <c r="Y2295" s="88" t="s">
        <v>91</v>
      </c>
      <c r="Z2295" s="72">
        <v>110</v>
      </c>
      <c r="AA2295" s="89">
        <v>155</v>
      </c>
    </row>
    <row r="2296" spans="1:27">
      <c r="A2296" s="216"/>
      <c r="B2296" s="217"/>
      <c r="F2296" s="88" t="s">
        <v>6</v>
      </c>
      <c r="G2296" s="112" t="s">
        <v>1484</v>
      </c>
      <c r="I2296" s="90" t="s">
        <v>26</v>
      </c>
      <c r="J2296" s="91"/>
      <c r="K2296" s="92">
        <v>310</v>
      </c>
      <c r="M2296" s="88" t="s">
        <v>1553</v>
      </c>
      <c r="N2296" s="72" t="s">
        <v>33</v>
      </c>
      <c r="O2296" s="72" t="s">
        <v>43</v>
      </c>
      <c r="P2296" s="72" t="s">
        <v>33</v>
      </c>
      <c r="Q2296" s="89" t="s">
        <v>2691</v>
      </c>
      <c r="S2296" s="88" t="s">
        <v>62</v>
      </c>
      <c r="T2296" s="89" t="s">
        <v>3371</v>
      </c>
      <c r="V2296" s="88" t="s">
        <v>76</v>
      </c>
      <c r="W2296" s="89" t="s">
        <v>3372</v>
      </c>
      <c r="Y2296" s="88" t="s">
        <v>26</v>
      </c>
      <c r="Z2296" s="72">
        <v>310</v>
      </c>
      <c r="AA2296" s="89">
        <v>280</v>
      </c>
    </row>
    <row r="2297" spans="1:27">
      <c r="A2297" s="216"/>
      <c r="B2297" s="217"/>
      <c r="F2297" s="88" t="s">
        <v>8</v>
      </c>
      <c r="G2297" s="112" t="s">
        <v>3081</v>
      </c>
      <c r="M2297" s="88" t="s">
        <v>3373</v>
      </c>
      <c r="N2297" s="72" t="s">
        <v>33</v>
      </c>
      <c r="O2297" s="72" t="s">
        <v>43</v>
      </c>
      <c r="P2297" s="72" t="s">
        <v>33</v>
      </c>
      <c r="Q2297" s="89" t="s">
        <v>1984</v>
      </c>
      <c r="S2297" s="119" t="s">
        <v>64</v>
      </c>
      <c r="T2297" s="120" t="s">
        <v>3374</v>
      </c>
      <c r="V2297" s="88" t="s">
        <v>79</v>
      </c>
      <c r="W2297" s="89" t="s">
        <v>1584</v>
      </c>
      <c r="Y2297" s="90" t="s">
        <v>92</v>
      </c>
      <c r="Z2297" s="91"/>
      <c r="AA2297" s="122">
        <v>0.1</v>
      </c>
    </row>
    <row r="2298" spans="1:27">
      <c r="A2298" s="216"/>
      <c r="B2298" s="217"/>
      <c r="F2298" s="88" t="s">
        <v>10</v>
      </c>
      <c r="G2298" s="112" t="s">
        <v>3375</v>
      </c>
      <c r="M2298" s="88" t="s">
        <v>42</v>
      </c>
      <c r="N2298" s="72" t="s">
        <v>33</v>
      </c>
      <c r="O2298" s="72" t="s">
        <v>34</v>
      </c>
      <c r="P2298" s="72" t="s">
        <v>35</v>
      </c>
      <c r="Q2298" s="89" t="s">
        <v>2837</v>
      </c>
      <c r="S2298" s="90" t="s">
        <v>66</v>
      </c>
      <c r="T2298" s="133" t="s">
        <v>3376</v>
      </c>
      <c r="V2298" s="90" t="s">
        <v>82</v>
      </c>
      <c r="W2298" s="92" t="s">
        <v>3377</v>
      </c>
    </row>
    <row r="2299" spans="1:27" ht="30.75">
      <c r="A2299" s="216"/>
      <c r="B2299" s="217"/>
      <c r="F2299" s="88" t="s">
        <v>13</v>
      </c>
      <c r="G2299" s="210" t="s">
        <v>2252</v>
      </c>
      <c r="M2299" s="88" t="s">
        <v>3378</v>
      </c>
      <c r="N2299" s="72" t="s">
        <v>33</v>
      </c>
      <c r="O2299" s="72" t="s">
        <v>43</v>
      </c>
      <c r="P2299" s="72" t="s">
        <v>33</v>
      </c>
      <c r="Q2299" s="89" t="s">
        <v>3379</v>
      </c>
    </row>
    <row r="2300" spans="1:27">
      <c r="A2300" s="216"/>
      <c r="B2300" s="217"/>
      <c r="F2300" s="88" t="s">
        <v>15</v>
      </c>
      <c r="G2300" s="112" t="s">
        <v>3380</v>
      </c>
      <c r="M2300" s="88" t="s">
        <v>1879</v>
      </c>
      <c r="N2300" s="72" t="s">
        <v>33</v>
      </c>
      <c r="O2300" s="72" t="s">
        <v>34</v>
      </c>
      <c r="P2300" s="72" t="s">
        <v>35</v>
      </c>
      <c r="Q2300" s="89" t="s">
        <v>2404</v>
      </c>
    </row>
    <row r="2301" spans="1:27">
      <c r="A2301" s="216"/>
      <c r="B2301" s="217"/>
      <c r="F2301" s="119" t="s">
        <v>17</v>
      </c>
      <c r="G2301" s="144">
        <v>46050</v>
      </c>
      <c r="M2301" s="88" t="s">
        <v>1972</v>
      </c>
      <c r="N2301" s="72" t="s">
        <v>35</v>
      </c>
      <c r="O2301" s="72" t="s">
        <v>52</v>
      </c>
      <c r="P2301" s="72" t="s">
        <v>35</v>
      </c>
      <c r="Q2301" s="89" t="s">
        <v>1627</v>
      </c>
    </row>
    <row r="2302" spans="1:27">
      <c r="A2302" s="218"/>
      <c r="B2302" s="219"/>
      <c r="F2302" s="90" t="s">
        <v>18</v>
      </c>
      <c r="G2302" s="114" t="s">
        <v>19</v>
      </c>
      <c r="M2302" s="88" t="s">
        <v>1679</v>
      </c>
      <c r="N2302" s="72" t="s">
        <v>35</v>
      </c>
      <c r="O2302" s="72" t="s">
        <v>52</v>
      </c>
      <c r="P2302" s="72" t="s">
        <v>35</v>
      </c>
      <c r="Q2302" s="89" t="s">
        <v>2763</v>
      </c>
    </row>
    <row r="2303" spans="1:27">
      <c r="M2303" s="88" t="s">
        <v>3381</v>
      </c>
      <c r="N2303" s="72" t="s">
        <v>35</v>
      </c>
      <c r="O2303" s="72" t="s">
        <v>52</v>
      </c>
      <c r="P2303" s="72" t="s">
        <v>35</v>
      </c>
      <c r="Q2303" s="89" t="s">
        <v>2746</v>
      </c>
    </row>
    <row r="2304" spans="1:27">
      <c r="M2304" s="88" t="s">
        <v>2545</v>
      </c>
      <c r="N2304" s="72" t="s">
        <v>35</v>
      </c>
      <c r="O2304" s="72" t="s">
        <v>52</v>
      </c>
      <c r="P2304" s="72" t="s">
        <v>35</v>
      </c>
      <c r="Q2304" s="89" t="s">
        <v>2963</v>
      </c>
    </row>
    <row r="2305" spans="1:27">
      <c r="M2305" s="90" t="s">
        <v>1975</v>
      </c>
      <c r="N2305" s="91" t="s">
        <v>35</v>
      </c>
      <c r="O2305" s="91" t="s">
        <v>52</v>
      </c>
      <c r="P2305" s="91" t="s">
        <v>35</v>
      </c>
      <c r="Q2305" s="92" t="s">
        <v>2866</v>
      </c>
    </row>
    <row r="2312" spans="1:27">
      <c r="A2312" s="214" t="s">
        <v>606</v>
      </c>
      <c r="B2312" s="215"/>
      <c r="F2312" s="85" t="s">
        <v>0</v>
      </c>
      <c r="G2312" s="118" t="s">
        <v>1</v>
      </c>
      <c r="I2312" s="85" t="s">
        <v>20</v>
      </c>
      <c r="J2312" s="86" t="s">
        <v>21</v>
      </c>
      <c r="K2312" s="87" t="s">
        <v>23</v>
      </c>
      <c r="M2312" s="85" t="s">
        <v>27</v>
      </c>
      <c r="N2312" s="86" t="s">
        <v>28</v>
      </c>
      <c r="O2312" s="86" t="s">
        <v>29</v>
      </c>
      <c r="P2312" s="86" t="s">
        <v>30</v>
      </c>
      <c r="Q2312" s="87" t="s">
        <v>31</v>
      </c>
      <c r="S2312" s="85" t="s">
        <v>56</v>
      </c>
      <c r="T2312" s="87" t="s">
        <v>57</v>
      </c>
      <c r="U2312" s="79"/>
      <c r="V2312" s="85" t="s">
        <v>68</v>
      </c>
      <c r="W2312" s="87" t="s">
        <v>69</v>
      </c>
      <c r="Y2312" s="85" t="s">
        <v>85</v>
      </c>
      <c r="Z2312" s="86" t="s">
        <v>88</v>
      </c>
      <c r="AA2312" s="87" t="s">
        <v>89</v>
      </c>
    </row>
    <row r="2313" spans="1:27">
      <c r="A2313" s="216"/>
      <c r="B2313" s="217"/>
      <c r="F2313" s="88" t="s">
        <v>2</v>
      </c>
      <c r="G2313" s="134" t="s">
        <v>606</v>
      </c>
      <c r="I2313" s="88" t="s">
        <v>24</v>
      </c>
      <c r="J2313" s="72">
        <v>6</v>
      </c>
      <c r="K2313" s="89">
        <v>180</v>
      </c>
      <c r="M2313" s="88" t="s">
        <v>2940</v>
      </c>
      <c r="N2313" s="72" t="s">
        <v>33</v>
      </c>
      <c r="O2313" s="72" t="s">
        <v>43</v>
      </c>
      <c r="P2313" s="72" t="s">
        <v>33</v>
      </c>
      <c r="Q2313" s="89" t="s">
        <v>1805</v>
      </c>
      <c r="S2313" s="88" t="s">
        <v>58</v>
      </c>
      <c r="T2313" s="89" t="s">
        <v>3212</v>
      </c>
      <c r="V2313" s="138" t="s">
        <v>70</v>
      </c>
      <c r="W2313" s="139" t="s">
        <v>2088</v>
      </c>
      <c r="Y2313" s="138" t="s">
        <v>90</v>
      </c>
      <c r="Z2313" s="137">
        <v>180</v>
      </c>
      <c r="AA2313" s="139">
        <v>110</v>
      </c>
    </row>
    <row r="2314" spans="1:27">
      <c r="A2314" s="216"/>
      <c r="B2314" s="217"/>
      <c r="F2314" s="88" t="s">
        <v>4</v>
      </c>
      <c r="G2314" s="112" t="s">
        <v>894</v>
      </c>
      <c r="I2314" s="88" t="s">
        <v>25</v>
      </c>
      <c r="J2314" s="80">
        <v>5</v>
      </c>
      <c r="K2314" s="89">
        <v>100</v>
      </c>
      <c r="M2314" s="88" t="s">
        <v>1430</v>
      </c>
      <c r="N2314" s="72" t="s">
        <v>33</v>
      </c>
      <c r="O2314" s="72" t="s">
        <v>34</v>
      </c>
      <c r="P2314" s="72" t="s">
        <v>35</v>
      </c>
      <c r="Q2314" s="89" t="s">
        <v>2733</v>
      </c>
      <c r="S2314" s="88" t="s">
        <v>60</v>
      </c>
      <c r="T2314" s="89" t="s">
        <v>3382</v>
      </c>
      <c r="V2314" s="135" t="s">
        <v>73</v>
      </c>
      <c r="W2314" s="136" t="s">
        <v>2983</v>
      </c>
      <c r="Y2314" s="88" t="s">
        <v>91</v>
      </c>
      <c r="Z2314" s="72">
        <v>100</v>
      </c>
      <c r="AA2314" s="89">
        <v>145</v>
      </c>
    </row>
    <row r="2315" spans="1:27">
      <c r="A2315" s="216"/>
      <c r="B2315" s="217"/>
      <c r="F2315" s="88" t="s">
        <v>6</v>
      </c>
      <c r="G2315" s="112" t="s">
        <v>895</v>
      </c>
      <c r="I2315" s="90" t="s">
        <v>26</v>
      </c>
      <c r="J2315" s="91"/>
      <c r="K2315" s="92">
        <v>280</v>
      </c>
      <c r="M2315" s="88" t="s">
        <v>37</v>
      </c>
      <c r="N2315" s="72" t="s">
        <v>33</v>
      </c>
      <c r="O2315" s="72" t="s">
        <v>34</v>
      </c>
      <c r="P2315" s="72" t="s">
        <v>35</v>
      </c>
      <c r="Q2315" s="89" t="s">
        <v>1778</v>
      </c>
      <c r="S2315" s="88" t="s">
        <v>62</v>
      </c>
      <c r="T2315" s="89" t="s">
        <v>2508</v>
      </c>
      <c r="V2315" s="88" t="s">
        <v>76</v>
      </c>
      <c r="W2315" s="89" t="s">
        <v>2944</v>
      </c>
      <c r="Y2315" s="88" t="s">
        <v>26</v>
      </c>
      <c r="Z2315" s="72">
        <v>280</v>
      </c>
      <c r="AA2315" s="89">
        <v>255</v>
      </c>
    </row>
    <row r="2316" spans="1:27">
      <c r="A2316" s="216"/>
      <c r="B2316" s="217"/>
      <c r="F2316" s="88" t="s">
        <v>8</v>
      </c>
      <c r="G2316" s="112" t="s">
        <v>1810</v>
      </c>
      <c r="M2316" s="88" t="s">
        <v>2741</v>
      </c>
      <c r="N2316" s="72" t="s">
        <v>33</v>
      </c>
      <c r="O2316" s="72" t="s">
        <v>34</v>
      </c>
      <c r="P2316" s="72" t="s">
        <v>35</v>
      </c>
      <c r="Q2316" s="89" t="s">
        <v>2992</v>
      </c>
      <c r="S2316" s="119" t="s">
        <v>64</v>
      </c>
      <c r="T2316" s="120" t="s">
        <v>2946</v>
      </c>
      <c r="V2316" s="88" t="s">
        <v>79</v>
      </c>
      <c r="W2316" s="89" t="s">
        <v>1584</v>
      </c>
      <c r="Y2316" s="90" t="s">
        <v>92</v>
      </c>
      <c r="Z2316" s="91"/>
      <c r="AA2316" s="122">
        <v>0.09</v>
      </c>
    </row>
    <row r="2317" spans="1:27">
      <c r="A2317" s="216"/>
      <c r="B2317" s="217"/>
      <c r="F2317" s="88" t="s">
        <v>10</v>
      </c>
      <c r="G2317" s="112" t="s">
        <v>2735</v>
      </c>
      <c r="M2317" s="88" t="s">
        <v>42</v>
      </c>
      <c r="N2317" s="72" t="s">
        <v>33</v>
      </c>
      <c r="O2317" s="72" t="s">
        <v>34</v>
      </c>
      <c r="P2317" s="72" t="s">
        <v>35</v>
      </c>
      <c r="Q2317" s="89" t="s">
        <v>2837</v>
      </c>
      <c r="S2317" s="90" t="s">
        <v>66</v>
      </c>
      <c r="T2317" s="133" t="s">
        <v>2947</v>
      </c>
      <c r="V2317" s="90" t="s">
        <v>82</v>
      </c>
      <c r="W2317" s="92" t="s">
        <v>2516</v>
      </c>
    </row>
    <row r="2318" spans="1:27">
      <c r="A2318" s="216"/>
      <c r="B2318" s="217"/>
      <c r="F2318" s="88" t="s">
        <v>13</v>
      </c>
      <c r="G2318" s="201" t="s">
        <v>2715</v>
      </c>
      <c r="M2318" s="88" t="s">
        <v>2020</v>
      </c>
      <c r="N2318" s="72" t="s">
        <v>33</v>
      </c>
      <c r="O2318" s="72" t="s">
        <v>43</v>
      </c>
      <c r="P2318" s="72" t="s">
        <v>33</v>
      </c>
      <c r="Q2318" s="89" t="s">
        <v>2301</v>
      </c>
    </row>
    <row r="2319" spans="1:27">
      <c r="A2319" s="216"/>
      <c r="B2319" s="217"/>
      <c r="F2319" s="88" t="s">
        <v>15</v>
      </c>
      <c r="G2319" s="112" t="s">
        <v>3383</v>
      </c>
      <c r="M2319" s="88" t="s">
        <v>3224</v>
      </c>
      <c r="N2319" s="72" t="s">
        <v>35</v>
      </c>
      <c r="O2319" s="72" t="s">
        <v>52</v>
      </c>
      <c r="P2319" s="72" t="s">
        <v>35</v>
      </c>
      <c r="Q2319" s="89" t="s">
        <v>1627</v>
      </c>
    </row>
    <row r="2320" spans="1:27">
      <c r="A2320" s="216"/>
      <c r="B2320" s="217"/>
      <c r="F2320" s="119" t="s">
        <v>17</v>
      </c>
      <c r="G2320" s="144">
        <v>46064</v>
      </c>
      <c r="M2320" s="88" t="s">
        <v>1679</v>
      </c>
      <c r="N2320" s="72" t="s">
        <v>35</v>
      </c>
      <c r="O2320" s="72" t="s">
        <v>52</v>
      </c>
      <c r="P2320" s="72" t="s">
        <v>35</v>
      </c>
      <c r="Q2320" s="89" t="s">
        <v>2745</v>
      </c>
    </row>
    <row r="2321" spans="1:27">
      <c r="A2321" s="218"/>
      <c r="B2321" s="219"/>
      <c r="F2321" s="90" t="s">
        <v>18</v>
      </c>
      <c r="G2321" s="114" t="s">
        <v>19</v>
      </c>
      <c r="M2321" s="88" t="s">
        <v>2059</v>
      </c>
      <c r="N2321" s="72" t="s">
        <v>35</v>
      </c>
      <c r="O2321" s="72" t="s">
        <v>52</v>
      </c>
      <c r="P2321" s="72" t="s">
        <v>35</v>
      </c>
      <c r="Q2321" s="89" t="s">
        <v>2746</v>
      </c>
    </row>
    <row r="2322" spans="1:27">
      <c r="M2322" s="88" t="s">
        <v>2545</v>
      </c>
      <c r="N2322" s="72" t="s">
        <v>35</v>
      </c>
      <c r="O2322" s="72" t="s">
        <v>52</v>
      </c>
      <c r="P2322" s="72" t="s">
        <v>35</v>
      </c>
      <c r="Q2322" s="89" t="s">
        <v>2963</v>
      </c>
    </row>
    <row r="2323" spans="1:27">
      <c r="M2323" s="90" t="s">
        <v>1975</v>
      </c>
      <c r="N2323" s="91" t="s">
        <v>35</v>
      </c>
      <c r="O2323" s="91" t="s">
        <v>52</v>
      </c>
      <c r="P2323" s="91" t="s">
        <v>35</v>
      </c>
      <c r="Q2323" s="92" t="s">
        <v>2866</v>
      </c>
    </row>
    <row r="2324" spans="1:27">
      <c r="M2324" s="130"/>
      <c r="N2324" s="130"/>
      <c r="O2324" s="130"/>
      <c r="P2324" s="130"/>
      <c r="Q2324" s="130"/>
    </row>
    <row r="2325" spans="1:27">
      <c r="M2325" s="130"/>
      <c r="N2325" s="130"/>
      <c r="O2325" s="130"/>
      <c r="P2325" s="130"/>
      <c r="Q2325" s="130"/>
    </row>
    <row r="2326" spans="1:27">
      <c r="M2326" s="130"/>
      <c r="N2326" s="130"/>
      <c r="O2326" s="130"/>
      <c r="P2326" s="130"/>
      <c r="Q2326" s="130"/>
    </row>
    <row r="2327" spans="1:27">
      <c r="M2327" s="130"/>
      <c r="N2327" s="130"/>
      <c r="O2327" s="130"/>
      <c r="P2327" s="130"/>
      <c r="Q2327" s="130"/>
    </row>
    <row r="2328" spans="1:27">
      <c r="M2328" s="130"/>
      <c r="N2328" s="130"/>
      <c r="O2328" s="130"/>
      <c r="P2328" s="130"/>
      <c r="Q2328" s="130"/>
    </row>
    <row r="2329" spans="1:27">
      <c r="A2329" s="214" t="s">
        <v>677</v>
      </c>
      <c r="B2329" s="215"/>
      <c r="F2329" s="85" t="s">
        <v>0</v>
      </c>
      <c r="G2329" s="118" t="s">
        <v>1</v>
      </c>
      <c r="I2329" s="85" t="s">
        <v>20</v>
      </c>
      <c r="J2329" s="86" t="s">
        <v>21</v>
      </c>
      <c r="K2329" s="87" t="s">
        <v>23</v>
      </c>
      <c r="M2329" s="85" t="s">
        <v>27</v>
      </c>
      <c r="N2329" s="86" t="s">
        <v>28</v>
      </c>
      <c r="O2329" s="86" t="s">
        <v>29</v>
      </c>
      <c r="P2329" s="86" t="s">
        <v>30</v>
      </c>
      <c r="Q2329" s="87" t="s">
        <v>31</v>
      </c>
      <c r="S2329" s="85" t="s">
        <v>56</v>
      </c>
      <c r="T2329" s="87" t="s">
        <v>57</v>
      </c>
      <c r="U2329" s="79"/>
      <c r="V2329" s="85" t="s">
        <v>68</v>
      </c>
      <c r="W2329" s="87" t="s">
        <v>69</v>
      </c>
      <c r="Y2329" s="85" t="s">
        <v>85</v>
      </c>
      <c r="Z2329" s="86" t="s">
        <v>88</v>
      </c>
      <c r="AA2329" s="87" t="s">
        <v>89</v>
      </c>
    </row>
    <row r="2330" spans="1:27">
      <c r="A2330" s="216"/>
      <c r="B2330" s="217"/>
      <c r="F2330" s="88" t="s">
        <v>2</v>
      </c>
      <c r="G2330" s="134" t="s">
        <v>677</v>
      </c>
      <c r="I2330" s="88" t="s">
        <v>24</v>
      </c>
      <c r="J2330" s="72">
        <v>7</v>
      </c>
      <c r="K2330" s="89">
        <v>220</v>
      </c>
      <c r="M2330" s="88" t="s">
        <v>3384</v>
      </c>
      <c r="N2330" s="72" t="s">
        <v>33</v>
      </c>
      <c r="O2330" s="72" t="s">
        <v>43</v>
      </c>
      <c r="P2330" s="72" t="s">
        <v>33</v>
      </c>
      <c r="Q2330" s="89" t="s">
        <v>2274</v>
      </c>
      <c r="S2330" s="88" t="s">
        <v>58</v>
      </c>
      <c r="T2330" s="89" t="s">
        <v>3350</v>
      </c>
      <c r="V2330" s="138" t="s">
        <v>70</v>
      </c>
      <c r="W2330" s="139" t="s">
        <v>2322</v>
      </c>
      <c r="Y2330" s="138" t="s">
        <v>90</v>
      </c>
      <c r="Z2330" s="137">
        <v>220</v>
      </c>
      <c r="AA2330" s="139">
        <v>150</v>
      </c>
    </row>
    <row r="2331" spans="1:27">
      <c r="A2331" s="216"/>
      <c r="B2331" s="217"/>
      <c r="F2331" s="88" t="s">
        <v>4</v>
      </c>
      <c r="G2331" s="112" t="s">
        <v>894</v>
      </c>
      <c r="I2331" s="88" t="s">
        <v>25</v>
      </c>
      <c r="J2331" s="80">
        <v>5</v>
      </c>
      <c r="K2331" s="89">
        <v>95</v>
      </c>
      <c r="M2331" s="88" t="s">
        <v>3385</v>
      </c>
      <c r="N2331" s="72" t="s">
        <v>33</v>
      </c>
      <c r="O2331" s="72" t="s">
        <v>43</v>
      </c>
      <c r="P2331" s="72" t="s">
        <v>33</v>
      </c>
      <c r="Q2331" s="89" t="s">
        <v>3248</v>
      </c>
      <c r="S2331" s="88" t="s">
        <v>60</v>
      </c>
      <c r="T2331" s="89" t="s">
        <v>3382</v>
      </c>
      <c r="V2331" s="135" t="s">
        <v>73</v>
      </c>
      <c r="W2331" s="136" t="s">
        <v>2687</v>
      </c>
      <c r="Y2331" s="88" t="s">
        <v>91</v>
      </c>
      <c r="Z2331" s="72">
        <v>95</v>
      </c>
      <c r="AA2331" s="89">
        <v>135</v>
      </c>
    </row>
    <row r="2332" spans="1:27">
      <c r="A2332" s="216"/>
      <c r="B2332" s="217"/>
      <c r="F2332" s="88" t="s">
        <v>6</v>
      </c>
      <c r="G2332" s="112" t="s">
        <v>1484</v>
      </c>
      <c r="I2332" s="90" t="s">
        <v>26</v>
      </c>
      <c r="J2332" s="91"/>
      <c r="K2332" s="92">
        <v>315</v>
      </c>
      <c r="M2332" s="88" t="s">
        <v>37</v>
      </c>
      <c r="N2332" s="72" t="s">
        <v>33</v>
      </c>
      <c r="O2332" s="72" t="s">
        <v>34</v>
      </c>
      <c r="P2332" s="72" t="s">
        <v>35</v>
      </c>
      <c r="Q2332" s="89" t="s">
        <v>1778</v>
      </c>
      <c r="S2332" s="88" t="s">
        <v>62</v>
      </c>
      <c r="T2332" s="89" t="s">
        <v>2508</v>
      </c>
      <c r="V2332" s="88" t="s">
        <v>76</v>
      </c>
      <c r="W2332" s="89" t="s">
        <v>3386</v>
      </c>
      <c r="Y2332" s="88" t="s">
        <v>26</v>
      </c>
      <c r="Z2332" s="72">
        <v>315</v>
      </c>
      <c r="AA2332" s="89">
        <v>285</v>
      </c>
    </row>
    <row r="2333" spans="1:27">
      <c r="A2333" s="216"/>
      <c r="B2333" s="217"/>
      <c r="F2333" s="88" t="s">
        <v>8</v>
      </c>
      <c r="G2333" s="112" t="s">
        <v>1913</v>
      </c>
      <c r="M2333" s="88" t="s">
        <v>1553</v>
      </c>
      <c r="N2333" s="72" t="s">
        <v>33</v>
      </c>
      <c r="O2333" s="72" t="s">
        <v>43</v>
      </c>
      <c r="P2333" s="72" t="s">
        <v>33</v>
      </c>
      <c r="Q2333" s="89" t="s">
        <v>1811</v>
      </c>
      <c r="S2333" s="119" t="s">
        <v>64</v>
      </c>
      <c r="T2333" s="120" t="s">
        <v>3294</v>
      </c>
      <c r="V2333" s="88" t="s">
        <v>79</v>
      </c>
      <c r="W2333" s="89" t="s">
        <v>1584</v>
      </c>
      <c r="Y2333" s="90" t="s">
        <v>92</v>
      </c>
      <c r="Z2333" s="91"/>
      <c r="AA2333" s="122">
        <v>0.1</v>
      </c>
    </row>
    <row r="2334" spans="1:27">
      <c r="A2334" s="216"/>
      <c r="B2334" s="217"/>
      <c r="F2334" s="88" t="s">
        <v>10</v>
      </c>
      <c r="G2334" s="112" t="s">
        <v>12</v>
      </c>
      <c r="M2334" s="88" t="s">
        <v>42</v>
      </c>
      <c r="N2334" s="72" t="s">
        <v>33</v>
      </c>
      <c r="O2334" s="72" t="s">
        <v>34</v>
      </c>
      <c r="P2334" s="72" t="s">
        <v>35</v>
      </c>
      <c r="Q2334" s="89" t="s">
        <v>2837</v>
      </c>
      <c r="S2334" s="90" t="s">
        <v>66</v>
      </c>
      <c r="T2334" s="133" t="s">
        <v>3387</v>
      </c>
      <c r="V2334" s="90" t="s">
        <v>82</v>
      </c>
      <c r="W2334" s="92" t="s">
        <v>2516</v>
      </c>
    </row>
    <row r="2335" spans="1:27">
      <c r="A2335" s="216"/>
      <c r="B2335" s="217"/>
      <c r="F2335" s="88" t="s">
        <v>13</v>
      </c>
      <c r="G2335" s="201" t="s">
        <v>3154</v>
      </c>
      <c r="M2335" s="88" t="s">
        <v>1616</v>
      </c>
      <c r="N2335" s="72" t="s">
        <v>33</v>
      </c>
      <c r="O2335" s="72" t="s">
        <v>43</v>
      </c>
      <c r="P2335" s="72" t="s">
        <v>33</v>
      </c>
      <c r="Q2335" s="89" t="s">
        <v>2301</v>
      </c>
    </row>
    <row r="2336" spans="1:27">
      <c r="A2336" s="216"/>
      <c r="B2336" s="217"/>
      <c r="F2336" s="88" t="s">
        <v>15</v>
      </c>
      <c r="G2336" s="112" t="s">
        <v>3388</v>
      </c>
      <c r="M2336" s="88" t="s">
        <v>2698</v>
      </c>
      <c r="N2336" s="72" t="s">
        <v>33</v>
      </c>
      <c r="O2336" s="72" t="s">
        <v>34</v>
      </c>
      <c r="P2336" s="72" t="s">
        <v>35</v>
      </c>
      <c r="Q2336" s="89" t="s">
        <v>2761</v>
      </c>
    </row>
    <row r="2337" spans="1:27">
      <c r="A2337" s="216"/>
      <c r="B2337" s="217"/>
      <c r="F2337" s="119" t="s">
        <v>17</v>
      </c>
      <c r="G2337" s="144">
        <v>46059</v>
      </c>
      <c r="M2337" s="88" t="s">
        <v>1972</v>
      </c>
      <c r="N2337" s="72" t="s">
        <v>35</v>
      </c>
      <c r="O2337" s="72" t="s">
        <v>52</v>
      </c>
      <c r="P2337" s="72" t="s">
        <v>35</v>
      </c>
      <c r="Q2337" s="89" t="s">
        <v>1627</v>
      </c>
    </row>
    <row r="2338" spans="1:27">
      <c r="A2338" s="218"/>
      <c r="B2338" s="219"/>
      <c r="F2338" s="90" t="s">
        <v>18</v>
      </c>
      <c r="G2338" s="114" t="s">
        <v>19</v>
      </c>
      <c r="M2338" s="88" t="s">
        <v>1679</v>
      </c>
      <c r="N2338" s="72" t="s">
        <v>35</v>
      </c>
      <c r="O2338" s="72" t="s">
        <v>52</v>
      </c>
      <c r="P2338" s="72" t="s">
        <v>35</v>
      </c>
      <c r="Q2338" s="89" t="s">
        <v>2763</v>
      </c>
    </row>
    <row r="2339" spans="1:27">
      <c r="M2339" s="88" t="s">
        <v>3225</v>
      </c>
      <c r="N2339" s="72" t="s">
        <v>35</v>
      </c>
      <c r="O2339" s="72" t="s">
        <v>52</v>
      </c>
      <c r="P2339" s="72" t="s">
        <v>35</v>
      </c>
      <c r="Q2339" s="89" t="s">
        <v>2746</v>
      </c>
    </row>
    <row r="2340" spans="1:27">
      <c r="M2340" s="88" t="s">
        <v>2545</v>
      </c>
      <c r="N2340" s="72" t="s">
        <v>35</v>
      </c>
      <c r="O2340" s="72" t="s">
        <v>52</v>
      </c>
      <c r="P2340" s="72" t="s">
        <v>35</v>
      </c>
      <c r="Q2340" s="89" t="s">
        <v>2963</v>
      </c>
    </row>
    <row r="2341" spans="1:27">
      <c r="M2341" s="90" t="s">
        <v>1975</v>
      </c>
      <c r="N2341" s="91" t="s">
        <v>35</v>
      </c>
      <c r="O2341" s="91" t="s">
        <v>52</v>
      </c>
      <c r="P2341" s="91" t="s">
        <v>35</v>
      </c>
      <c r="Q2341" s="92" t="s">
        <v>2866</v>
      </c>
    </row>
    <row r="2347" spans="1:27">
      <c r="A2347" s="214" t="s">
        <v>679</v>
      </c>
      <c r="B2347" s="215"/>
      <c r="F2347" s="85" t="s">
        <v>0</v>
      </c>
      <c r="G2347" s="118" t="s">
        <v>1</v>
      </c>
      <c r="I2347" s="85" t="s">
        <v>20</v>
      </c>
      <c r="J2347" s="86" t="s">
        <v>21</v>
      </c>
      <c r="K2347" s="87" t="s">
        <v>23</v>
      </c>
      <c r="M2347" s="85" t="s">
        <v>27</v>
      </c>
      <c r="N2347" s="86" t="s">
        <v>28</v>
      </c>
      <c r="O2347" s="86" t="s">
        <v>29</v>
      </c>
      <c r="P2347" s="86" t="s">
        <v>30</v>
      </c>
      <c r="Q2347" s="87" t="s">
        <v>31</v>
      </c>
      <c r="S2347" s="85" t="s">
        <v>56</v>
      </c>
      <c r="T2347" s="87" t="s">
        <v>57</v>
      </c>
      <c r="U2347" s="79"/>
      <c r="V2347" s="85" t="s">
        <v>68</v>
      </c>
      <c r="W2347" s="87" t="s">
        <v>69</v>
      </c>
      <c r="Y2347" s="85" t="s">
        <v>85</v>
      </c>
      <c r="Z2347" s="86" t="s">
        <v>88</v>
      </c>
      <c r="AA2347" s="87" t="s">
        <v>89</v>
      </c>
    </row>
    <row r="2348" spans="1:27">
      <c r="A2348" s="216"/>
      <c r="B2348" s="217"/>
      <c r="F2348" s="88" t="s">
        <v>2</v>
      </c>
      <c r="G2348" s="134" t="s">
        <v>679</v>
      </c>
      <c r="I2348" s="88" t="s">
        <v>24</v>
      </c>
      <c r="J2348" s="72">
        <v>8</v>
      </c>
      <c r="K2348" s="89">
        <v>245</v>
      </c>
      <c r="M2348" s="88" t="s">
        <v>3389</v>
      </c>
      <c r="N2348" s="72" t="s">
        <v>33</v>
      </c>
      <c r="O2348" s="72" t="s">
        <v>43</v>
      </c>
      <c r="P2348" s="72" t="s">
        <v>33</v>
      </c>
      <c r="Q2348" s="89" t="s">
        <v>2070</v>
      </c>
      <c r="S2348" s="88" t="s">
        <v>58</v>
      </c>
      <c r="T2348" s="89" t="s">
        <v>3390</v>
      </c>
      <c r="V2348" s="138" t="s">
        <v>70</v>
      </c>
      <c r="W2348" s="139" t="s">
        <v>3391</v>
      </c>
      <c r="Y2348" s="138" t="s">
        <v>90</v>
      </c>
      <c r="Z2348" s="137">
        <v>245</v>
      </c>
      <c r="AA2348" s="139">
        <v>165</v>
      </c>
    </row>
    <row r="2349" spans="1:27">
      <c r="A2349" s="216"/>
      <c r="B2349" s="217"/>
      <c r="F2349" s="88" t="s">
        <v>4</v>
      </c>
      <c r="G2349" s="112" t="s">
        <v>894</v>
      </c>
      <c r="I2349" s="88" t="s">
        <v>25</v>
      </c>
      <c r="J2349" s="80">
        <v>4</v>
      </c>
      <c r="K2349" s="89">
        <v>85</v>
      </c>
      <c r="M2349" s="88" t="s">
        <v>3392</v>
      </c>
      <c r="N2349" s="72" t="s">
        <v>33</v>
      </c>
      <c r="O2349" s="72" t="s">
        <v>43</v>
      </c>
      <c r="P2349" s="72" t="s">
        <v>33</v>
      </c>
      <c r="Q2349" s="89" t="s">
        <v>3393</v>
      </c>
      <c r="S2349" s="88" t="s">
        <v>60</v>
      </c>
      <c r="T2349" s="89" t="s">
        <v>3394</v>
      </c>
      <c r="V2349" s="135" t="s">
        <v>73</v>
      </c>
      <c r="W2349" s="136" t="s">
        <v>2970</v>
      </c>
      <c r="Y2349" s="88" t="s">
        <v>91</v>
      </c>
      <c r="Z2349" s="72">
        <v>85</v>
      </c>
      <c r="AA2349" s="89">
        <v>125</v>
      </c>
    </row>
    <row r="2350" spans="1:27">
      <c r="A2350" s="216"/>
      <c r="B2350" s="217"/>
      <c r="F2350" s="88" t="s">
        <v>6</v>
      </c>
      <c r="G2350" s="112" t="s">
        <v>895</v>
      </c>
      <c r="I2350" s="90" t="s">
        <v>26</v>
      </c>
      <c r="J2350" s="91"/>
      <c r="K2350" s="92">
        <v>330</v>
      </c>
      <c r="M2350" s="88" t="s">
        <v>37</v>
      </c>
      <c r="N2350" s="72" t="s">
        <v>33</v>
      </c>
      <c r="O2350" s="72" t="s">
        <v>34</v>
      </c>
      <c r="P2350" s="72" t="s">
        <v>35</v>
      </c>
      <c r="Q2350" s="89" t="s">
        <v>1665</v>
      </c>
      <c r="S2350" s="88" t="s">
        <v>62</v>
      </c>
      <c r="T2350" s="89" t="s">
        <v>2984</v>
      </c>
      <c r="V2350" s="88" t="s">
        <v>76</v>
      </c>
      <c r="W2350" s="89" t="s">
        <v>3395</v>
      </c>
      <c r="Y2350" s="88" t="s">
        <v>26</v>
      </c>
      <c r="Z2350" s="72">
        <v>330</v>
      </c>
      <c r="AA2350" s="89">
        <v>290</v>
      </c>
    </row>
    <row r="2351" spans="1:27">
      <c r="A2351" s="216"/>
      <c r="B2351" s="217"/>
      <c r="F2351" s="88" t="s">
        <v>8</v>
      </c>
      <c r="G2351" s="112" t="s">
        <v>3108</v>
      </c>
      <c r="M2351" s="88" t="s">
        <v>1135</v>
      </c>
      <c r="N2351" s="72" t="s">
        <v>33</v>
      </c>
      <c r="O2351" s="72" t="s">
        <v>43</v>
      </c>
      <c r="P2351" s="72" t="s">
        <v>33</v>
      </c>
      <c r="Q2351" s="89" t="s">
        <v>2691</v>
      </c>
      <c r="S2351" s="119" t="s">
        <v>64</v>
      </c>
      <c r="T2351" s="120" t="s">
        <v>3396</v>
      </c>
      <c r="V2351" s="88" t="s">
        <v>79</v>
      </c>
      <c r="W2351" s="89" t="s">
        <v>1584</v>
      </c>
      <c r="Y2351" s="90" t="s">
        <v>92</v>
      </c>
      <c r="Z2351" s="91"/>
      <c r="AA2351" s="122">
        <v>0.12</v>
      </c>
    </row>
    <row r="2352" spans="1:27">
      <c r="A2352" s="216"/>
      <c r="B2352" s="217"/>
      <c r="F2352" s="88" t="s">
        <v>10</v>
      </c>
      <c r="G2352" s="112" t="s">
        <v>12</v>
      </c>
      <c r="M2352" s="88" t="s">
        <v>42</v>
      </c>
      <c r="N2352" s="72" t="s">
        <v>33</v>
      </c>
      <c r="O2352" s="72" t="s">
        <v>34</v>
      </c>
      <c r="P2352" s="72" t="s">
        <v>35</v>
      </c>
      <c r="Q2352" s="89" t="s">
        <v>2837</v>
      </c>
      <c r="S2352" s="90" t="s">
        <v>66</v>
      </c>
      <c r="T2352" s="133" t="s">
        <v>3397</v>
      </c>
      <c r="V2352" s="90" t="s">
        <v>82</v>
      </c>
      <c r="W2352" s="92" t="s">
        <v>3308</v>
      </c>
    </row>
    <row r="2353" spans="1:27">
      <c r="A2353" s="216"/>
      <c r="B2353" s="217"/>
      <c r="F2353" s="88" t="s">
        <v>13</v>
      </c>
      <c r="G2353" s="201" t="s">
        <v>2437</v>
      </c>
      <c r="M2353" s="88" t="s">
        <v>1616</v>
      </c>
      <c r="N2353" s="72" t="s">
        <v>33</v>
      </c>
      <c r="O2353" s="72" t="s">
        <v>43</v>
      </c>
      <c r="P2353" s="72" t="s">
        <v>33</v>
      </c>
      <c r="Q2353" s="89" t="s">
        <v>1734</v>
      </c>
    </row>
    <row r="2354" spans="1:27">
      <c r="A2354" s="216"/>
      <c r="B2354" s="217"/>
      <c r="F2354" s="88" t="s">
        <v>15</v>
      </c>
      <c r="G2354" s="112" t="s">
        <v>3398</v>
      </c>
      <c r="M2354" s="88" t="s">
        <v>1879</v>
      </c>
      <c r="N2354" s="72" t="s">
        <v>33</v>
      </c>
      <c r="O2354" s="72" t="s">
        <v>34</v>
      </c>
      <c r="P2354" s="72" t="s">
        <v>35</v>
      </c>
      <c r="Q2354" s="89" t="s">
        <v>2404</v>
      </c>
    </row>
    <row r="2355" spans="1:27">
      <c r="A2355" s="216"/>
      <c r="B2355" s="217"/>
      <c r="F2355" s="119" t="s">
        <v>17</v>
      </c>
      <c r="G2355" s="144">
        <v>46067</v>
      </c>
      <c r="M2355" s="88" t="s">
        <v>3399</v>
      </c>
      <c r="N2355" s="72" t="s">
        <v>33</v>
      </c>
      <c r="O2355" s="72" t="s">
        <v>43</v>
      </c>
      <c r="P2355" s="72" t="s">
        <v>33</v>
      </c>
      <c r="Q2355" s="89" t="s">
        <v>2744</v>
      </c>
    </row>
    <row r="2356" spans="1:27">
      <c r="A2356" s="218"/>
      <c r="B2356" s="219"/>
      <c r="F2356" s="90" t="s">
        <v>18</v>
      </c>
      <c r="G2356" s="114" t="s">
        <v>19</v>
      </c>
      <c r="M2356" s="88" t="s">
        <v>1972</v>
      </c>
      <c r="N2356" s="72" t="s">
        <v>35</v>
      </c>
      <c r="O2356" s="72" t="s">
        <v>52</v>
      </c>
      <c r="P2356" s="72" t="s">
        <v>35</v>
      </c>
      <c r="Q2356" s="89" t="s">
        <v>1627</v>
      </c>
    </row>
    <row r="2357" spans="1:27">
      <c r="M2357" s="88" t="s">
        <v>1679</v>
      </c>
      <c r="N2357" s="72" t="s">
        <v>35</v>
      </c>
      <c r="O2357" s="72" t="s">
        <v>52</v>
      </c>
      <c r="P2357" s="72" t="s">
        <v>35</v>
      </c>
      <c r="Q2357" s="89" t="s">
        <v>2763</v>
      </c>
    </row>
    <row r="2358" spans="1:27">
      <c r="M2358" s="88" t="s">
        <v>3225</v>
      </c>
      <c r="N2358" s="72" t="s">
        <v>35</v>
      </c>
      <c r="O2358" s="72" t="s">
        <v>52</v>
      </c>
      <c r="P2358" s="72" t="s">
        <v>35</v>
      </c>
      <c r="Q2358" s="89" t="s">
        <v>2746</v>
      </c>
    </row>
    <row r="2359" spans="1:27">
      <c r="M2359" s="90" t="s">
        <v>1975</v>
      </c>
      <c r="N2359" s="91" t="s">
        <v>35</v>
      </c>
      <c r="O2359" s="91" t="s">
        <v>52</v>
      </c>
      <c r="P2359" s="91" t="s">
        <v>35</v>
      </c>
      <c r="Q2359" s="92" t="s">
        <v>2866</v>
      </c>
    </row>
    <row r="2366" spans="1:27">
      <c r="A2366" s="214" t="s">
        <v>681</v>
      </c>
      <c r="B2366" s="215"/>
      <c r="F2366" s="85" t="s">
        <v>0</v>
      </c>
      <c r="G2366" s="118" t="s">
        <v>1</v>
      </c>
      <c r="I2366" s="85" t="s">
        <v>20</v>
      </c>
      <c r="J2366" s="86" t="s">
        <v>21</v>
      </c>
      <c r="K2366" s="87" t="s">
        <v>23</v>
      </c>
      <c r="M2366" s="85" t="s">
        <v>27</v>
      </c>
      <c r="N2366" s="86" t="s">
        <v>28</v>
      </c>
      <c r="O2366" s="86" t="s">
        <v>29</v>
      </c>
      <c r="P2366" s="86" t="s">
        <v>30</v>
      </c>
      <c r="Q2366" s="87" t="s">
        <v>31</v>
      </c>
      <c r="S2366" s="85" t="s">
        <v>56</v>
      </c>
      <c r="T2366" s="87" t="s">
        <v>57</v>
      </c>
      <c r="U2366" s="79"/>
      <c r="V2366" s="85" t="s">
        <v>68</v>
      </c>
      <c r="W2366" s="87" t="s">
        <v>69</v>
      </c>
      <c r="Y2366" s="85" t="s">
        <v>85</v>
      </c>
      <c r="Z2366" s="86" t="s">
        <v>88</v>
      </c>
      <c r="AA2366" s="87" t="s">
        <v>89</v>
      </c>
    </row>
    <row r="2367" spans="1:27">
      <c r="A2367" s="216"/>
      <c r="B2367" s="217"/>
      <c r="F2367" s="88" t="s">
        <v>2</v>
      </c>
      <c r="G2367" s="134" t="s">
        <v>681</v>
      </c>
      <c r="I2367" s="88" t="s">
        <v>24</v>
      </c>
      <c r="J2367" s="72">
        <v>7</v>
      </c>
      <c r="K2367" s="89">
        <v>210</v>
      </c>
      <c r="M2367" s="88" t="s">
        <v>3400</v>
      </c>
      <c r="N2367" s="72" t="s">
        <v>33</v>
      </c>
      <c r="O2367" s="72" t="s">
        <v>43</v>
      </c>
      <c r="P2367" s="72" t="s">
        <v>33</v>
      </c>
      <c r="Q2367" s="89" t="s">
        <v>3401</v>
      </c>
      <c r="S2367" s="88" t="s">
        <v>58</v>
      </c>
      <c r="T2367" s="89" t="s">
        <v>3212</v>
      </c>
      <c r="V2367" s="138" t="s">
        <v>70</v>
      </c>
      <c r="W2367" s="139" t="s">
        <v>3402</v>
      </c>
      <c r="Y2367" s="138" t="s">
        <v>90</v>
      </c>
      <c r="Z2367" s="137">
        <v>210</v>
      </c>
      <c r="AA2367" s="139">
        <v>135</v>
      </c>
    </row>
    <row r="2368" spans="1:27">
      <c r="A2368" s="216"/>
      <c r="B2368" s="217"/>
      <c r="F2368" s="88" t="s">
        <v>4</v>
      </c>
      <c r="G2368" s="112" t="s">
        <v>894</v>
      </c>
      <c r="I2368" s="88" t="s">
        <v>25</v>
      </c>
      <c r="J2368" s="80">
        <v>5</v>
      </c>
      <c r="K2368" s="89">
        <v>100</v>
      </c>
      <c r="M2368" s="88" t="s">
        <v>3403</v>
      </c>
      <c r="N2368" s="72" t="s">
        <v>33</v>
      </c>
      <c r="O2368" s="72" t="s">
        <v>43</v>
      </c>
      <c r="P2368" s="72" t="s">
        <v>33</v>
      </c>
      <c r="Q2368" s="89" t="s">
        <v>3404</v>
      </c>
      <c r="S2368" s="88" t="s">
        <v>60</v>
      </c>
      <c r="T2368" s="89" t="s">
        <v>3405</v>
      </c>
      <c r="V2368" s="135" t="s">
        <v>73</v>
      </c>
      <c r="W2368" s="136" t="s">
        <v>2687</v>
      </c>
      <c r="Y2368" s="88" t="s">
        <v>91</v>
      </c>
      <c r="Z2368" s="72">
        <v>100</v>
      </c>
      <c r="AA2368" s="89">
        <v>140</v>
      </c>
    </row>
    <row r="2369" spans="1:27">
      <c r="A2369" s="216"/>
      <c r="B2369" s="217"/>
      <c r="F2369" s="88" t="s">
        <v>6</v>
      </c>
      <c r="G2369" s="112" t="s">
        <v>1484</v>
      </c>
      <c r="I2369" s="90" t="s">
        <v>26</v>
      </c>
      <c r="J2369" s="91"/>
      <c r="K2369" s="92">
        <v>310</v>
      </c>
      <c r="M2369" s="88" t="s">
        <v>37</v>
      </c>
      <c r="N2369" s="72" t="s">
        <v>33</v>
      </c>
      <c r="O2369" s="72" t="s">
        <v>34</v>
      </c>
      <c r="P2369" s="72" t="s">
        <v>35</v>
      </c>
      <c r="Q2369" s="89" t="s">
        <v>1778</v>
      </c>
      <c r="S2369" s="88" t="s">
        <v>62</v>
      </c>
      <c r="T2369" s="89" t="s">
        <v>3237</v>
      </c>
      <c r="V2369" s="88" t="s">
        <v>76</v>
      </c>
      <c r="W2369" s="89" t="s">
        <v>3406</v>
      </c>
      <c r="Y2369" s="88" t="s">
        <v>26</v>
      </c>
      <c r="Z2369" s="72">
        <v>310</v>
      </c>
      <c r="AA2369" s="89">
        <v>275</v>
      </c>
    </row>
    <row r="2370" spans="1:27">
      <c r="A2370" s="216"/>
      <c r="B2370" s="217"/>
      <c r="F2370" s="88" t="s">
        <v>8</v>
      </c>
      <c r="G2370" s="112" t="s">
        <v>3407</v>
      </c>
      <c r="M2370" s="88" t="s">
        <v>1553</v>
      </c>
      <c r="N2370" s="72" t="s">
        <v>33</v>
      </c>
      <c r="O2370" s="72" t="s">
        <v>43</v>
      </c>
      <c r="P2370" s="72" t="s">
        <v>33</v>
      </c>
      <c r="Q2370" s="89" t="s">
        <v>1811</v>
      </c>
      <c r="S2370" s="119" t="s">
        <v>64</v>
      </c>
      <c r="T2370" s="120" t="s">
        <v>3408</v>
      </c>
      <c r="V2370" s="88" t="s">
        <v>79</v>
      </c>
      <c r="W2370" s="89" t="s">
        <v>1584</v>
      </c>
      <c r="Y2370" s="90" t="s">
        <v>92</v>
      </c>
      <c r="Z2370" s="91"/>
      <c r="AA2370" s="122">
        <v>0.11</v>
      </c>
    </row>
    <row r="2371" spans="1:27">
      <c r="A2371" s="216"/>
      <c r="B2371" s="217"/>
      <c r="F2371" s="88" t="s">
        <v>10</v>
      </c>
      <c r="G2371" s="112" t="s">
        <v>12</v>
      </c>
      <c r="M2371" s="88" t="s">
        <v>42</v>
      </c>
      <c r="N2371" s="72" t="s">
        <v>33</v>
      </c>
      <c r="O2371" s="72" t="s">
        <v>34</v>
      </c>
      <c r="P2371" s="72" t="s">
        <v>35</v>
      </c>
      <c r="Q2371" s="89" t="s">
        <v>2837</v>
      </c>
      <c r="S2371" s="90" t="s">
        <v>66</v>
      </c>
      <c r="T2371" s="133" t="s">
        <v>3409</v>
      </c>
      <c r="V2371" s="90" t="s">
        <v>82</v>
      </c>
      <c r="W2371" s="92" t="s">
        <v>3410</v>
      </c>
    </row>
    <row r="2372" spans="1:27">
      <c r="A2372" s="216"/>
      <c r="B2372" s="217"/>
      <c r="F2372" s="88" t="s">
        <v>13</v>
      </c>
      <c r="G2372" s="201" t="s">
        <v>3097</v>
      </c>
      <c r="M2372" s="88" t="s">
        <v>2400</v>
      </c>
      <c r="N2372" s="72" t="s">
        <v>33</v>
      </c>
      <c r="O2372" s="72" t="s">
        <v>43</v>
      </c>
      <c r="P2372" s="72" t="s">
        <v>33</v>
      </c>
      <c r="Q2372" s="89" t="s">
        <v>2301</v>
      </c>
    </row>
    <row r="2373" spans="1:27">
      <c r="A2373" s="216"/>
      <c r="B2373" s="217"/>
      <c r="F2373" s="88" t="s">
        <v>15</v>
      </c>
      <c r="G2373" s="112" t="s">
        <v>3411</v>
      </c>
      <c r="M2373" s="88" t="s">
        <v>1037</v>
      </c>
      <c r="N2373" s="72" t="s">
        <v>33</v>
      </c>
      <c r="O2373" s="72" t="s">
        <v>34</v>
      </c>
      <c r="P2373" s="72" t="s">
        <v>35</v>
      </c>
      <c r="Q2373" s="89" t="s">
        <v>2869</v>
      </c>
    </row>
    <row r="2374" spans="1:27">
      <c r="A2374" s="216"/>
      <c r="B2374" s="217"/>
      <c r="F2374" s="119" t="s">
        <v>17</v>
      </c>
      <c r="G2374" s="144">
        <v>46046</v>
      </c>
      <c r="M2374" s="88" t="s">
        <v>3224</v>
      </c>
      <c r="N2374" s="72" t="s">
        <v>35</v>
      </c>
      <c r="O2374" s="72" t="s">
        <v>52</v>
      </c>
      <c r="P2374" s="72" t="s">
        <v>35</v>
      </c>
      <c r="Q2374" s="89" t="s">
        <v>1627</v>
      </c>
    </row>
    <row r="2375" spans="1:27">
      <c r="A2375" s="218"/>
      <c r="B2375" s="219"/>
      <c r="F2375" s="90" t="s">
        <v>18</v>
      </c>
      <c r="G2375" s="114" t="s">
        <v>19</v>
      </c>
      <c r="M2375" s="88" t="s">
        <v>1679</v>
      </c>
      <c r="N2375" s="72" t="s">
        <v>35</v>
      </c>
      <c r="O2375" s="72" t="s">
        <v>52</v>
      </c>
      <c r="P2375" s="72" t="s">
        <v>35</v>
      </c>
      <c r="Q2375" s="89" t="s">
        <v>2763</v>
      </c>
    </row>
    <row r="2376" spans="1:27">
      <c r="M2376" s="88" t="s">
        <v>2059</v>
      </c>
      <c r="N2376" s="72" t="s">
        <v>35</v>
      </c>
      <c r="O2376" s="72" t="s">
        <v>52</v>
      </c>
      <c r="P2376" s="72" t="s">
        <v>35</v>
      </c>
      <c r="Q2376" s="89" t="s">
        <v>2746</v>
      </c>
    </row>
    <row r="2377" spans="1:27">
      <c r="M2377" s="88" t="s">
        <v>2545</v>
      </c>
      <c r="N2377" s="72" t="s">
        <v>35</v>
      </c>
      <c r="O2377" s="72" t="s">
        <v>52</v>
      </c>
      <c r="P2377" s="72" t="s">
        <v>35</v>
      </c>
      <c r="Q2377" s="89" t="s">
        <v>2963</v>
      </c>
    </row>
    <row r="2378" spans="1:27">
      <c r="M2378" s="90" t="s">
        <v>1975</v>
      </c>
      <c r="N2378" s="91" t="s">
        <v>35</v>
      </c>
      <c r="O2378" s="91" t="s">
        <v>52</v>
      </c>
      <c r="P2378" s="91" t="s">
        <v>35</v>
      </c>
      <c r="Q2378" s="92" t="s">
        <v>2866</v>
      </c>
    </row>
    <row r="2386" spans="1:27">
      <c r="A2386" s="214" t="s">
        <v>687</v>
      </c>
      <c r="B2386" s="215"/>
      <c r="F2386" s="85" t="s">
        <v>0</v>
      </c>
      <c r="G2386" s="118" t="s">
        <v>1</v>
      </c>
      <c r="I2386" s="85" t="s">
        <v>20</v>
      </c>
      <c r="J2386" s="86" t="s">
        <v>21</v>
      </c>
      <c r="K2386" s="87" t="s">
        <v>23</v>
      </c>
      <c r="M2386" s="85" t="s">
        <v>27</v>
      </c>
      <c r="N2386" s="86" t="s">
        <v>28</v>
      </c>
      <c r="O2386" s="86" t="s">
        <v>29</v>
      </c>
      <c r="P2386" s="86" t="s">
        <v>30</v>
      </c>
      <c r="Q2386" s="87" t="s">
        <v>31</v>
      </c>
      <c r="S2386" s="85" t="s">
        <v>56</v>
      </c>
      <c r="T2386" s="87" t="s">
        <v>57</v>
      </c>
      <c r="U2386" s="79"/>
      <c r="V2386" s="85" t="s">
        <v>68</v>
      </c>
      <c r="W2386" s="87" t="s">
        <v>69</v>
      </c>
      <c r="Y2386" s="85" t="s">
        <v>85</v>
      </c>
      <c r="Z2386" s="86" t="s">
        <v>88</v>
      </c>
      <c r="AA2386" s="87" t="s">
        <v>89</v>
      </c>
    </row>
    <row r="2387" spans="1:27">
      <c r="A2387" s="216"/>
      <c r="B2387" s="217"/>
      <c r="F2387" s="88" t="s">
        <v>2</v>
      </c>
      <c r="G2387" s="134" t="s">
        <v>687</v>
      </c>
      <c r="I2387" s="88" t="s">
        <v>24</v>
      </c>
      <c r="J2387" s="72">
        <v>8</v>
      </c>
      <c r="K2387" s="89">
        <v>260</v>
      </c>
      <c r="M2387" s="88" t="s">
        <v>2952</v>
      </c>
      <c r="N2387" s="72" t="s">
        <v>33</v>
      </c>
      <c r="O2387" s="72" t="s">
        <v>43</v>
      </c>
      <c r="P2387" s="72" t="s">
        <v>33</v>
      </c>
      <c r="Q2387" s="89" t="s">
        <v>3087</v>
      </c>
      <c r="S2387" s="88" t="s">
        <v>58</v>
      </c>
      <c r="T2387" s="89" t="s">
        <v>2941</v>
      </c>
      <c r="V2387" s="138" t="s">
        <v>70</v>
      </c>
      <c r="W2387" s="139" t="s">
        <v>2955</v>
      </c>
      <c r="Y2387" s="138" t="s">
        <v>90</v>
      </c>
      <c r="Z2387" s="137">
        <v>260</v>
      </c>
      <c r="AA2387" s="139">
        <v>170</v>
      </c>
    </row>
    <row r="2388" spans="1:27">
      <c r="A2388" s="216"/>
      <c r="B2388" s="217"/>
      <c r="F2388" s="88" t="s">
        <v>4</v>
      </c>
      <c r="G2388" s="112" t="s">
        <v>894</v>
      </c>
      <c r="I2388" s="88" t="s">
        <v>25</v>
      </c>
      <c r="J2388" s="80">
        <v>4</v>
      </c>
      <c r="K2388" s="89">
        <v>90</v>
      </c>
      <c r="M2388" s="88" t="s">
        <v>3403</v>
      </c>
      <c r="N2388" s="72" t="s">
        <v>33</v>
      </c>
      <c r="O2388" s="72" t="s">
        <v>43</v>
      </c>
      <c r="P2388" s="72" t="s">
        <v>33</v>
      </c>
      <c r="Q2388" s="89" t="s">
        <v>3412</v>
      </c>
      <c r="S2388" s="88" t="s">
        <v>60</v>
      </c>
      <c r="T2388" s="89" t="s">
        <v>2956</v>
      </c>
      <c r="V2388" s="135" t="s">
        <v>73</v>
      </c>
      <c r="W2388" s="136" t="s">
        <v>2687</v>
      </c>
      <c r="Y2388" s="88" t="s">
        <v>91</v>
      </c>
      <c r="Z2388" s="72">
        <v>90</v>
      </c>
      <c r="AA2388" s="89">
        <v>130</v>
      </c>
    </row>
    <row r="2389" spans="1:27">
      <c r="A2389" s="216"/>
      <c r="B2389" s="217"/>
      <c r="F2389" s="88" t="s">
        <v>6</v>
      </c>
      <c r="G2389" s="112" t="s">
        <v>895</v>
      </c>
      <c r="I2389" s="90" t="s">
        <v>26</v>
      </c>
      <c r="J2389" s="91"/>
      <c r="K2389" s="92">
        <v>350</v>
      </c>
      <c r="M2389" s="88" t="s">
        <v>37</v>
      </c>
      <c r="N2389" s="72" t="s">
        <v>33</v>
      </c>
      <c r="O2389" s="72" t="s">
        <v>34</v>
      </c>
      <c r="P2389" s="72" t="s">
        <v>35</v>
      </c>
      <c r="Q2389" s="89" t="s">
        <v>1778</v>
      </c>
      <c r="S2389" s="88" t="s">
        <v>62</v>
      </c>
      <c r="T2389" s="89" t="s">
        <v>2508</v>
      </c>
      <c r="V2389" s="88" t="s">
        <v>76</v>
      </c>
      <c r="W2389" s="89" t="s">
        <v>3413</v>
      </c>
      <c r="Y2389" s="88" t="s">
        <v>26</v>
      </c>
      <c r="Z2389" s="72">
        <v>350</v>
      </c>
      <c r="AA2389" s="89">
        <v>300</v>
      </c>
    </row>
    <row r="2390" spans="1:27">
      <c r="A2390" s="216"/>
      <c r="B2390" s="217"/>
      <c r="F2390" s="88" t="s">
        <v>8</v>
      </c>
      <c r="G2390" s="112" t="s">
        <v>1934</v>
      </c>
      <c r="M2390" s="88" t="s">
        <v>1553</v>
      </c>
      <c r="N2390" s="72" t="s">
        <v>33</v>
      </c>
      <c r="O2390" s="72" t="s">
        <v>43</v>
      </c>
      <c r="P2390" s="72" t="s">
        <v>33</v>
      </c>
      <c r="Q2390" s="89" t="s">
        <v>2691</v>
      </c>
      <c r="S2390" s="119" t="s">
        <v>64</v>
      </c>
      <c r="T2390" s="120" t="s">
        <v>2958</v>
      </c>
      <c r="V2390" s="88" t="s">
        <v>79</v>
      </c>
      <c r="W2390" s="89" t="s">
        <v>1584</v>
      </c>
      <c r="Y2390" s="90" t="s">
        <v>92</v>
      </c>
      <c r="Z2390" s="91"/>
      <c r="AA2390" s="122">
        <v>0.14000000000000001</v>
      </c>
    </row>
    <row r="2391" spans="1:27">
      <c r="A2391" s="216"/>
      <c r="B2391" s="217"/>
      <c r="F2391" s="88" t="s">
        <v>10</v>
      </c>
      <c r="G2391" s="112" t="s">
        <v>2959</v>
      </c>
      <c r="M2391" s="88" t="s">
        <v>42</v>
      </c>
      <c r="N2391" s="72" t="s">
        <v>33</v>
      </c>
      <c r="O2391" s="72" t="s">
        <v>34</v>
      </c>
      <c r="P2391" s="72" t="s">
        <v>35</v>
      </c>
      <c r="Q2391" s="89" t="s">
        <v>2837</v>
      </c>
      <c r="S2391" s="90" t="s">
        <v>66</v>
      </c>
      <c r="T2391" s="133" t="s">
        <v>3414</v>
      </c>
      <c r="V2391" s="90" t="s">
        <v>82</v>
      </c>
      <c r="W2391" s="92" t="s">
        <v>2516</v>
      </c>
    </row>
    <row r="2392" spans="1:27">
      <c r="A2392" s="216"/>
      <c r="B2392" s="217"/>
      <c r="F2392" s="88" t="s">
        <v>13</v>
      </c>
      <c r="G2392" s="201" t="s">
        <v>2715</v>
      </c>
      <c r="M2392" s="88" t="s">
        <v>2400</v>
      </c>
      <c r="N2392" s="72" t="s">
        <v>33</v>
      </c>
      <c r="O2392" s="72" t="s">
        <v>43</v>
      </c>
      <c r="P2392" s="72" t="s">
        <v>33</v>
      </c>
      <c r="Q2392" s="89" t="s">
        <v>1734</v>
      </c>
    </row>
    <row r="2393" spans="1:27">
      <c r="A2393" s="216"/>
      <c r="B2393" s="217"/>
      <c r="F2393" s="88" t="s">
        <v>15</v>
      </c>
      <c r="G2393" s="112" t="s">
        <v>3415</v>
      </c>
      <c r="M2393" s="88" t="s">
        <v>3098</v>
      </c>
      <c r="N2393" s="72" t="s">
        <v>33</v>
      </c>
      <c r="O2393" s="72" t="s">
        <v>34</v>
      </c>
      <c r="P2393" s="72" t="s">
        <v>35</v>
      </c>
      <c r="Q2393" s="89" t="s">
        <v>2761</v>
      </c>
    </row>
    <row r="2394" spans="1:27">
      <c r="A2394" s="216"/>
      <c r="B2394" s="217"/>
      <c r="F2394" s="119" t="s">
        <v>17</v>
      </c>
      <c r="G2394" s="144">
        <v>46072</v>
      </c>
      <c r="M2394" s="88" t="s">
        <v>1923</v>
      </c>
      <c r="N2394" s="72" t="s">
        <v>33</v>
      </c>
      <c r="O2394" s="72" t="s">
        <v>43</v>
      </c>
      <c r="P2394" s="72" t="s">
        <v>33</v>
      </c>
      <c r="Q2394" s="89" t="s">
        <v>2934</v>
      </c>
    </row>
    <row r="2395" spans="1:27">
      <c r="A2395" s="218"/>
      <c r="B2395" s="219"/>
      <c r="F2395" s="90" t="s">
        <v>18</v>
      </c>
      <c r="G2395" s="114" t="s">
        <v>19</v>
      </c>
      <c r="M2395" s="88" t="s">
        <v>1972</v>
      </c>
      <c r="N2395" s="72" t="s">
        <v>35</v>
      </c>
      <c r="O2395" s="72" t="s">
        <v>52</v>
      </c>
      <c r="P2395" s="72" t="s">
        <v>35</v>
      </c>
      <c r="Q2395" s="89" t="s">
        <v>1627</v>
      </c>
    </row>
    <row r="2396" spans="1:27">
      <c r="M2396" s="88" t="s">
        <v>1679</v>
      </c>
      <c r="N2396" s="72" t="s">
        <v>35</v>
      </c>
      <c r="O2396" s="72" t="s">
        <v>52</v>
      </c>
      <c r="P2396" s="72" t="s">
        <v>35</v>
      </c>
      <c r="Q2396" s="89" t="s">
        <v>2763</v>
      </c>
    </row>
    <row r="2397" spans="1:27">
      <c r="M2397" s="88" t="s">
        <v>2059</v>
      </c>
      <c r="N2397" s="72" t="s">
        <v>35</v>
      </c>
      <c r="O2397" s="72" t="s">
        <v>52</v>
      </c>
      <c r="P2397" s="72" t="s">
        <v>35</v>
      </c>
      <c r="Q2397" s="89" t="s">
        <v>2746</v>
      </c>
    </row>
    <row r="2398" spans="1:27">
      <c r="M2398" s="90" t="s">
        <v>1975</v>
      </c>
      <c r="N2398" s="91" t="s">
        <v>35</v>
      </c>
      <c r="O2398" s="91" t="s">
        <v>52</v>
      </c>
      <c r="P2398" s="91" t="s">
        <v>35</v>
      </c>
      <c r="Q2398" s="92" t="s">
        <v>2866</v>
      </c>
    </row>
  </sheetData>
  <mergeCells count="156">
    <mergeCell ref="A2312:B2321"/>
    <mergeCell ref="A2329:B2338"/>
    <mergeCell ref="A2347:B2356"/>
    <mergeCell ref="A2366:B2375"/>
    <mergeCell ref="A2386:B2395"/>
    <mergeCell ref="A2161:B2170"/>
    <mergeCell ref="A2182:B2191"/>
    <mergeCell ref="A2200:B2209"/>
    <mergeCell ref="A2218:B2227"/>
    <mergeCell ref="A2237:B2246"/>
    <mergeCell ref="A2254:B2263"/>
    <mergeCell ref="A2274:B2283"/>
    <mergeCell ref="A2293:B2302"/>
    <mergeCell ref="A1992:B2001"/>
    <mergeCell ref="A2009:B2018"/>
    <mergeCell ref="A2027:B2036"/>
    <mergeCell ref="A2046:B2055"/>
    <mergeCell ref="A2064:B2073"/>
    <mergeCell ref="A2083:B2092"/>
    <mergeCell ref="A2102:B2111"/>
    <mergeCell ref="A2122:B2131"/>
    <mergeCell ref="A2142:B2151"/>
    <mergeCell ref="A1840:B1849"/>
    <mergeCell ref="A1858:B1867"/>
    <mergeCell ref="A1878:B1887"/>
    <mergeCell ref="A1898:B1907"/>
    <mergeCell ref="A1915:B1924"/>
    <mergeCell ref="A1936:B1945"/>
    <mergeCell ref="A1955:B1964"/>
    <mergeCell ref="A1974:B1983"/>
    <mergeCell ref="A1698:B1707"/>
    <mergeCell ref="A1717:B1726"/>
    <mergeCell ref="A1736:B1745"/>
    <mergeCell ref="A1753:B1762"/>
    <mergeCell ref="A1769:B1778"/>
    <mergeCell ref="A1787:B1796"/>
    <mergeCell ref="A1804:B1813"/>
    <mergeCell ref="A1821:B1830"/>
    <mergeCell ref="A1555:B1564"/>
    <mergeCell ref="A1575:B1584"/>
    <mergeCell ref="A1486:B1495"/>
    <mergeCell ref="A1502:B1511"/>
    <mergeCell ref="A1245:B1254"/>
    <mergeCell ref="A1263:B1272"/>
    <mergeCell ref="A1280:B1289"/>
    <mergeCell ref="A1157:B1166"/>
    <mergeCell ref="A1175:B1184"/>
    <mergeCell ref="A1192:B1201"/>
    <mergeCell ref="A1211:B1220"/>
    <mergeCell ref="A1229:B1238"/>
    <mergeCell ref="A1467:B1476"/>
    <mergeCell ref="A1432:B1441"/>
    <mergeCell ref="A1452:B1461"/>
    <mergeCell ref="A1114:B1123"/>
    <mergeCell ref="A1059:B1068"/>
    <mergeCell ref="A1073:B1082"/>
    <mergeCell ref="A1086:B1095"/>
    <mergeCell ref="A1100:B1109"/>
    <mergeCell ref="A1003:B1012"/>
    <mergeCell ref="A1017:B1026"/>
    <mergeCell ref="A1031:B1040"/>
    <mergeCell ref="A1045:B1054"/>
    <mergeCell ref="J3:K3"/>
    <mergeCell ref="J4:K4"/>
    <mergeCell ref="J5:K5"/>
    <mergeCell ref="J6:K6"/>
    <mergeCell ref="A934:B943"/>
    <mergeCell ref="A948:B957"/>
    <mergeCell ref="A73:B82"/>
    <mergeCell ref="A9:B9"/>
    <mergeCell ref="A10:B18"/>
    <mergeCell ref="A21:B30"/>
    <mergeCell ref="A33:B42"/>
    <mergeCell ref="A47:B56"/>
    <mergeCell ref="A59:B68"/>
    <mergeCell ref="A506:B515"/>
    <mergeCell ref="A520:B529"/>
    <mergeCell ref="A422:B431"/>
    <mergeCell ref="A435:B444"/>
    <mergeCell ref="A449:B458"/>
    <mergeCell ref="A463:B472"/>
    <mergeCell ref="A491:B500"/>
    <mergeCell ref="A157:B166"/>
    <mergeCell ref="A173:B182"/>
    <mergeCell ref="A191:B200"/>
    <mergeCell ref="A645:B654"/>
    <mergeCell ref="A86:B95"/>
    <mergeCell ref="A99:B108"/>
    <mergeCell ref="A113:B122"/>
    <mergeCell ref="A127:B136"/>
    <mergeCell ref="A142:B151"/>
    <mergeCell ref="A1143:B1152"/>
    <mergeCell ref="A1128:B1137"/>
    <mergeCell ref="A392:B401"/>
    <mergeCell ref="A406:B415"/>
    <mergeCell ref="A240:B249"/>
    <mergeCell ref="A258:B267"/>
    <mergeCell ref="A271:B280"/>
    <mergeCell ref="A284:B293"/>
    <mergeCell ref="A365:B374"/>
    <mergeCell ref="A379:B388"/>
    <mergeCell ref="A297:B306"/>
    <mergeCell ref="A311:B320"/>
    <mergeCell ref="A324:B333"/>
    <mergeCell ref="A337:B346"/>
    <mergeCell ref="A351:B360"/>
    <mergeCell ref="A478:B487"/>
    <mergeCell ref="A534:B543"/>
    <mergeCell ref="A920:B929"/>
    <mergeCell ref="A975:B984"/>
    <mergeCell ref="A700:B709"/>
    <mergeCell ref="A713:B722"/>
    <mergeCell ref="A727:B736"/>
    <mergeCell ref="A740:B749"/>
    <mergeCell ref="A753:B762"/>
    <mergeCell ref="A989:B998"/>
    <mergeCell ref="A208:B217"/>
    <mergeCell ref="A224:B233"/>
    <mergeCell ref="A659:B668"/>
    <mergeCell ref="A673:B682"/>
    <mergeCell ref="A962:B971"/>
    <mergeCell ref="A767:B776"/>
    <mergeCell ref="A781:B790"/>
    <mergeCell ref="A795:B804"/>
    <mergeCell ref="A809:B818"/>
    <mergeCell ref="A822:B831"/>
    <mergeCell ref="A836:B845"/>
    <mergeCell ref="A850:B859"/>
    <mergeCell ref="A864:B873"/>
    <mergeCell ref="A892:B901"/>
    <mergeCell ref="A906:B915"/>
    <mergeCell ref="A878:B887"/>
    <mergeCell ref="A1593:B1602"/>
    <mergeCell ref="A1611:B1620"/>
    <mergeCell ref="A1629:B1638"/>
    <mergeCell ref="A1648:B1657"/>
    <mergeCell ref="A1665:B1674"/>
    <mergeCell ref="A1682:B1691"/>
    <mergeCell ref="A548:B557"/>
    <mergeCell ref="A1520:B1529"/>
    <mergeCell ref="A1538:B1547"/>
    <mergeCell ref="A562:B571"/>
    <mergeCell ref="A576:B585"/>
    <mergeCell ref="A589:B598"/>
    <mergeCell ref="A603:B612"/>
    <mergeCell ref="A617:B626"/>
    <mergeCell ref="A631:B640"/>
    <mergeCell ref="A1385:B1394"/>
    <mergeCell ref="A1401:B1410"/>
    <mergeCell ref="A1416:B1425"/>
    <mergeCell ref="A1295:B1304"/>
    <mergeCell ref="A1314:B1323"/>
    <mergeCell ref="A1331:B1340"/>
    <mergeCell ref="A1348:B1357"/>
    <mergeCell ref="A1367:B1376"/>
    <mergeCell ref="A687:B696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69D6-FC97-44FA-B560-E9A1D38A16E7}">
  <dimension ref="B2:M6"/>
  <sheetViews>
    <sheetView workbookViewId="0">
      <selection activeCell="J18" sqref="J18"/>
    </sheetView>
  </sheetViews>
  <sheetFormatPr defaultRowHeight="15"/>
  <cols>
    <col min="1" max="1" width="9.140625" style="150"/>
    <col min="2" max="2" width="21.42578125" style="150" bestFit="1" customWidth="1"/>
    <col min="3" max="3" width="21.140625" style="150" customWidth="1"/>
    <col min="4" max="4" width="21" style="150" customWidth="1"/>
    <col min="5" max="5" width="9.140625" style="150"/>
    <col min="6" max="6" width="23" style="150" bestFit="1" customWidth="1"/>
    <col min="7" max="7" width="18.85546875" style="150" customWidth="1"/>
    <col min="8" max="8" width="15.5703125" style="150" bestFit="1" customWidth="1"/>
    <col min="9" max="9" width="9.140625" style="150"/>
    <col min="10" max="10" width="18.28515625" style="150" customWidth="1"/>
    <col min="11" max="11" width="20.42578125" style="150" customWidth="1"/>
    <col min="12" max="12" width="15.7109375" style="150" customWidth="1"/>
    <col min="13" max="13" width="16.5703125" style="150" customWidth="1"/>
    <col min="14" max="16384" width="9.140625" style="150"/>
  </cols>
  <sheetData>
    <row r="2" spans="2:13" s="151" customFormat="1" ht="15.75">
      <c r="B2" s="232" t="s">
        <v>3416</v>
      </c>
      <c r="C2" s="233"/>
      <c r="D2" s="234"/>
      <c r="F2" s="235" t="s">
        <v>3417</v>
      </c>
      <c r="G2" s="236"/>
      <c r="H2" s="237"/>
      <c r="J2" s="238" t="s">
        <v>3418</v>
      </c>
      <c r="K2" s="236"/>
      <c r="L2" s="239"/>
      <c r="M2" s="240"/>
    </row>
    <row r="3" spans="2:13" s="170" customFormat="1" ht="12">
      <c r="B3" s="171" t="s">
        <v>3419</v>
      </c>
      <c r="C3" s="172" t="s">
        <v>23</v>
      </c>
      <c r="D3" s="173" t="s">
        <v>3420</v>
      </c>
      <c r="F3" s="171" t="s">
        <v>3419</v>
      </c>
      <c r="G3" s="172" t="s">
        <v>23</v>
      </c>
      <c r="H3" s="173" t="s">
        <v>3420</v>
      </c>
      <c r="J3" s="172" t="s">
        <v>85</v>
      </c>
      <c r="K3" s="174" t="s">
        <v>86</v>
      </c>
      <c r="L3" s="175" t="s">
        <v>87</v>
      </c>
      <c r="M3" s="172" t="s">
        <v>3421</v>
      </c>
    </row>
    <row r="4" spans="2:13" s="152" customFormat="1" ht="12.75">
      <c r="B4" s="153" t="s">
        <v>90</v>
      </c>
      <c r="C4" s="154" t="s">
        <v>3422</v>
      </c>
      <c r="D4" s="155" t="s">
        <v>3423</v>
      </c>
      <c r="F4" s="156" t="s">
        <v>90</v>
      </c>
      <c r="G4" s="157" t="s">
        <v>3424</v>
      </c>
      <c r="H4" s="158" t="s">
        <v>3425</v>
      </c>
      <c r="J4" s="157" t="s">
        <v>90</v>
      </c>
      <c r="K4" s="158" t="s">
        <v>3422</v>
      </c>
      <c r="L4" s="159" t="s">
        <v>3424</v>
      </c>
      <c r="M4" s="157" t="s">
        <v>3426</v>
      </c>
    </row>
    <row r="5" spans="2:13" s="152" customFormat="1" ht="12.75">
      <c r="B5" s="160" t="s">
        <v>91</v>
      </c>
      <c r="C5" s="161" t="s">
        <v>3427</v>
      </c>
      <c r="D5" s="162" t="s">
        <v>3428</v>
      </c>
      <c r="F5" s="156" t="s">
        <v>91</v>
      </c>
      <c r="G5" s="157" t="s">
        <v>3429</v>
      </c>
      <c r="H5" s="158" t="s">
        <v>3430</v>
      </c>
      <c r="J5" s="157" t="s">
        <v>91</v>
      </c>
      <c r="K5" s="158" t="s">
        <v>3427</v>
      </c>
      <c r="L5" s="159" t="s">
        <v>3429</v>
      </c>
      <c r="M5" s="157" t="s">
        <v>3431</v>
      </c>
    </row>
    <row r="6" spans="2:13" s="152" customFormat="1" ht="12.75">
      <c r="B6" s="163" t="s">
        <v>26</v>
      </c>
      <c r="C6" s="164" t="s">
        <v>3432</v>
      </c>
      <c r="D6" s="165" t="s">
        <v>3433</v>
      </c>
      <c r="F6" s="166" t="s">
        <v>26</v>
      </c>
      <c r="G6" s="167" t="s">
        <v>3434</v>
      </c>
      <c r="H6" s="168" t="s">
        <v>3435</v>
      </c>
      <c r="J6" s="167" t="s">
        <v>22</v>
      </c>
      <c r="K6" s="168" t="s">
        <v>3432</v>
      </c>
      <c r="L6" s="169" t="s">
        <v>3434</v>
      </c>
      <c r="M6" s="167" t="s">
        <v>3436</v>
      </c>
    </row>
  </sheetData>
  <mergeCells count="3">
    <mergeCell ref="B2:D2"/>
    <mergeCell ref="F2:H2"/>
    <mergeCell ref="J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DF65-AC2E-4345-BDFE-43D6FBCC1B4A}">
  <dimension ref="E7:I816"/>
  <sheetViews>
    <sheetView workbookViewId="0">
      <selection activeCell="K12" sqref="K12"/>
    </sheetView>
  </sheetViews>
  <sheetFormatPr defaultRowHeight="15"/>
  <cols>
    <col min="5" max="5" width="28.42578125" bestFit="1" customWidth="1"/>
    <col min="6" max="6" width="19" customWidth="1"/>
    <col min="7" max="7" width="29.7109375" customWidth="1"/>
    <col min="8" max="8" width="24.85546875" customWidth="1"/>
    <col min="9" max="9" width="36.5703125" bestFit="1" customWidth="1"/>
  </cols>
  <sheetData>
    <row r="7" spans="5:9">
      <c r="E7" s="196" t="s">
        <v>35</v>
      </c>
      <c r="F7" s="197" t="s">
        <v>28</v>
      </c>
      <c r="G7" s="198" t="s">
        <v>29</v>
      </c>
      <c r="H7" s="197" t="s">
        <v>30</v>
      </c>
      <c r="I7" s="199" t="s">
        <v>31</v>
      </c>
    </row>
    <row r="8" spans="5:9">
      <c r="E8" s="186" t="s">
        <v>32</v>
      </c>
      <c r="F8" s="187" t="s">
        <v>33</v>
      </c>
      <c r="G8" s="188" t="s">
        <v>34</v>
      </c>
      <c r="H8" s="187" t="s">
        <v>35</v>
      </c>
      <c r="I8" s="194" t="s">
        <v>36</v>
      </c>
    </row>
    <row r="9" spans="5:9">
      <c r="E9" s="186" t="s">
        <v>37</v>
      </c>
      <c r="F9" s="187" t="s">
        <v>33</v>
      </c>
      <c r="G9" s="188" t="s">
        <v>34</v>
      </c>
      <c r="H9" s="187" t="s">
        <v>35</v>
      </c>
      <c r="I9" s="194" t="s">
        <v>39</v>
      </c>
    </row>
    <row r="10" spans="5:9">
      <c r="E10" s="186" t="s">
        <v>40</v>
      </c>
      <c r="F10" s="187" t="s">
        <v>33</v>
      </c>
      <c r="G10" s="188" t="s">
        <v>34</v>
      </c>
      <c r="H10" s="187" t="s">
        <v>35</v>
      </c>
      <c r="I10" s="194" t="s">
        <v>41</v>
      </c>
    </row>
    <row r="11" spans="5:9">
      <c r="E11" s="186" t="s">
        <v>42</v>
      </c>
      <c r="F11" s="187" t="s">
        <v>33</v>
      </c>
      <c r="G11" s="188" t="s">
        <v>43</v>
      </c>
      <c r="H11" s="187" t="s">
        <v>33</v>
      </c>
      <c r="I11" s="194" t="s">
        <v>44</v>
      </c>
    </row>
    <row r="12" spans="5:9">
      <c r="E12" s="186" t="s">
        <v>45</v>
      </c>
      <c r="F12" s="187" t="s">
        <v>33</v>
      </c>
      <c r="G12" s="188" t="s">
        <v>43</v>
      </c>
      <c r="H12" s="187" t="s">
        <v>33</v>
      </c>
      <c r="I12" s="194" t="s">
        <v>46</v>
      </c>
    </row>
    <row r="13" spans="5:9">
      <c r="E13" s="186" t="s">
        <v>47</v>
      </c>
      <c r="F13" s="187" t="s">
        <v>33</v>
      </c>
      <c r="G13" s="188" t="s">
        <v>34</v>
      </c>
      <c r="H13" s="187" t="s">
        <v>33</v>
      </c>
      <c r="I13" s="194" t="s">
        <v>48</v>
      </c>
    </row>
    <row r="14" spans="5:9">
      <c r="E14" s="186" t="s">
        <v>49</v>
      </c>
      <c r="F14" s="187" t="s">
        <v>33</v>
      </c>
      <c r="G14" s="188" t="s">
        <v>43</v>
      </c>
      <c r="H14" s="187" t="s">
        <v>33</v>
      </c>
      <c r="I14" s="194" t="s">
        <v>50</v>
      </c>
    </row>
    <row r="15" spans="5:9">
      <c r="E15" s="186" t="s">
        <v>51</v>
      </c>
      <c r="F15" s="187" t="s">
        <v>35</v>
      </c>
      <c r="G15" s="189" t="s">
        <v>52</v>
      </c>
      <c r="H15" s="187" t="s">
        <v>35</v>
      </c>
      <c r="I15" s="194" t="s">
        <v>53</v>
      </c>
    </row>
    <row r="16" spans="5:9">
      <c r="E16" s="186" t="s">
        <v>899</v>
      </c>
      <c r="F16" s="187" t="s">
        <v>33</v>
      </c>
      <c r="G16" s="188" t="s">
        <v>43</v>
      </c>
      <c r="H16" s="187" t="s">
        <v>33</v>
      </c>
      <c r="I16" s="194" t="s">
        <v>900</v>
      </c>
    </row>
    <row r="17" spans="5:9">
      <c r="E17" s="186" t="s">
        <v>903</v>
      </c>
      <c r="F17" s="187" t="s">
        <v>33</v>
      </c>
      <c r="G17" s="188" t="s">
        <v>43</v>
      </c>
      <c r="H17" s="187" t="s">
        <v>33</v>
      </c>
      <c r="I17" s="194" t="s">
        <v>904</v>
      </c>
    </row>
    <row r="18" spans="5:9">
      <c r="E18" s="186" t="s">
        <v>907</v>
      </c>
      <c r="F18" s="187" t="s">
        <v>33</v>
      </c>
      <c r="G18" s="188" t="s">
        <v>34</v>
      </c>
      <c r="H18" s="187" t="s">
        <v>35</v>
      </c>
      <c r="I18" s="194" t="s">
        <v>908</v>
      </c>
    </row>
    <row r="19" spans="5:9">
      <c r="E19" s="186" t="s">
        <v>42</v>
      </c>
      <c r="F19" s="187" t="s">
        <v>33</v>
      </c>
      <c r="G19" s="188" t="s">
        <v>43</v>
      </c>
      <c r="H19" s="187" t="s">
        <v>33</v>
      </c>
      <c r="I19" s="194" t="s">
        <v>912</v>
      </c>
    </row>
    <row r="20" spans="5:9">
      <c r="E20" s="186" t="s">
        <v>916</v>
      </c>
      <c r="F20" s="187" t="s">
        <v>33</v>
      </c>
      <c r="G20" s="188" t="s">
        <v>43</v>
      </c>
      <c r="H20" s="187" t="s">
        <v>33</v>
      </c>
      <c r="I20" s="194" t="s">
        <v>917</v>
      </c>
    </row>
    <row r="21" spans="5:9">
      <c r="E21" s="186" t="s">
        <v>921</v>
      </c>
      <c r="F21" s="187" t="s">
        <v>35</v>
      </c>
      <c r="G21" s="189" t="s">
        <v>52</v>
      </c>
      <c r="H21" s="187" t="s">
        <v>35</v>
      </c>
      <c r="I21" s="194" t="s">
        <v>922</v>
      </c>
    </row>
    <row r="22" spans="5:9">
      <c r="E22" s="186" t="s">
        <v>924</v>
      </c>
      <c r="F22" s="187" t="s">
        <v>35</v>
      </c>
      <c r="G22" s="189" t="s">
        <v>52</v>
      </c>
      <c r="H22" s="187" t="s">
        <v>35</v>
      </c>
      <c r="I22" s="194" t="s">
        <v>925</v>
      </c>
    </row>
    <row r="23" spans="5:9">
      <c r="E23" s="186" t="s">
        <v>926</v>
      </c>
      <c r="F23" s="187" t="s">
        <v>33</v>
      </c>
      <c r="G23" s="188" t="s">
        <v>34</v>
      </c>
      <c r="H23" s="187" t="s">
        <v>35</v>
      </c>
      <c r="I23" s="194" t="s">
        <v>927</v>
      </c>
    </row>
    <row r="24" spans="5:9">
      <c r="E24" s="186" t="s">
        <v>928</v>
      </c>
      <c r="F24" s="187" t="s">
        <v>33</v>
      </c>
      <c r="G24" s="188" t="s">
        <v>34</v>
      </c>
      <c r="H24" s="187" t="s">
        <v>33</v>
      </c>
      <c r="I24" s="194" t="s">
        <v>929</v>
      </c>
    </row>
    <row r="25" spans="5:9">
      <c r="E25" s="186" t="s">
        <v>931</v>
      </c>
      <c r="F25" s="187" t="s">
        <v>33</v>
      </c>
      <c r="G25" s="188" t="s">
        <v>34</v>
      </c>
      <c r="H25" s="187" t="s">
        <v>35</v>
      </c>
      <c r="I25" s="194" t="s">
        <v>932</v>
      </c>
    </row>
    <row r="26" spans="5:9">
      <c r="E26" s="186" t="s">
        <v>37</v>
      </c>
      <c r="F26" s="187" t="s">
        <v>33</v>
      </c>
      <c r="G26" s="188" t="s">
        <v>34</v>
      </c>
      <c r="H26" s="187" t="s">
        <v>35</v>
      </c>
      <c r="I26" s="194" t="s">
        <v>935</v>
      </c>
    </row>
    <row r="27" spans="5:9">
      <c r="E27" s="186" t="s">
        <v>938</v>
      </c>
      <c r="F27" s="187" t="s">
        <v>33</v>
      </c>
      <c r="G27" s="188" t="s">
        <v>43</v>
      </c>
      <c r="H27" s="187" t="s">
        <v>33</v>
      </c>
      <c r="I27" s="194" t="s">
        <v>939</v>
      </c>
    </row>
    <row r="28" spans="5:9">
      <c r="E28" s="186" t="s">
        <v>42</v>
      </c>
      <c r="F28" s="187" t="s">
        <v>33</v>
      </c>
      <c r="G28" s="188" t="s">
        <v>43</v>
      </c>
      <c r="H28" s="187" t="s">
        <v>33</v>
      </c>
      <c r="I28" s="194" t="s">
        <v>943</v>
      </c>
    </row>
    <row r="29" spans="5:9">
      <c r="E29" s="186" t="s">
        <v>45</v>
      </c>
      <c r="F29" s="187" t="s">
        <v>33</v>
      </c>
      <c r="G29" s="188" t="s">
        <v>43</v>
      </c>
      <c r="H29" s="187" t="s">
        <v>33</v>
      </c>
      <c r="I29" s="194" t="s">
        <v>946</v>
      </c>
    </row>
    <row r="30" spans="5:9">
      <c r="E30" s="186" t="s">
        <v>950</v>
      </c>
      <c r="F30" s="187" t="s">
        <v>33</v>
      </c>
      <c r="G30" s="188" t="s">
        <v>34</v>
      </c>
      <c r="H30" s="187" t="s">
        <v>33</v>
      </c>
      <c r="I30" s="194" t="s">
        <v>951</v>
      </c>
    </row>
    <row r="31" spans="5:9">
      <c r="E31" s="186" t="s">
        <v>49</v>
      </c>
      <c r="F31" s="187" t="s">
        <v>33</v>
      </c>
      <c r="G31" s="188" t="s">
        <v>43</v>
      </c>
      <c r="H31" s="187" t="s">
        <v>33</v>
      </c>
      <c r="I31" s="194" t="s">
        <v>952</v>
      </c>
    </row>
    <row r="32" spans="5:9">
      <c r="E32" s="186" t="s">
        <v>924</v>
      </c>
      <c r="F32" s="187" t="s">
        <v>35</v>
      </c>
      <c r="G32" s="189" t="s">
        <v>52</v>
      </c>
      <c r="H32" s="187" t="s">
        <v>35</v>
      </c>
      <c r="I32" s="194" t="s">
        <v>953</v>
      </c>
    </row>
    <row r="33" spans="5:9">
      <c r="E33" s="186" t="s">
        <v>54</v>
      </c>
      <c r="F33" s="187" t="s">
        <v>35</v>
      </c>
      <c r="G33" s="189" t="s">
        <v>52</v>
      </c>
      <c r="H33" s="187" t="s">
        <v>35</v>
      </c>
      <c r="I33" s="194" t="s">
        <v>954</v>
      </c>
    </row>
    <row r="34" spans="5:9">
      <c r="E34" s="190" t="s">
        <v>955</v>
      </c>
      <c r="F34" s="187" t="s">
        <v>33</v>
      </c>
      <c r="G34" s="188" t="s">
        <v>34</v>
      </c>
      <c r="H34" s="187" t="s">
        <v>35</v>
      </c>
      <c r="I34" s="194" t="s">
        <v>956</v>
      </c>
    </row>
    <row r="35" spans="5:9">
      <c r="E35" s="186" t="s">
        <v>958</v>
      </c>
      <c r="F35" s="187" t="s">
        <v>33</v>
      </c>
      <c r="G35" s="188" t="s">
        <v>34</v>
      </c>
      <c r="H35" s="187" t="s">
        <v>35</v>
      </c>
      <c r="I35" s="194" t="s">
        <v>959</v>
      </c>
    </row>
    <row r="36" spans="5:9">
      <c r="E36" s="186" t="s">
        <v>37</v>
      </c>
      <c r="F36" s="187" t="s">
        <v>33</v>
      </c>
      <c r="G36" s="188" t="s">
        <v>34</v>
      </c>
      <c r="H36" s="187" t="s">
        <v>35</v>
      </c>
      <c r="I36" s="194" t="s">
        <v>962</v>
      </c>
    </row>
    <row r="37" spans="5:9">
      <c r="E37" s="186" t="s">
        <v>965</v>
      </c>
      <c r="F37" s="187" t="s">
        <v>33</v>
      </c>
      <c r="G37" s="188" t="s">
        <v>34</v>
      </c>
      <c r="H37" s="187" t="s">
        <v>35</v>
      </c>
      <c r="I37" s="194" t="s">
        <v>966</v>
      </c>
    </row>
    <row r="38" spans="5:9">
      <c r="E38" s="186" t="s">
        <v>42</v>
      </c>
      <c r="F38" s="187" t="s">
        <v>33</v>
      </c>
      <c r="G38" s="188" t="s">
        <v>43</v>
      </c>
      <c r="H38" s="187" t="s">
        <v>33</v>
      </c>
      <c r="I38" s="194" t="s">
        <v>969</v>
      </c>
    </row>
    <row r="39" spans="5:9">
      <c r="E39" s="186" t="s">
        <v>45</v>
      </c>
      <c r="F39" s="187" t="s">
        <v>33</v>
      </c>
      <c r="G39" s="188" t="s">
        <v>43</v>
      </c>
      <c r="H39" s="187" t="s">
        <v>33</v>
      </c>
      <c r="I39" s="194" t="s">
        <v>971</v>
      </c>
    </row>
    <row r="40" spans="5:9">
      <c r="E40" s="186" t="s">
        <v>47</v>
      </c>
      <c r="F40" s="187" t="s">
        <v>33</v>
      </c>
      <c r="G40" s="188" t="s">
        <v>34</v>
      </c>
      <c r="H40" s="187" t="s">
        <v>33</v>
      </c>
      <c r="I40" s="194" t="s">
        <v>975</v>
      </c>
    </row>
    <row r="41" spans="5:9">
      <c r="E41" s="186" t="s">
        <v>977</v>
      </c>
      <c r="F41" s="187" t="s">
        <v>33</v>
      </c>
      <c r="G41" s="188" t="s">
        <v>43</v>
      </c>
      <c r="H41" s="187" t="s">
        <v>33</v>
      </c>
      <c r="I41" s="194" t="s">
        <v>978</v>
      </c>
    </row>
    <row r="42" spans="5:9">
      <c r="E42" s="186" t="s">
        <v>979</v>
      </c>
      <c r="F42" s="187" t="s">
        <v>35</v>
      </c>
      <c r="G42" s="189" t="s">
        <v>52</v>
      </c>
      <c r="H42" s="187" t="s">
        <v>35</v>
      </c>
      <c r="I42" s="194" t="s">
        <v>980</v>
      </c>
    </row>
    <row r="43" spans="5:9">
      <c r="E43" s="186" t="s">
        <v>54</v>
      </c>
      <c r="F43" s="187" t="s">
        <v>35</v>
      </c>
      <c r="G43" s="189" t="s">
        <v>52</v>
      </c>
      <c r="H43" s="187" t="s">
        <v>35</v>
      </c>
      <c r="I43" s="194" t="s">
        <v>981</v>
      </c>
    </row>
    <row r="44" spans="5:9">
      <c r="E44" s="186" t="s">
        <v>983</v>
      </c>
      <c r="F44" s="187" t="s">
        <v>33</v>
      </c>
      <c r="G44" s="188" t="s">
        <v>34</v>
      </c>
      <c r="H44" s="187" t="s">
        <v>35</v>
      </c>
      <c r="I44" s="194" t="s">
        <v>984</v>
      </c>
    </row>
    <row r="45" spans="5:9">
      <c r="E45" s="186" t="s">
        <v>37</v>
      </c>
      <c r="F45" s="187" t="s">
        <v>33</v>
      </c>
      <c r="G45" s="188" t="s">
        <v>34</v>
      </c>
      <c r="H45" s="187" t="s">
        <v>35</v>
      </c>
      <c r="I45" s="194" t="s">
        <v>987</v>
      </c>
    </row>
    <row r="46" spans="5:9">
      <c r="E46" s="186" t="s">
        <v>990</v>
      </c>
      <c r="F46" s="187" t="s">
        <v>33</v>
      </c>
      <c r="G46" s="188" t="s">
        <v>43</v>
      </c>
      <c r="H46" s="187" t="s">
        <v>33</v>
      </c>
      <c r="I46" s="194" t="s">
        <v>991</v>
      </c>
    </row>
    <row r="47" spans="5:9">
      <c r="E47" s="186" t="s">
        <v>42</v>
      </c>
      <c r="F47" s="187" t="s">
        <v>33</v>
      </c>
      <c r="G47" s="188" t="s">
        <v>43</v>
      </c>
      <c r="H47" s="187" t="s">
        <v>33</v>
      </c>
      <c r="I47" s="194" t="s">
        <v>994</v>
      </c>
    </row>
    <row r="48" spans="5:9">
      <c r="E48" s="186" t="s">
        <v>45</v>
      </c>
      <c r="F48" s="187" t="s">
        <v>33</v>
      </c>
      <c r="G48" s="188" t="s">
        <v>43</v>
      </c>
      <c r="H48" s="187" t="s">
        <v>33</v>
      </c>
      <c r="I48" s="194" t="s">
        <v>46</v>
      </c>
    </row>
    <row r="49" spans="5:9">
      <c r="E49" s="186" t="s">
        <v>1000</v>
      </c>
      <c r="F49" s="187" t="s">
        <v>33</v>
      </c>
      <c r="G49" s="188" t="s">
        <v>34</v>
      </c>
      <c r="H49" s="187" t="s">
        <v>33</v>
      </c>
      <c r="I49" s="194" t="s">
        <v>1001</v>
      </c>
    </row>
    <row r="50" spans="5:9">
      <c r="E50" s="186" t="s">
        <v>1003</v>
      </c>
      <c r="F50" s="187" t="s">
        <v>33</v>
      </c>
      <c r="G50" s="188" t="s">
        <v>43</v>
      </c>
      <c r="H50" s="187" t="s">
        <v>33</v>
      </c>
      <c r="I50" s="194" t="s">
        <v>1004</v>
      </c>
    </row>
    <row r="51" spans="5:9">
      <c r="E51" s="186" t="s">
        <v>979</v>
      </c>
      <c r="F51" s="187" t="s">
        <v>35</v>
      </c>
      <c r="G51" s="189" t="s">
        <v>52</v>
      </c>
      <c r="H51" s="187" t="s">
        <v>35</v>
      </c>
      <c r="I51" s="194" t="s">
        <v>55</v>
      </c>
    </row>
    <row r="52" spans="5:9">
      <c r="E52" s="186" t="s">
        <v>1005</v>
      </c>
      <c r="F52" s="187" t="s">
        <v>35</v>
      </c>
      <c r="G52" s="189" t="s">
        <v>52</v>
      </c>
      <c r="H52" s="187" t="s">
        <v>35</v>
      </c>
      <c r="I52" s="194" t="s">
        <v>1006</v>
      </c>
    </row>
    <row r="53" spans="5:9">
      <c r="E53" s="190" t="s">
        <v>1007</v>
      </c>
      <c r="F53" s="187" t="s">
        <v>35</v>
      </c>
      <c r="G53" s="189" t="s">
        <v>52</v>
      </c>
      <c r="H53" s="187" t="s">
        <v>35</v>
      </c>
      <c r="I53" s="194" t="s">
        <v>1008</v>
      </c>
    </row>
    <row r="54" spans="5:9">
      <c r="E54" s="186" t="s">
        <v>1010</v>
      </c>
      <c r="F54" s="187" t="s">
        <v>33</v>
      </c>
      <c r="G54" s="188" t="s">
        <v>34</v>
      </c>
      <c r="H54" s="187" t="s">
        <v>35</v>
      </c>
      <c r="I54" s="194" t="s">
        <v>1011</v>
      </c>
    </row>
    <row r="55" spans="5:9">
      <c r="E55" s="186" t="s">
        <v>37</v>
      </c>
      <c r="F55" s="187" t="s">
        <v>33</v>
      </c>
      <c r="G55" s="188" t="s">
        <v>34</v>
      </c>
      <c r="H55" s="187" t="s">
        <v>35</v>
      </c>
      <c r="I55" s="194" t="s">
        <v>962</v>
      </c>
    </row>
    <row r="56" spans="5:9">
      <c r="E56" s="186" t="s">
        <v>1015</v>
      </c>
      <c r="F56" s="187" t="s">
        <v>33</v>
      </c>
      <c r="G56" s="188" t="s">
        <v>43</v>
      </c>
      <c r="H56" s="187" t="s">
        <v>33</v>
      </c>
      <c r="I56" s="194" t="s">
        <v>1016</v>
      </c>
    </row>
    <row r="57" spans="5:9">
      <c r="E57" s="186" t="s">
        <v>42</v>
      </c>
      <c r="F57" s="187" t="s">
        <v>33</v>
      </c>
      <c r="G57" s="188" t="s">
        <v>43</v>
      </c>
      <c r="H57" s="187" t="s">
        <v>33</v>
      </c>
      <c r="I57" s="194" t="s">
        <v>1019</v>
      </c>
    </row>
    <row r="58" spans="5:9">
      <c r="E58" s="186" t="s">
        <v>1022</v>
      </c>
      <c r="F58" s="187" t="s">
        <v>33</v>
      </c>
      <c r="G58" s="188" t="s">
        <v>34</v>
      </c>
      <c r="H58" s="187" t="s">
        <v>33</v>
      </c>
      <c r="I58" s="194" t="s">
        <v>1023</v>
      </c>
    </row>
    <row r="59" spans="5:9">
      <c r="E59" s="186" t="s">
        <v>49</v>
      </c>
      <c r="F59" s="187" t="s">
        <v>33</v>
      </c>
      <c r="G59" s="188" t="s">
        <v>43</v>
      </c>
      <c r="H59" s="187" t="s">
        <v>33</v>
      </c>
      <c r="I59" s="194" t="s">
        <v>952</v>
      </c>
    </row>
    <row r="60" spans="5:9">
      <c r="E60" s="186" t="s">
        <v>979</v>
      </c>
      <c r="F60" s="187" t="s">
        <v>35</v>
      </c>
      <c r="G60" s="189" t="s">
        <v>52</v>
      </c>
      <c r="H60" s="187" t="s">
        <v>35</v>
      </c>
      <c r="I60" s="194" t="s">
        <v>1028</v>
      </c>
    </row>
    <row r="61" spans="5:9">
      <c r="E61" s="186" t="s">
        <v>1029</v>
      </c>
      <c r="F61" s="187" t="s">
        <v>35</v>
      </c>
      <c r="G61" s="189" t="s">
        <v>52</v>
      </c>
      <c r="H61" s="187" t="s">
        <v>35</v>
      </c>
      <c r="I61" s="194" t="s">
        <v>1030</v>
      </c>
    </row>
    <row r="62" spans="5:9">
      <c r="E62" s="186" t="s">
        <v>1031</v>
      </c>
      <c r="F62" s="187" t="s">
        <v>35</v>
      </c>
      <c r="G62" s="189" t="s">
        <v>52</v>
      </c>
      <c r="H62" s="187" t="s">
        <v>35</v>
      </c>
      <c r="I62" s="194" t="s">
        <v>1032</v>
      </c>
    </row>
    <row r="63" spans="5:9" ht="30.75">
      <c r="E63" s="186" t="s">
        <v>1033</v>
      </c>
      <c r="F63" s="187" t="s">
        <v>33</v>
      </c>
      <c r="G63" s="188" t="s">
        <v>34</v>
      </c>
      <c r="H63" s="187" t="s">
        <v>35</v>
      </c>
      <c r="I63" s="194" t="s">
        <v>1034</v>
      </c>
    </row>
    <row r="64" spans="5:9">
      <c r="E64" s="186" t="s">
        <v>1037</v>
      </c>
      <c r="F64" s="187" t="s">
        <v>33</v>
      </c>
      <c r="G64" s="188" t="s">
        <v>34</v>
      </c>
      <c r="H64" s="187" t="s">
        <v>35</v>
      </c>
      <c r="I64" s="194" t="s">
        <v>1011</v>
      </c>
    </row>
    <row r="65" spans="5:9">
      <c r="E65" s="186" t="s">
        <v>37</v>
      </c>
      <c r="F65" s="187" t="s">
        <v>33</v>
      </c>
      <c r="G65" s="188" t="s">
        <v>34</v>
      </c>
      <c r="H65" s="187" t="s">
        <v>35</v>
      </c>
      <c r="I65" s="194" t="s">
        <v>39</v>
      </c>
    </row>
    <row r="66" spans="5:9">
      <c r="E66" s="186" t="s">
        <v>42</v>
      </c>
      <c r="F66" s="187" t="s">
        <v>33</v>
      </c>
      <c r="G66" s="188" t="s">
        <v>43</v>
      </c>
      <c r="H66" s="187" t="s">
        <v>33</v>
      </c>
      <c r="I66" s="194" t="s">
        <v>1042</v>
      </c>
    </row>
    <row r="67" spans="5:9">
      <c r="E67" s="186" t="s">
        <v>45</v>
      </c>
      <c r="F67" s="187" t="s">
        <v>33</v>
      </c>
      <c r="G67" s="188" t="s">
        <v>43</v>
      </c>
      <c r="H67" s="187" t="s">
        <v>33</v>
      </c>
      <c r="I67" s="194" t="s">
        <v>1045</v>
      </c>
    </row>
    <row r="68" spans="5:9">
      <c r="E68" s="186" t="s">
        <v>1049</v>
      </c>
      <c r="F68" s="187" t="s">
        <v>33</v>
      </c>
      <c r="G68" s="188" t="s">
        <v>34</v>
      </c>
      <c r="H68" s="187" t="s">
        <v>33</v>
      </c>
      <c r="I68" s="194" t="s">
        <v>1050</v>
      </c>
    </row>
    <row r="69" spans="5:9">
      <c r="E69" s="186" t="s">
        <v>49</v>
      </c>
      <c r="F69" s="187" t="s">
        <v>33</v>
      </c>
      <c r="G69" s="188" t="s">
        <v>43</v>
      </c>
      <c r="H69" s="187" t="s">
        <v>33</v>
      </c>
      <c r="I69" s="194" t="s">
        <v>1052</v>
      </c>
    </row>
    <row r="70" spans="5:9">
      <c r="E70" s="186" t="s">
        <v>924</v>
      </c>
      <c r="F70" s="187" t="s">
        <v>35</v>
      </c>
      <c r="G70" s="189" t="s">
        <v>52</v>
      </c>
      <c r="H70" s="187" t="s">
        <v>35</v>
      </c>
      <c r="I70" s="194" t="s">
        <v>1053</v>
      </c>
    </row>
    <row r="71" spans="5:9">
      <c r="E71" s="186" t="s">
        <v>54</v>
      </c>
      <c r="F71" s="187" t="s">
        <v>35</v>
      </c>
      <c r="G71" s="189" t="s">
        <v>52</v>
      </c>
      <c r="H71" s="187" t="s">
        <v>35</v>
      </c>
      <c r="I71" s="194" t="s">
        <v>1054</v>
      </c>
    </row>
    <row r="72" spans="5:9">
      <c r="E72" s="186" t="s">
        <v>1056</v>
      </c>
      <c r="F72" s="187" t="s">
        <v>33</v>
      </c>
      <c r="G72" s="188" t="s">
        <v>34</v>
      </c>
      <c r="H72" s="187" t="s">
        <v>35</v>
      </c>
      <c r="I72" s="194" t="s">
        <v>1057</v>
      </c>
    </row>
    <row r="73" spans="5:9">
      <c r="E73" s="186" t="s">
        <v>1060</v>
      </c>
      <c r="F73" s="187" t="s">
        <v>33</v>
      </c>
      <c r="G73" s="188" t="s">
        <v>34</v>
      </c>
      <c r="H73" s="187" t="s">
        <v>35</v>
      </c>
      <c r="I73" s="194" t="s">
        <v>1061</v>
      </c>
    </row>
    <row r="74" spans="5:9">
      <c r="E74" s="186" t="s">
        <v>1064</v>
      </c>
      <c r="F74" s="187" t="s">
        <v>33</v>
      </c>
      <c r="G74" s="188" t="s">
        <v>43</v>
      </c>
      <c r="H74" s="187" t="s">
        <v>33</v>
      </c>
      <c r="I74" s="194" t="s">
        <v>1065</v>
      </c>
    </row>
    <row r="75" spans="5:9">
      <c r="E75" s="186" t="s">
        <v>1068</v>
      </c>
      <c r="F75" s="187" t="s">
        <v>33</v>
      </c>
      <c r="G75" s="188" t="s">
        <v>43</v>
      </c>
      <c r="H75" s="187" t="s">
        <v>33</v>
      </c>
      <c r="I75" s="194" t="s">
        <v>1069</v>
      </c>
    </row>
    <row r="76" spans="5:9">
      <c r="E76" s="186" t="s">
        <v>1072</v>
      </c>
      <c r="F76" s="187" t="s">
        <v>33</v>
      </c>
      <c r="G76" s="188" t="s">
        <v>34</v>
      </c>
      <c r="H76" s="187" t="s">
        <v>33</v>
      </c>
      <c r="I76" s="194" t="s">
        <v>1073</v>
      </c>
    </row>
    <row r="77" spans="5:9">
      <c r="E77" s="186" t="s">
        <v>1077</v>
      </c>
      <c r="F77" s="187" t="s">
        <v>33</v>
      </c>
      <c r="G77" s="188" t="s">
        <v>34</v>
      </c>
      <c r="H77" s="187" t="s">
        <v>35</v>
      </c>
      <c r="I77" s="194" t="s">
        <v>1078</v>
      </c>
    </row>
    <row r="78" spans="5:9">
      <c r="E78" s="186" t="s">
        <v>1080</v>
      </c>
      <c r="F78" s="187" t="s">
        <v>33</v>
      </c>
      <c r="G78" s="188" t="s">
        <v>43</v>
      </c>
      <c r="H78" s="187" t="s">
        <v>33</v>
      </c>
      <c r="I78" s="194" t="s">
        <v>1081</v>
      </c>
    </row>
    <row r="79" spans="5:9">
      <c r="E79" s="186" t="s">
        <v>924</v>
      </c>
      <c r="F79" s="187" t="s">
        <v>35</v>
      </c>
      <c r="G79" s="189" t="s">
        <v>52</v>
      </c>
      <c r="H79" s="187" t="s">
        <v>35</v>
      </c>
      <c r="I79" s="194" t="s">
        <v>1082</v>
      </c>
    </row>
    <row r="80" spans="5:9">
      <c r="E80" s="186" t="s">
        <v>1083</v>
      </c>
      <c r="F80" s="187" t="s">
        <v>35</v>
      </c>
      <c r="G80" s="189" t="s">
        <v>52</v>
      </c>
      <c r="H80" s="187" t="s">
        <v>35</v>
      </c>
      <c r="I80" s="194" t="s">
        <v>1084</v>
      </c>
    </row>
    <row r="81" spans="5:9">
      <c r="E81" s="186" t="s">
        <v>1085</v>
      </c>
      <c r="F81" s="187" t="s">
        <v>35</v>
      </c>
      <c r="G81" s="189" t="s">
        <v>52</v>
      </c>
      <c r="H81" s="187" t="s">
        <v>35</v>
      </c>
      <c r="I81" s="194" t="s">
        <v>1086</v>
      </c>
    </row>
    <row r="82" spans="5:9">
      <c r="E82" s="186" t="s">
        <v>1087</v>
      </c>
      <c r="F82" s="187" t="s">
        <v>35</v>
      </c>
      <c r="G82" s="189" t="s">
        <v>52</v>
      </c>
      <c r="H82" s="187" t="s">
        <v>35</v>
      </c>
      <c r="I82" s="194" t="s">
        <v>1088</v>
      </c>
    </row>
    <row r="83" spans="5:9">
      <c r="E83" s="186" t="s">
        <v>1090</v>
      </c>
      <c r="F83" s="187" t="s">
        <v>33</v>
      </c>
      <c r="G83" s="188" t="s">
        <v>34</v>
      </c>
      <c r="H83" s="187" t="s">
        <v>35</v>
      </c>
      <c r="I83" s="194" t="s">
        <v>1091</v>
      </c>
    </row>
    <row r="84" spans="5:9">
      <c r="E84" s="186" t="s">
        <v>1094</v>
      </c>
      <c r="F84" s="187" t="s">
        <v>33</v>
      </c>
      <c r="G84" s="188" t="s">
        <v>34</v>
      </c>
      <c r="H84" s="187" t="s">
        <v>35</v>
      </c>
      <c r="I84" s="194" t="s">
        <v>1095</v>
      </c>
    </row>
    <row r="85" spans="5:9">
      <c r="E85" s="186" t="s">
        <v>42</v>
      </c>
      <c r="F85" s="187" t="s">
        <v>33</v>
      </c>
      <c r="G85" s="188" t="s">
        <v>43</v>
      </c>
      <c r="H85" s="187" t="s">
        <v>33</v>
      </c>
      <c r="I85" s="194" t="s">
        <v>1098</v>
      </c>
    </row>
    <row r="86" spans="5:9">
      <c r="E86" s="186" t="s">
        <v>1102</v>
      </c>
      <c r="F86" s="187" t="s">
        <v>33</v>
      </c>
      <c r="G86" s="188" t="s">
        <v>43</v>
      </c>
      <c r="H86" s="187" t="s">
        <v>33</v>
      </c>
      <c r="I86" s="194" t="s">
        <v>1103</v>
      </c>
    </row>
    <row r="87" spans="5:9">
      <c r="E87" s="186" t="s">
        <v>1107</v>
      </c>
      <c r="F87" s="187" t="s">
        <v>33</v>
      </c>
      <c r="G87" s="188" t="s">
        <v>34</v>
      </c>
      <c r="H87" s="187" t="s">
        <v>33</v>
      </c>
      <c r="I87" s="194" t="s">
        <v>1108</v>
      </c>
    </row>
    <row r="88" spans="5:9">
      <c r="E88" s="186" t="s">
        <v>1112</v>
      </c>
      <c r="F88" s="187" t="s">
        <v>33</v>
      </c>
      <c r="G88" s="188" t="s">
        <v>43</v>
      </c>
      <c r="H88" s="187" t="s">
        <v>33</v>
      </c>
      <c r="I88" s="194" t="s">
        <v>1113</v>
      </c>
    </row>
    <row r="89" spans="5:9">
      <c r="E89" s="186" t="s">
        <v>1115</v>
      </c>
      <c r="F89" s="187" t="s">
        <v>35</v>
      </c>
      <c r="G89" s="189" t="s">
        <v>52</v>
      </c>
      <c r="H89" s="187" t="s">
        <v>35</v>
      </c>
      <c r="I89" s="194" t="s">
        <v>1116</v>
      </c>
    </row>
    <row r="90" spans="5:9">
      <c r="E90" s="186" t="s">
        <v>924</v>
      </c>
      <c r="F90" s="187" t="s">
        <v>35</v>
      </c>
      <c r="G90" s="189" t="s">
        <v>52</v>
      </c>
      <c r="H90" s="187" t="s">
        <v>35</v>
      </c>
      <c r="I90" s="194" t="s">
        <v>1117</v>
      </c>
    </row>
    <row r="91" spans="5:9">
      <c r="E91" s="186" t="s">
        <v>1118</v>
      </c>
      <c r="F91" s="187" t="s">
        <v>35</v>
      </c>
      <c r="G91" s="189" t="s">
        <v>52</v>
      </c>
      <c r="H91" s="187" t="s">
        <v>35</v>
      </c>
      <c r="I91" s="194" t="s">
        <v>1119</v>
      </c>
    </row>
    <row r="92" spans="5:9">
      <c r="E92" s="186" t="s">
        <v>1121</v>
      </c>
      <c r="F92" s="187" t="s">
        <v>33</v>
      </c>
      <c r="G92" s="188" t="s">
        <v>34</v>
      </c>
      <c r="H92" s="187" t="s">
        <v>35</v>
      </c>
      <c r="I92" s="194" t="s">
        <v>1122</v>
      </c>
    </row>
    <row r="93" spans="5:9">
      <c r="E93" s="186" t="s">
        <v>1125</v>
      </c>
      <c r="F93" s="187" t="s">
        <v>33</v>
      </c>
      <c r="G93" s="188" t="s">
        <v>34</v>
      </c>
      <c r="H93" s="187" t="s">
        <v>35</v>
      </c>
      <c r="I93" s="194" t="s">
        <v>1126</v>
      </c>
    </row>
    <row r="94" spans="5:9">
      <c r="E94" s="186" t="s">
        <v>1129</v>
      </c>
      <c r="F94" s="187" t="s">
        <v>33</v>
      </c>
      <c r="G94" s="188" t="s">
        <v>34</v>
      </c>
      <c r="H94" s="187" t="s">
        <v>35</v>
      </c>
      <c r="I94" s="194" t="s">
        <v>1130</v>
      </c>
    </row>
    <row r="95" spans="5:9">
      <c r="E95" s="186" t="s">
        <v>42</v>
      </c>
      <c r="F95" s="187" t="s">
        <v>33</v>
      </c>
      <c r="G95" s="188" t="s">
        <v>43</v>
      </c>
      <c r="H95" s="187" t="s">
        <v>33</v>
      </c>
      <c r="I95" s="194" t="s">
        <v>1098</v>
      </c>
    </row>
    <row r="96" spans="5:9">
      <c r="E96" s="186" t="s">
        <v>1135</v>
      </c>
      <c r="F96" s="187" t="s">
        <v>33</v>
      </c>
      <c r="G96" s="188" t="s">
        <v>43</v>
      </c>
      <c r="H96" s="187" t="s">
        <v>33</v>
      </c>
      <c r="I96" s="194" t="s">
        <v>1136</v>
      </c>
    </row>
    <row r="97" spans="5:9">
      <c r="E97" s="186" t="s">
        <v>1107</v>
      </c>
      <c r="F97" s="187" t="s">
        <v>33</v>
      </c>
      <c r="G97" s="188" t="s">
        <v>34</v>
      </c>
      <c r="H97" s="187" t="s">
        <v>33</v>
      </c>
      <c r="I97" s="194" t="s">
        <v>1140</v>
      </c>
    </row>
    <row r="98" spans="5:9">
      <c r="E98" s="186" t="s">
        <v>1142</v>
      </c>
      <c r="F98" s="187" t="s">
        <v>33</v>
      </c>
      <c r="G98" s="188" t="s">
        <v>43</v>
      </c>
      <c r="H98" s="187" t="s">
        <v>33</v>
      </c>
      <c r="I98" s="194" t="s">
        <v>1143</v>
      </c>
    </row>
    <row r="99" spans="5:9">
      <c r="E99" s="186" t="s">
        <v>924</v>
      </c>
      <c r="F99" s="187" t="s">
        <v>35</v>
      </c>
      <c r="G99" s="189" t="s">
        <v>52</v>
      </c>
      <c r="H99" s="187" t="s">
        <v>35</v>
      </c>
      <c r="I99" s="194" t="s">
        <v>1144</v>
      </c>
    </row>
    <row r="100" spans="5:9">
      <c r="E100" s="186" t="s">
        <v>1145</v>
      </c>
      <c r="F100" s="187" t="s">
        <v>35</v>
      </c>
      <c r="G100" s="189" t="s">
        <v>52</v>
      </c>
      <c r="H100" s="187" t="s">
        <v>35</v>
      </c>
      <c r="I100" s="194" t="s">
        <v>1146</v>
      </c>
    </row>
    <row r="101" spans="5:9">
      <c r="E101" s="186" t="s">
        <v>1147</v>
      </c>
      <c r="F101" s="187" t="s">
        <v>35</v>
      </c>
      <c r="G101" s="188" t="s">
        <v>43</v>
      </c>
      <c r="H101" s="187" t="s">
        <v>35</v>
      </c>
      <c r="I101" s="194" t="s">
        <v>1148</v>
      </c>
    </row>
    <row r="102" spans="5:9">
      <c r="E102" s="186" t="s">
        <v>1149</v>
      </c>
      <c r="F102" s="187" t="s">
        <v>35</v>
      </c>
      <c r="G102" s="188" t="s">
        <v>43</v>
      </c>
      <c r="H102" s="187" t="s">
        <v>35</v>
      </c>
      <c r="I102" s="194" t="s">
        <v>1150</v>
      </c>
    </row>
    <row r="103" spans="5:9" ht="30.75">
      <c r="E103" s="186" t="s">
        <v>1152</v>
      </c>
      <c r="F103" s="187" t="s">
        <v>33</v>
      </c>
      <c r="G103" s="188" t="s">
        <v>34</v>
      </c>
      <c r="H103" s="187" t="s">
        <v>35</v>
      </c>
      <c r="I103" s="194" t="s">
        <v>1153</v>
      </c>
    </row>
    <row r="104" spans="5:9">
      <c r="E104" s="186" t="s">
        <v>1156</v>
      </c>
      <c r="F104" s="187" t="s">
        <v>33</v>
      </c>
      <c r="G104" s="188" t="s">
        <v>34</v>
      </c>
      <c r="H104" s="187" t="s">
        <v>35</v>
      </c>
      <c r="I104" s="194" t="s">
        <v>1157</v>
      </c>
    </row>
    <row r="105" spans="5:9">
      <c r="E105" s="186" t="s">
        <v>1160</v>
      </c>
      <c r="F105" s="187" t="s">
        <v>33</v>
      </c>
      <c r="G105" s="188" t="s">
        <v>34</v>
      </c>
      <c r="H105" s="187" t="s">
        <v>35</v>
      </c>
      <c r="I105" s="194" t="s">
        <v>1161</v>
      </c>
    </row>
    <row r="106" spans="5:9">
      <c r="E106" s="186" t="s">
        <v>1164</v>
      </c>
      <c r="F106" s="187" t="s">
        <v>33</v>
      </c>
      <c r="G106" s="188" t="s">
        <v>43</v>
      </c>
      <c r="H106" s="187" t="s">
        <v>33</v>
      </c>
      <c r="I106" s="194" t="s">
        <v>1165</v>
      </c>
    </row>
    <row r="107" spans="5:9">
      <c r="E107" s="186" t="s">
        <v>1168</v>
      </c>
      <c r="F107" s="187" t="s">
        <v>33</v>
      </c>
      <c r="G107" s="188" t="s">
        <v>34</v>
      </c>
      <c r="H107" s="187" t="s">
        <v>33</v>
      </c>
      <c r="I107" s="194" t="s">
        <v>1169</v>
      </c>
    </row>
    <row r="108" spans="5:9">
      <c r="E108" s="186" t="s">
        <v>1135</v>
      </c>
      <c r="F108" s="187" t="s">
        <v>33</v>
      </c>
      <c r="G108" s="188" t="s">
        <v>43</v>
      </c>
      <c r="H108" s="187" t="s">
        <v>33</v>
      </c>
      <c r="I108" s="194" t="s">
        <v>1173</v>
      </c>
    </row>
    <row r="109" spans="5:9">
      <c r="E109" s="186" t="s">
        <v>1175</v>
      </c>
      <c r="F109" s="187" t="s">
        <v>33</v>
      </c>
      <c r="G109" s="188" t="s">
        <v>43</v>
      </c>
      <c r="H109" s="187" t="s">
        <v>33</v>
      </c>
      <c r="I109" s="194" t="s">
        <v>1176</v>
      </c>
    </row>
    <row r="110" spans="5:9">
      <c r="E110" s="186" t="s">
        <v>979</v>
      </c>
      <c r="F110" s="187" t="s">
        <v>35</v>
      </c>
      <c r="G110" s="189" t="s">
        <v>52</v>
      </c>
      <c r="H110" s="187" t="s">
        <v>35</v>
      </c>
      <c r="I110" s="194" t="s">
        <v>1177</v>
      </c>
    </row>
    <row r="111" spans="5:9">
      <c r="E111" s="186" t="s">
        <v>1178</v>
      </c>
      <c r="F111" s="187" t="s">
        <v>35</v>
      </c>
      <c r="G111" s="189" t="s">
        <v>52</v>
      </c>
      <c r="H111" s="187" t="s">
        <v>35</v>
      </c>
      <c r="I111" s="194" t="s">
        <v>1179</v>
      </c>
    </row>
    <row r="112" spans="5:9">
      <c r="E112" s="186" t="s">
        <v>1180</v>
      </c>
      <c r="F112" s="187" t="s">
        <v>35</v>
      </c>
      <c r="G112" s="189" t="s">
        <v>52</v>
      </c>
      <c r="H112" s="187" t="s">
        <v>35</v>
      </c>
      <c r="I112" s="194" t="s">
        <v>1181</v>
      </c>
    </row>
    <row r="113" spans="5:9">
      <c r="E113" s="186" t="s">
        <v>1182</v>
      </c>
      <c r="F113" s="187" t="s">
        <v>35</v>
      </c>
      <c r="G113" s="189" t="s">
        <v>52</v>
      </c>
      <c r="H113" s="187" t="s">
        <v>35</v>
      </c>
      <c r="I113" s="194" t="s">
        <v>1183</v>
      </c>
    </row>
    <row r="114" spans="5:9">
      <c r="E114" s="186" t="s">
        <v>1185</v>
      </c>
      <c r="F114" s="187" t="s">
        <v>33</v>
      </c>
      <c r="G114" s="188" t="s">
        <v>34</v>
      </c>
      <c r="H114" s="187" t="s">
        <v>35</v>
      </c>
      <c r="I114" s="194" t="s">
        <v>1186</v>
      </c>
    </row>
    <row r="115" spans="5:9">
      <c r="E115" s="186" t="s">
        <v>1125</v>
      </c>
      <c r="F115" s="187" t="s">
        <v>33</v>
      </c>
      <c r="G115" s="188" t="s">
        <v>34</v>
      </c>
      <c r="H115" s="187" t="s">
        <v>35</v>
      </c>
      <c r="I115" s="194" t="s">
        <v>1189</v>
      </c>
    </row>
    <row r="116" spans="5:9">
      <c r="E116" s="186" t="s">
        <v>1192</v>
      </c>
      <c r="F116" s="187" t="s">
        <v>33</v>
      </c>
      <c r="G116" s="188" t="s">
        <v>43</v>
      </c>
      <c r="H116" s="187" t="s">
        <v>33</v>
      </c>
      <c r="I116" s="194" t="s">
        <v>1193</v>
      </c>
    </row>
    <row r="117" spans="5:9">
      <c r="E117" s="186" t="s">
        <v>1196</v>
      </c>
      <c r="F117" s="187" t="s">
        <v>33</v>
      </c>
      <c r="G117" s="188" t="s">
        <v>34</v>
      </c>
      <c r="H117" s="187" t="s">
        <v>33</v>
      </c>
      <c r="I117" s="194" t="s">
        <v>1197</v>
      </c>
    </row>
    <row r="118" spans="5:9">
      <c r="E118" s="186" t="s">
        <v>1180</v>
      </c>
      <c r="F118" s="187" t="s">
        <v>33</v>
      </c>
      <c r="G118" s="188" t="s">
        <v>43</v>
      </c>
      <c r="H118" s="187" t="s">
        <v>33</v>
      </c>
      <c r="I118" s="194" t="s">
        <v>1199</v>
      </c>
    </row>
    <row r="119" spans="5:9">
      <c r="E119" s="186" t="s">
        <v>1203</v>
      </c>
      <c r="F119" s="187" t="s">
        <v>33</v>
      </c>
      <c r="G119" s="188" t="s">
        <v>43</v>
      </c>
      <c r="H119" s="187" t="s">
        <v>33</v>
      </c>
      <c r="I119" s="194" t="s">
        <v>1204</v>
      </c>
    </row>
    <row r="120" spans="5:9">
      <c r="E120" s="186" t="s">
        <v>1206</v>
      </c>
      <c r="F120" s="187" t="s">
        <v>33</v>
      </c>
      <c r="G120" s="188" t="s">
        <v>34</v>
      </c>
      <c r="H120" s="187" t="s">
        <v>35</v>
      </c>
      <c r="I120" s="194" t="s">
        <v>1207</v>
      </c>
    </row>
    <row r="121" spans="5:9">
      <c r="E121" s="186" t="s">
        <v>1208</v>
      </c>
      <c r="F121" s="187" t="s">
        <v>35</v>
      </c>
      <c r="G121" s="189" t="s">
        <v>52</v>
      </c>
      <c r="H121" s="187" t="s">
        <v>35</v>
      </c>
      <c r="I121" s="194" t="s">
        <v>1209</v>
      </c>
    </row>
    <row r="122" spans="5:9">
      <c r="E122" s="186" t="s">
        <v>979</v>
      </c>
      <c r="F122" s="187" t="s">
        <v>35</v>
      </c>
      <c r="G122" s="189" t="s">
        <v>52</v>
      </c>
      <c r="H122" s="187" t="s">
        <v>35</v>
      </c>
      <c r="I122" s="194" t="s">
        <v>1210</v>
      </c>
    </row>
    <row r="123" spans="5:9">
      <c r="E123" s="186" t="s">
        <v>1211</v>
      </c>
      <c r="F123" s="187" t="s">
        <v>35</v>
      </c>
      <c r="G123" s="189" t="s">
        <v>52</v>
      </c>
      <c r="H123" s="187" t="s">
        <v>35</v>
      </c>
      <c r="I123" s="194" t="s">
        <v>1212</v>
      </c>
    </row>
    <row r="124" spans="5:9">
      <c r="E124" s="186" t="s">
        <v>1213</v>
      </c>
      <c r="F124" s="187" t="s">
        <v>35</v>
      </c>
      <c r="G124" s="189" t="s">
        <v>52</v>
      </c>
      <c r="H124" s="187" t="s">
        <v>35</v>
      </c>
      <c r="I124" s="194" t="s">
        <v>1214</v>
      </c>
    </row>
    <row r="125" spans="5:9">
      <c r="E125" s="186" t="s">
        <v>1216</v>
      </c>
      <c r="F125" s="187" t="s">
        <v>33</v>
      </c>
      <c r="G125" s="188" t="s">
        <v>34</v>
      </c>
      <c r="H125" s="187" t="s">
        <v>35</v>
      </c>
      <c r="I125" s="194" t="s">
        <v>1217</v>
      </c>
    </row>
    <row r="126" spans="5:9">
      <c r="E126" s="186" t="s">
        <v>1220</v>
      </c>
      <c r="F126" s="187" t="s">
        <v>33</v>
      </c>
      <c r="G126" s="188" t="s">
        <v>34</v>
      </c>
      <c r="H126" s="187" t="s">
        <v>35</v>
      </c>
      <c r="I126" s="194" t="s">
        <v>1126</v>
      </c>
    </row>
    <row r="127" spans="5:9">
      <c r="E127" s="186" t="s">
        <v>1223</v>
      </c>
      <c r="F127" s="187" t="s">
        <v>33</v>
      </c>
      <c r="G127" s="188" t="s">
        <v>43</v>
      </c>
      <c r="H127" s="187" t="s">
        <v>33</v>
      </c>
      <c r="I127" s="194" t="s">
        <v>1224</v>
      </c>
    </row>
    <row r="128" spans="5:9">
      <c r="E128" s="186" t="s">
        <v>1228</v>
      </c>
      <c r="F128" s="187" t="s">
        <v>33</v>
      </c>
      <c r="G128" s="188" t="s">
        <v>43</v>
      </c>
      <c r="H128" s="187" t="s">
        <v>33</v>
      </c>
      <c r="I128" s="194" t="s">
        <v>1229</v>
      </c>
    </row>
    <row r="129" spans="5:9">
      <c r="E129" s="186" t="s">
        <v>1022</v>
      </c>
      <c r="F129" s="187" t="s">
        <v>33</v>
      </c>
      <c r="G129" s="188" t="s">
        <v>34</v>
      </c>
      <c r="H129" s="187" t="s">
        <v>33</v>
      </c>
      <c r="I129" s="194" t="s">
        <v>1232</v>
      </c>
    </row>
    <row r="130" spans="5:9">
      <c r="E130" s="186" t="s">
        <v>1236</v>
      </c>
      <c r="F130" s="187" t="s">
        <v>33</v>
      </c>
      <c r="G130" s="188" t="s">
        <v>34</v>
      </c>
      <c r="H130" s="187" t="s">
        <v>35</v>
      </c>
      <c r="I130" s="194" t="s">
        <v>1237</v>
      </c>
    </row>
    <row r="131" spans="5:9">
      <c r="E131" s="186" t="s">
        <v>1239</v>
      </c>
      <c r="F131" s="187" t="s">
        <v>33</v>
      </c>
      <c r="G131" s="188" t="s">
        <v>43</v>
      </c>
      <c r="H131" s="187" t="s">
        <v>33</v>
      </c>
      <c r="I131" s="194" t="s">
        <v>1240</v>
      </c>
    </row>
    <row r="132" spans="5:9">
      <c r="E132" s="186" t="s">
        <v>1241</v>
      </c>
      <c r="F132" s="187" t="s">
        <v>33</v>
      </c>
      <c r="G132" s="188" t="s">
        <v>43</v>
      </c>
      <c r="H132" s="187" t="s">
        <v>33</v>
      </c>
      <c r="I132" s="194" t="s">
        <v>1242</v>
      </c>
    </row>
    <row r="133" spans="5:9">
      <c r="E133" s="186" t="s">
        <v>1243</v>
      </c>
      <c r="F133" s="187" t="s">
        <v>35</v>
      </c>
      <c r="G133" s="189" t="s">
        <v>52</v>
      </c>
      <c r="H133" s="187" t="s">
        <v>35</v>
      </c>
      <c r="I133" s="194" t="s">
        <v>1244</v>
      </c>
    </row>
    <row r="134" spans="5:9">
      <c r="E134" s="186" t="s">
        <v>1245</v>
      </c>
      <c r="F134" s="187" t="s">
        <v>35</v>
      </c>
      <c r="G134" s="189" t="s">
        <v>52</v>
      </c>
      <c r="H134" s="187" t="s">
        <v>35</v>
      </c>
      <c r="I134" s="194" t="s">
        <v>1246</v>
      </c>
    </row>
    <row r="135" spans="5:9">
      <c r="E135" s="186" t="s">
        <v>1247</v>
      </c>
      <c r="F135" s="187" t="s">
        <v>35</v>
      </c>
      <c r="G135" s="189" t="s">
        <v>52</v>
      </c>
      <c r="H135" s="187" t="s">
        <v>35</v>
      </c>
      <c r="I135" s="194" t="s">
        <v>1248</v>
      </c>
    </row>
    <row r="136" spans="5:9">
      <c r="E136" s="190" t="s">
        <v>1249</v>
      </c>
      <c r="F136" s="187" t="s">
        <v>35</v>
      </c>
      <c r="G136" s="189" t="s">
        <v>52</v>
      </c>
      <c r="H136" s="187" t="s">
        <v>35</v>
      </c>
      <c r="I136" s="194" t="s">
        <v>1250</v>
      </c>
    </row>
    <row r="137" spans="5:9">
      <c r="E137" s="190" t="s">
        <v>1251</v>
      </c>
      <c r="F137" s="187" t="s">
        <v>35</v>
      </c>
      <c r="G137" s="189" t="s">
        <v>52</v>
      </c>
      <c r="H137" s="187" t="s">
        <v>35</v>
      </c>
      <c r="I137" s="194" t="s">
        <v>1252</v>
      </c>
    </row>
    <row r="138" spans="5:9">
      <c r="E138" s="186" t="s">
        <v>1216</v>
      </c>
      <c r="F138" s="187" t="s">
        <v>33</v>
      </c>
      <c r="G138" s="188" t="s">
        <v>34</v>
      </c>
      <c r="H138" s="187" t="s">
        <v>35</v>
      </c>
      <c r="I138" s="194" t="s">
        <v>1254</v>
      </c>
    </row>
    <row r="139" spans="5:9">
      <c r="E139" s="186" t="s">
        <v>1256</v>
      </c>
      <c r="F139" s="187" t="s">
        <v>33</v>
      </c>
      <c r="G139" s="188" t="s">
        <v>43</v>
      </c>
      <c r="H139" s="187" t="s">
        <v>33</v>
      </c>
      <c r="I139" s="194" t="s">
        <v>1257</v>
      </c>
    </row>
    <row r="140" spans="5:9">
      <c r="E140" s="186" t="s">
        <v>1094</v>
      </c>
      <c r="F140" s="187" t="s">
        <v>33</v>
      </c>
      <c r="G140" s="188" t="s">
        <v>34</v>
      </c>
      <c r="H140" s="187" t="s">
        <v>35</v>
      </c>
      <c r="I140" s="194" t="s">
        <v>1260</v>
      </c>
    </row>
    <row r="141" spans="5:9">
      <c r="E141" s="186" t="s">
        <v>1263</v>
      </c>
      <c r="F141" s="187" t="s">
        <v>33</v>
      </c>
      <c r="G141" s="188" t="s">
        <v>43</v>
      </c>
      <c r="H141" s="187" t="s">
        <v>33</v>
      </c>
      <c r="I141" s="194" t="s">
        <v>1264</v>
      </c>
    </row>
    <row r="142" spans="5:9">
      <c r="E142" s="186" t="s">
        <v>1267</v>
      </c>
      <c r="F142" s="187" t="s">
        <v>33</v>
      </c>
      <c r="G142" s="188" t="s">
        <v>34</v>
      </c>
      <c r="H142" s="187" t="s">
        <v>33</v>
      </c>
      <c r="I142" s="194" t="s">
        <v>1268</v>
      </c>
    </row>
    <row r="143" spans="5:9">
      <c r="E143" s="186" t="s">
        <v>42</v>
      </c>
      <c r="F143" s="187" t="s">
        <v>33</v>
      </c>
      <c r="G143" s="188" t="s">
        <v>43</v>
      </c>
      <c r="H143" s="187" t="s">
        <v>33</v>
      </c>
      <c r="I143" s="194" t="s">
        <v>1272</v>
      </c>
    </row>
    <row r="144" spans="5:9">
      <c r="E144" s="186" t="s">
        <v>1274</v>
      </c>
      <c r="F144" s="187" t="s">
        <v>33</v>
      </c>
      <c r="G144" s="188" t="s">
        <v>43</v>
      </c>
      <c r="H144" s="187" t="s">
        <v>33</v>
      </c>
      <c r="I144" s="194" t="s">
        <v>1275</v>
      </c>
    </row>
    <row r="145" spans="5:9">
      <c r="E145" s="186" t="s">
        <v>1276</v>
      </c>
      <c r="F145" s="187" t="s">
        <v>33</v>
      </c>
      <c r="G145" s="188" t="s">
        <v>34</v>
      </c>
      <c r="H145" s="187" t="s">
        <v>35</v>
      </c>
      <c r="I145" s="194" t="s">
        <v>1277</v>
      </c>
    </row>
    <row r="146" spans="5:9">
      <c r="E146" s="186" t="s">
        <v>1278</v>
      </c>
      <c r="F146" s="187" t="s">
        <v>35</v>
      </c>
      <c r="G146" s="189" t="s">
        <v>52</v>
      </c>
      <c r="H146" s="187" t="s">
        <v>35</v>
      </c>
      <c r="I146" s="194" t="s">
        <v>1279</v>
      </c>
    </row>
    <row r="147" spans="5:9">
      <c r="E147" s="186" t="s">
        <v>924</v>
      </c>
      <c r="F147" s="187" t="s">
        <v>35</v>
      </c>
      <c r="G147" s="189" t="s">
        <v>52</v>
      </c>
      <c r="H147" s="187" t="s">
        <v>35</v>
      </c>
      <c r="I147" s="194" t="s">
        <v>1280</v>
      </c>
    </row>
    <row r="148" spans="5:9">
      <c r="E148" s="186" t="s">
        <v>1281</v>
      </c>
      <c r="F148" s="187" t="s">
        <v>35</v>
      </c>
      <c r="G148" s="189" t="s">
        <v>52</v>
      </c>
      <c r="H148" s="187" t="s">
        <v>35</v>
      </c>
      <c r="I148" s="194" t="s">
        <v>1282</v>
      </c>
    </row>
    <row r="149" spans="5:9">
      <c r="E149" s="190" t="s">
        <v>1283</v>
      </c>
      <c r="F149" s="187" t="s">
        <v>35</v>
      </c>
      <c r="G149" s="189" t="s">
        <v>52</v>
      </c>
      <c r="H149" s="187" t="s">
        <v>35</v>
      </c>
      <c r="I149" s="194" t="s">
        <v>1284</v>
      </c>
    </row>
    <row r="150" spans="5:9">
      <c r="E150" s="186" t="s">
        <v>1286</v>
      </c>
      <c r="F150" s="187" t="s">
        <v>33</v>
      </c>
      <c r="G150" s="188" t="s">
        <v>34</v>
      </c>
      <c r="H150" s="187" t="s">
        <v>35</v>
      </c>
      <c r="I150" s="194" t="s">
        <v>1287</v>
      </c>
    </row>
    <row r="151" spans="5:9">
      <c r="E151" s="186" t="s">
        <v>1290</v>
      </c>
      <c r="F151" s="187" t="s">
        <v>33</v>
      </c>
      <c r="G151" s="188" t="s">
        <v>34</v>
      </c>
      <c r="H151" s="187" t="s">
        <v>35</v>
      </c>
      <c r="I151" s="194" t="s">
        <v>1291</v>
      </c>
    </row>
    <row r="152" spans="5:9">
      <c r="E152" s="186" t="s">
        <v>1294</v>
      </c>
      <c r="F152" s="187" t="s">
        <v>33</v>
      </c>
      <c r="G152" s="188" t="s">
        <v>43</v>
      </c>
      <c r="H152" s="187" t="s">
        <v>33</v>
      </c>
      <c r="I152" s="194" t="s">
        <v>1295</v>
      </c>
    </row>
    <row r="153" spans="5:9">
      <c r="E153" s="186" t="s">
        <v>1299</v>
      </c>
      <c r="F153" s="187" t="s">
        <v>33</v>
      </c>
      <c r="G153" s="188" t="s">
        <v>43</v>
      </c>
      <c r="H153" s="187" t="s">
        <v>33</v>
      </c>
      <c r="I153" s="194" t="s">
        <v>1300</v>
      </c>
    </row>
    <row r="154" spans="5:9">
      <c r="E154" s="186" t="s">
        <v>1303</v>
      </c>
      <c r="F154" s="187" t="s">
        <v>33</v>
      </c>
      <c r="G154" s="188" t="s">
        <v>43</v>
      </c>
      <c r="H154" s="187" t="s">
        <v>33</v>
      </c>
      <c r="I154" s="194" t="s">
        <v>1304</v>
      </c>
    </row>
    <row r="155" spans="5:9">
      <c r="E155" s="186" t="s">
        <v>1308</v>
      </c>
      <c r="F155" s="187" t="s">
        <v>35</v>
      </c>
      <c r="G155" s="189" t="s">
        <v>52</v>
      </c>
      <c r="H155" s="187" t="s">
        <v>35</v>
      </c>
      <c r="I155" s="194" t="s">
        <v>1309</v>
      </c>
    </row>
    <row r="156" spans="5:9">
      <c r="E156" s="186" t="s">
        <v>1311</v>
      </c>
      <c r="F156" s="187" t="s">
        <v>35</v>
      </c>
      <c r="G156" s="189" t="s">
        <v>52</v>
      </c>
      <c r="H156" s="187" t="s">
        <v>35</v>
      </c>
      <c r="I156" s="194" t="s">
        <v>1312</v>
      </c>
    </row>
    <row r="157" spans="5:9">
      <c r="E157" s="186" t="s">
        <v>54</v>
      </c>
      <c r="F157" s="187" t="s">
        <v>35</v>
      </c>
      <c r="G157" s="189" t="s">
        <v>52</v>
      </c>
      <c r="H157" s="187" t="s">
        <v>35</v>
      </c>
      <c r="I157" s="194" t="s">
        <v>1313</v>
      </c>
    </row>
    <row r="158" spans="5:9">
      <c r="E158" s="186" t="s">
        <v>924</v>
      </c>
      <c r="F158" s="187" t="s">
        <v>35</v>
      </c>
      <c r="G158" s="189" t="s">
        <v>52</v>
      </c>
      <c r="H158" s="187" t="s">
        <v>35</v>
      </c>
      <c r="I158" s="194" t="s">
        <v>1314</v>
      </c>
    </row>
    <row r="159" spans="5:9">
      <c r="E159" s="186" t="s">
        <v>1182</v>
      </c>
      <c r="F159" s="187" t="s">
        <v>35</v>
      </c>
      <c r="G159" s="189" t="s">
        <v>52</v>
      </c>
      <c r="H159" s="187" t="s">
        <v>35</v>
      </c>
      <c r="I159" s="194" t="s">
        <v>1008</v>
      </c>
    </row>
    <row r="160" spans="5:9">
      <c r="E160" s="186" t="s">
        <v>1315</v>
      </c>
      <c r="F160" s="187" t="s">
        <v>35</v>
      </c>
      <c r="G160" s="189" t="s">
        <v>52</v>
      </c>
      <c r="H160" s="187" t="s">
        <v>35</v>
      </c>
      <c r="I160" s="194" t="s">
        <v>1316</v>
      </c>
    </row>
    <row r="161" spans="5:9">
      <c r="E161" s="186" t="s">
        <v>1318</v>
      </c>
      <c r="F161" s="187" t="s">
        <v>33</v>
      </c>
      <c r="G161" s="188" t="s">
        <v>34</v>
      </c>
      <c r="H161" s="187" t="s">
        <v>35</v>
      </c>
      <c r="I161" s="194" t="s">
        <v>1319</v>
      </c>
    </row>
    <row r="162" spans="5:9">
      <c r="E162" s="186" t="s">
        <v>1322</v>
      </c>
      <c r="F162" s="187" t="s">
        <v>33</v>
      </c>
      <c r="G162" s="188" t="s">
        <v>43</v>
      </c>
      <c r="H162" s="187" t="s">
        <v>33</v>
      </c>
      <c r="I162" s="194" t="s">
        <v>1323</v>
      </c>
    </row>
    <row r="163" spans="5:9">
      <c r="E163" s="186" t="s">
        <v>1326</v>
      </c>
      <c r="F163" s="187" t="s">
        <v>33</v>
      </c>
      <c r="G163" s="188" t="s">
        <v>34</v>
      </c>
      <c r="H163" s="187" t="s">
        <v>35</v>
      </c>
      <c r="I163" s="194" t="s">
        <v>1327</v>
      </c>
    </row>
    <row r="164" spans="5:9">
      <c r="E164" s="186" t="s">
        <v>1094</v>
      </c>
      <c r="F164" s="187" t="s">
        <v>33</v>
      </c>
      <c r="G164" s="188" t="s">
        <v>34</v>
      </c>
      <c r="H164" s="187" t="s">
        <v>35</v>
      </c>
      <c r="I164" s="194" t="s">
        <v>1330</v>
      </c>
    </row>
    <row r="165" spans="5:9">
      <c r="E165" s="186" t="s">
        <v>1333</v>
      </c>
      <c r="F165" s="187" t="s">
        <v>33</v>
      </c>
      <c r="G165" s="188" t="s">
        <v>43</v>
      </c>
      <c r="H165" s="187" t="s">
        <v>33</v>
      </c>
      <c r="I165" s="194" t="s">
        <v>1334</v>
      </c>
    </row>
    <row r="166" spans="5:9">
      <c r="E166" s="186" t="s">
        <v>1337</v>
      </c>
      <c r="F166" s="187" t="s">
        <v>33</v>
      </c>
      <c r="G166" s="188" t="s">
        <v>43</v>
      </c>
      <c r="H166" s="187" t="s">
        <v>33</v>
      </c>
      <c r="I166" s="194" t="s">
        <v>1338</v>
      </c>
    </row>
    <row r="167" spans="5:9">
      <c r="E167" s="186" t="s">
        <v>1340</v>
      </c>
      <c r="F167" s="187" t="s">
        <v>33</v>
      </c>
      <c r="G167" s="188" t="s">
        <v>34</v>
      </c>
      <c r="H167" s="187" t="s">
        <v>33</v>
      </c>
      <c r="I167" s="194" t="s">
        <v>1341</v>
      </c>
    </row>
    <row r="168" spans="5:9">
      <c r="E168" s="186" t="s">
        <v>1342</v>
      </c>
      <c r="F168" s="187" t="s">
        <v>35</v>
      </c>
      <c r="G168" s="189" t="s">
        <v>52</v>
      </c>
      <c r="H168" s="187" t="s">
        <v>35</v>
      </c>
      <c r="I168" s="194" t="s">
        <v>1343</v>
      </c>
    </row>
    <row r="169" spans="5:9">
      <c r="E169" s="186" t="s">
        <v>1344</v>
      </c>
      <c r="F169" s="187" t="s">
        <v>35</v>
      </c>
      <c r="G169" s="189" t="s">
        <v>52</v>
      </c>
      <c r="H169" s="187" t="s">
        <v>35</v>
      </c>
      <c r="I169" s="194" t="s">
        <v>1345</v>
      </c>
    </row>
    <row r="170" spans="5:9">
      <c r="E170" s="186" t="s">
        <v>1346</v>
      </c>
      <c r="F170" s="187" t="s">
        <v>35</v>
      </c>
      <c r="G170" s="189" t="s">
        <v>52</v>
      </c>
      <c r="H170" s="187" t="s">
        <v>35</v>
      </c>
      <c r="I170" s="194" t="s">
        <v>1347</v>
      </c>
    </row>
    <row r="171" spans="5:9">
      <c r="E171" s="186" t="s">
        <v>1182</v>
      </c>
      <c r="F171" s="187" t="s">
        <v>35</v>
      </c>
      <c r="G171" s="189" t="s">
        <v>52</v>
      </c>
      <c r="H171" s="187" t="s">
        <v>35</v>
      </c>
      <c r="I171" s="194" t="s">
        <v>1348</v>
      </c>
    </row>
    <row r="172" spans="5:9">
      <c r="E172" s="186" t="s">
        <v>1349</v>
      </c>
      <c r="F172" s="187" t="s">
        <v>35</v>
      </c>
      <c r="G172" s="189" t="s">
        <v>52</v>
      </c>
      <c r="H172" s="187" t="s">
        <v>35</v>
      </c>
      <c r="I172" s="194" t="s">
        <v>1350</v>
      </c>
    </row>
    <row r="173" spans="5:9">
      <c r="E173" s="186" t="s">
        <v>1352</v>
      </c>
      <c r="F173" s="187" t="s">
        <v>33</v>
      </c>
      <c r="G173" s="188" t="s">
        <v>43</v>
      </c>
      <c r="H173" s="187" t="s">
        <v>33</v>
      </c>
      <c r="I173" s="194" t="s">
        <v>1353</v>
      </c>
    </row>
    <row r="174" spans="5:9">
      <c r="E174" s="186" t="s">
        <v>1356</v>
      </c>
      <c r="F174" s="187" t="s">
        <v>33</v>
      </c>
      <c r="G174" s="188" t="s">
        <v>34</v>
      </c>
      <c r="H174" s="187" t="s">
        <v>33</v>
      </c>
      <c r="I174" s="194" t="s">
        <v>1357</v>
      </c>
    </row>
    <row r="175" spans="5:9">
      <c r="E175" s="186" t="s">
        <v>1359</v>
      </c>
      <c r="F175" s="187" t="s">
        <v>33</v>
      </c>
      <c r="G175" s="188" t="s">
        <v>34</v>
      </c>
      <c r="H175" s="187" t="s">
        <v>35</v>
      </c>
      <c r="I175" s="194" t="s">
        <v>1360</v>
      </c>
    </row>
    <row r="176" spans="5:9">
      <c r="E176" s="186" t="s">
        <v>1363</v>
      </c>
      <c r="F176" s="187" t="s">
        <v>33</v>
      </c>
      <c r="G176" s="188" t="s">
        <v>34</v>
      </c>
      <c r="H176" s="187" t="s">
        <v>35</v>
      </c>
      <c r="I176" s="194" t="s">
        <v>1364</v>
      </c>
    </row>
    <row r="177" spans="5:9">
      <c r="E177" s="186" t="s">
        <v>1367</v>
      </c>
      <c r="F177" s="187" t="s">
        <v>33</v>
      </c>
      <c r="G177" s="188" t="s">
        <v>43</v>
      </c>
      <c r="H177" s="187" t="s">
        <v>33</v>
      </c>
      <c r="I177" s="194" t="s">
        <v>1368</v>
      </c>
    </row>
    <row r="178" spans="5:9">
      <c r="E178" s="186" t="s">
        <v>1372</v>
      </c>
      <c r="F178" s="187" t="s">
        <v>33</v>
      </c>
      <c r="G178" s="188" t="s">
        <v>43</v>
      </c>
      <c r="H178" s="187" t="s">
        <v>33</v>
      </c>
      <c r="I178" s="194" t="s">
        <v>1373</v>
      </c>
    </row>
    <row r="179" spans="5:9">
      <c r="E179" s="186" t="s">
        <v>1375</v>
      </c>
      <c r="F179" s="187" t="s">
        <v>33</v>
      </c>
      <c r="G179" s="188" t="s">
        <v>34</v>
      </c>
      <c r="H179" s="187" t="s">
        <v>35</v>
      </c>
      <c r="I179" s="194" t="s">
        <v>1376</v>
      </c>
    </row>
    <row r="180" spans="5:9">
      <c r="E180" s="186" t="s">
        <v>1022</v>
      </c>
      <c r="F180" s="187" t="s">
        <v>33</v>
      </c>
      <c r="G180" s="188" t="s">
        <v>34</v>
      </c>
      <c r="H180" s="187" t="s">
        <v>33</v>
      </c>
      <c r="I180" s="194" t="s">
        <v>1377</v>
      </c>
    </row>
    <row r="181" spans="5:9">
      <c r="E181" s="186" t="s">
        <v>1378</v>
      </c>
      <c r="F181" s="187" t="s">
        <v>35</v>
      </c>
      <c r="G181" s="189" t="s">
        <v>52</v>
      </c>
      <c r="H181" s="187" t="s">
        <v>35</v>
      </c>
      <c r="I181" s="194" t="s">
        <v>1379</v>
      </c>
    </row>
    <row r="182" spans="5:9">
      <c r="E182" s="186" t="s">
        <v>1380</v>
      </c>
      <c r="F182" s="187" t="s">
        <v>35</v>
      </c>
      <c r="G182" s="189" t="s">
        <v>52</v>
      </c>
      <c r="H182" s="187" t="s">
        <v>35</v>
      </c>
      <c r="I182" s="194" t="s">
        <v>1381</v>
      </c>
    </row>
    <row r="183" spans="5:9">
      <c r="E183" s="186" t="s">
        <v>1182</v>
      </c>
      <c r="F183" s="187" t="s">
        <v>35</v>
      </c>
      <c r="G183" s="189" t="s">
        <v>52</v>
      </c>
      <c r="H183" s="187" t="s">
        <v>35</v>
      </c>
      <c r="I183" s="194" t="s">
        <v>1382</v>
      </c>
    </row>
    <row r="184" spans="5:9">
      <c r="E184" s="186" t="s">
        <v>1383</v>
      </c>
      <c r="F184" s="187" t="s">
        <v>35</v>
      </c>
      <c r="G184" s="189" t="s">
        <v>52</v>
      </c>
      <c r="H184" s="187" t="s">
        <v>35</v>
      </c>
      <c r="I184" s="194" t="s">
        <v>1384</v>
      </c>
    </row>
    <row r="185" spans="5:9">
      <c r="E185" s="186" t="s">
        <v>1385</v>
      </c>
      <c r="F185" s="187" t="s">
        <v>35</v>
      </c>
      <c r="G185" s="189" t="s">
        <v>52</v>
      </c>
      <c r="H185" s="187" t="s">
        <v>35</v>
      </c>
      <c r="I185" s="194" t="s">
        <v>1386</v>
      </c>
    </row>
    <row r="186" spans="5:9">
      <c r="E186" s="186" t="s">
        <v>1121</v>
      </c>
      <c r="F186" s="187" t="s">
        <v>33</v>
      </c>
      <c r="G186" s="188" t="s">
        <v>34</v>
      </c>
      <c r="H186" s="187" t="s">
        <v>35</v>
      </c>
      <c r="I186" s="194" t="s">
        <v>1388</v>
      </c>
    </row>
    <row r="187" spans="5:9">
      <c r="E187" s="186" t="s">
        <v>1391</v>
      </c>
      <c r="F187" s="187" t="s">
        <v>33</v>
      </c>
      <c r="G187" s="188" t="s">
        <v>34</v>
      </c>
      <c r="H187" s="187" t="s">
        <v>35</v>
      </c>
      <c r="I187" s="194" t="s">
        <v>1392</v>
      </c>
    </row>
    <row r="188" spans="5:9">
      <c r="E188" s="186" t="s">
        <v>1395</v>
      </c>
      <c r="F188" s="187" t="s">
        <v>33</v>
      </c>
      <c r="G188" s="188" t="s">
        <v>34</v>
      </c>
      <c r="H188" s="187" t="s">
        <v>35</v>
      </c>
      <c r="I188" s="194" t="s">
        <v>1396</v>
      </c>
    </row>
    <row r="189" spans="5:9">
      <c r="E189" s="186" t="s">
        <v>1399</v>
      </c>
      <c r="F189" s="187" t="s">
        <v>33</v>
      </c>
      <c r="G189" s="188" t="s">
        <v>43</v>
      </c>
      <c r="H189" s="187" t="s">
        <v>33</v>
      </c>
      <c r="I189" s="194" t="s">
        <v>1400</v>
      </c>
    </row>
    <row r="190" spans="5:9">
      <c r="E190" s="186" t="s">
        <v>1404</v>
      </c>
      <c r="F190" s="187" t="s">
        <v>33</v>
      </c>
      <c r="G190" s="188" t="s">
        <v>43</v>
      </c>
      <c r="H190" s="187" t="s">
        <v>33</v>
      </c>
      <c r="I190" s="194" t="s">
        <v>1405</v>
      </c>
    </row>
    <row r="191" spans="5:9">
      <c r="E191" s="186" t="s">
        <v>1409</v>
      </c>
      <c r="F191" s="187" t="s">
        <v>33</v>
      </c>
      <c r="G191" s="188" t="s">
        <v>43</v>
      </c>
      <c r="H191" s="187" t="s">
        <v>33</v>
      </c>
      <c r="I191" s="194" t="s">
        <v>1410</v>
      </c>
    </row>
    <row r="192" spans="5:9">
      <c r="E192" s="186" t="s">
        <v>1412</v>
      </c>
      <c r="F192" s="187" t="s">
        <v>35</v>
      </c>
      <c r="G192" s="189" t="s">
        <v>52</v>
      </c>
      <c r="H192" s="187" t="s">
        <v>35</v>
      </c>
      <c r="I192" s="194" t="s">
        <v>1413</v>
      </c>
    </row>
    <row r="193" spans="5:9">
      <c r="E193" s="186" t="s">
        <v>1414</v>
      </c>
      <c r="F193" s="187" t="s">
        <v>35</v>
      </c>
      <c r="G193" s="189" t="s">
        <v>52</v>
      </c>
      <c r="H193" s="187" t="s">
        <v>35</v>
      </c>
      <c r="I193" s="194" t="s">
        <v>1415</v>
      </c>
    </row>
    <row r="194" spans="5:9">
      <c r="E194" s="186" t="s">
        <v>1416</v>
      </c>
      <c r="F194" s="187" t="s">
        <v>35</v>
      </c>
      <c r="G194" s="189" t="s">
        <v>52</v>
      </c>
      <c r="H194" s="187" t="s">
        <v>35</v>
      </c>
      <c r="I194" s="194" t="s">
        <v>1212</v>
      </c>
    </row>
    <row r="195" spans="5:9">
      <c r="E195" s="186" t="s">
        <v>1182</v>
      </c>
      <c r="F195" s="187" t="s">
        <v>35</v>
      </c>
      <c r="G195" s="189" t="s">
        <v>52</v>
      </c>
      <c r="H195" s="187" t="s">
        <v>35</v>
      </c>
      <c r="I195" s="194" t="s">
        <v>1417</v>
      </c>
    </row>
    <row r="196" spans="5:9">
      <c r="E196" s="186" t="s">
        <v>1419</v>
      </c>
      <c r="F196" s="187" t="s">
        <v>33</v>
      </c>
      <c r="G196" s="188" t="s">
        <v>34</v>
      </c>
      <c r="H196" s="187" t="s">
        <v>35</v>
      </c>
      <c r="I196" s="194" t="s">
        <v>1420</v>
      </c>
    </row>
    <row r="197" spans="5:9">
      <c r="E197" s="186" t="s">
        <v>1423</v>
      </c>
      <c r="F197" s="187" t="s">
        <v>33</v>
      </c>
      <c r="G197" s="188" t="s">
        <v>43</v>
      </c>
      <c r="H197" s="187" t="s">
        <v>33</v>
      </c>
      <c r="I197" s="194" t="s">
        <v>1424</v>
      </c>
    </row>
    <row r="198" spans="5:9">
      <c r="E198" s="186" t="s">
        <v>1249</v>
      </c>
      <c r="F198" s="187" t="s">
        <v>33</v>
      </c>
      <c r="G198" s="188" t="s">
        <v>34</v>
      </c>
      <c r="H198" s="187" t="s">
        <v>35</v>
      </c>
      <c r="I198" s="194" t="s">
        <v>1427</v>
      </c>
    </row>
    <row r="199" spans="5:9">
      <c r="E199" s="186" t="s">
        <v>1430</v>
      </c>
      <c r="F199" s="187" t="s">
        <v>33</v>
      </c>
      <c r="G199" s="188" t="s">
        <v>43</v>
      </c>
      <c r="H199" s="187" t="s">
        <v>33</v>
      </c>
      <c r="I199" s="194" t="s">
        <v>1431</v>
      </c>
    </row>
    <row r="200" spans="5:9">
      <c r="E200" s="186" t="s">
        <v>1434</v>
      </c>
      <c r="F200" s="187" t="s">
        <v>33</v>
      </c>
      <c r="G200" s="188" t="s">
        <v>43</v>
      </c>
      <c r="H200" s="187" t="s">
        <v>33</v>
      </c>
      <c r="I200" s="194" t="s">
        <v>1435</v>
      </c>
    </row>
    <row r="201" spans="5:9">
      <c r="E201" s="186" t="s">
        <v>42</v>
      </c>
      <c r="F201" s="187" t="s">
        <v>33</v>
      </c>
      <c r="G201" s="188" t="s">
        <v>34</v>
      </c>
      <c r="H201" s="187" t="s">
        <v>35</v>
      </c>
      <c r="I201" s="194" t="s">
        <v>1439</v>
      </c>
    </row>
    <row r="202" spans="5:9">
      <c r="E202" s="186" t="s">
        <v>1315</v>
      </c>
      <c r="F202" s="187" t="s">
        <v>35</v>
      </c>
      <c r="G202" s="189" t="s">
        <v>52</v>
      </c>
      <c r="H202" s="187" t="s">
        <v>35</v>
      </c>
      <c r="I202" s="194" t="s">
        <v>1441</v>
      </c>
    </row>
    <row r="203" spans="5:9">
      <c r="E203" s="186" t="s">
        <v>1442</v>
      </c>
      <c r="F203" s="187" t="s">
        <v>35</v>
      </c>
      <c r="G203" s="189" t="s">
        <v>52</v>
      </c>
      <c r="H203" s="187" t="s">
        <v>35</v>
      </c>
      <c r="I203" s="194" t="s">
        <v>1443</v>
      </c>
    </row>
    <row r="204" spans="5:9">
      <c r="E204" s="186" t="s">
        <v>1444</v>
      </c>
      <c r="F204" s="187" t="s">
        <v>35</v>
      </c>
      <c r="G204" s="189" t="s">
        <v>52</v>
      </c>
      <c r="H204" s="187" t="s">
        <v>35</v>
      </c>
      <c r="I204" s="194" t="s">
        <v>1445</v>
      </c>
    </row>
    <row r="205" spans="5:9">
      <c r="E205" s="186" t="s">
        <v>1446</v>
      </c>
      <c r="F205" s="187" t="s">
        <v>35</v>
      </c>
      <c r="G205" s="189" t="s">
        <v>52</v>
      </c>
      <c r="H205" s="187" t="s">
        <v>35</v>
      </c>
      <c r="I205" s="194" t="s">
        <v>1447</v>
      </c>
    </row>
    <row r="206" spans="5:9">
      <c r="E206" s="186" t="s">
        <v>1449</v>
      </c>
      <c r="F206" s="187" t="s">
        <v>33</v>
      </c>
      <c r="G206" s="188" t="s">
        <v>34</v>
      </c>
      <c r="H206" s="187" t="s">
        <v>35</v>
      </c>
      <c r="I206" s="194" t="s">
        <v>1450</v>
      </c>
    </row>
    <row r="207" spans="5:9">
      <c r="E207" s="186" t="s">
        <v>1453</v>
      </c>
      <c r="F207" s="187" t="s">
        <v>33</v>
      </c>
      <c r="G207" s="188" t="s">
        <v>43</v>
      </c>
      <c r="H207" s="187" t="s">
        <v>33</v>
      </c>
      <c r="I207" s="194" t="s">
        <v>1454</v>
      </c>
    </row>
    <row r="208" spans="5:9">
      <c r="E208" s="186" t="s">
        <v>1094</v>
      </c>
      <c r="F208" s="187" t="s">
        <v>33</v>
      </c>
      <c r="G208" s="188" t="s">
        <v>34</v>
      </c>
      <c r="H208" s="187" t="s">
        <v>35</v>
      </c>
      <c r="I208" s="194" t="s">
        <v>1457</v>
      </c>
    </row>
    <row r="209" spans="5:9">
      <c r="E209" s="186" t="s">
        <v>1135</v>
      </c>
      <c r="F209" s="187" t="s">
        <v>33</v>
      </c>
      <c r="G209" s="188" t="s">
        <v>43</v>
      </c>
      <c r="H209" s="187" t="s">
        <v>33</v>
      </c>
      <c r="I209" s="194" t="s">
        <v>1460</v>
      </c>
    </row>
    <row r="210" spans="5:9">
      <c r="E210" s="186" t="s">
        <v>1333</v>
      </c>
      <c r="F210" s="187" t="s">
        <v>33</v>
      </c>
      <c r="G210" s="188" t="s">
        <v>34</v>
      </c>
      <c r="H210" s="187" t="s">
        <v>35</v>
      </c>
      <c r="I210" s="194" t="s">
        <v>1462</v>
      </c>
    </row>
    <row r="211" spans="5:9">
      <c r="E211" s="186" t="s">
        <v>1175</v>
      </c>
      <c r="F211" s="187" t="s">
        <v>33</v>
      </c>
      <c r="G211" s="188" t="s">
        <v>43</v>
      </c>
      <c r="H211" s="187" t="s">
        <v>33</v>
      </c>
      <c r="I211" s="194" t="s">
        <v>1466</v>
      </c>
    </row>
    <row r="212" spans="5:9">
      <c r="E212" s="186" t="s">
        <v>1468</v>
      </c>
      <c r="F212" s="187" t="s">
        <v>35</v>
      </c>
      <c r="G212" s="189" t="s">
        <v>52</v>
      </c>
      <c r="H212" s="187" t="s">
        <v>35</v>
      </c>
      <c r="I212" s="194" t="s">
        <v>1469</v>
      </c>
    </row>
    <row r="213" spans="5:9">
      <c r="E213" s="186" t="s">
        <v>1245</v>
      </c>
      <c r="F213" s="187" t="s">
        <v>35</v>
      </c>
      <c r="G213" s="189" t="s">
        <v>52</v>
      </c>
      <c r="H213" s="187" t="s">
        <v>35</v>
      </c>
      <c r="I213" s="194" t="s">
        <v>1470</v>
      </c>
    </row>
    <row r="214" spans="5:9">
      <c r="E214" s="186" t="s">
        <v>1471</v>
      </c>
      <c r="F214" s="187" t="s">
        <v>35</v>
      </c>
      <c r="G214" s="189" t="s">
        <v>52</v>
      </c>
      <c r="H214" s="187" t="s">
        <v>35</v>
      </c>
      <c r="I214" s="194" t="s">
        <v>1472</v>
      </c>
    </row>
    <row r="215" spans="5:9">
      <c r="E215" s="186" t="s">
        <v>1182</v>
      </c>
      <c r="F215" s="187" t="s">
        <v>35</v>
      </c>
      <c r="G215" s="189" t="s">
        <v>52</v>
      </c>
      <c r="H215" s="187" t="s">
        <v>35</v>
      </c>
      <c r="I215" s="194" t="s">
        <v>1473</v>
      </c>
    </row>
    <row r="216" spans="5:9">
      <c r="E216" s="186" t="s">
        <v>1475</v>
      </c>
      <c r="F216" s="187" t="s">
        <v>33</v>
      </c>
      <c r="G216" s="188" t="s">
        <v>34</v>
      </c>
      <c r="H216" s="187" t="s">
        <v>35</v>
      </c>
      <c r="I216" s="194" t="s">
        <v>1476</v>
      </c>
    </row>
    <row r="217" spans="5:9">
      <c r="E217" s="186" t="s">
        <v>1480</v>
      </c>
      <c r="F217" s="187" t="s">
        <v>33</v>
      </c>
      <c r="G217" s="188" t="s">
        <v>43</v>
      </c>
      <c r="H217" s="187" t="s">
        <v>33</v>
      </c>
      <c r="I217" s="194" t="s">
        <v>1481</v>
      </c>
    </row>
    <row r="218" spans="5:9">
      <c r="E218" s="186" t="s">
        <v>1485</v>
      </c>
      <c r="F218" s="187" t="s">
        <v>33</v>
      </c>
      <c r="G218" s="188" t="s">
        <v>34</v>
      </c>
      <c r="H218" s="187" t="s">
        <v>35</v>
      </c>
      <c r="I218" s="194" t="s">
        <v>1486</v>
      </c>
    </row>
    <row r="219" spans="5:9">
      <c r="E219" s="186" t="s">
        <v>1490</v>
      </c>
      <c r="F219" s="187" t="s">
        <v>33</v>
      </c>
      <c r="G219" s="188" t="s">
        <v>43</v>
      </c>
      <c r="H219" s="187" t="s">
        <v>33</v>
      </c>
      <c r="I219" s="194" t="s">
        <v>1491</v>
      </c>
    </row>
    <row r="220" spans="5:9">
      <c r="E220" s="186" t="s">
        <v>1495</v>
      </c>
      <c r="F220" s="187" t="s">
        <v>33</v>
      </c>
      <c r="G220" s="188" t="s">
        <v>34</v>
      </c>
      <c r="H220" s="187" t="s">
        <v>33</v>
      </c>
      <c r="I220" s="194" t="s">
        <v>1496</v>
      </c>
    </row>
    <row r="221" spans="5:9">
      <c r="E221" s="186" t="s">
        <v>1500</v>
      </c>
      <c r="F221" s="187" t="s">
        <v>33</v>
      </c>
      <c r="G221" s="188" t="s">
        <v>43</v>
      </c>
      <c r="H221" s="187" t="s">
        <v>33</v>
      </c>
      <c r="I221" s="194" t="s">
        <v>1501</v>
      </c>
    </row>
    <row r="222" spans="5:9">
      <c r="E222" s="186" t="s">
        <v>1503</v>
      </c>
      <c r="F222" s="187" t="s">
        <v>33</v>
      </c>
      <c r="G222" s="188" t="s">
        <v>43</v>
      </c>
      <c r="H222" s="187" t="s">
        <v>33</v>
      </c>
      <c r="I222" s="194" t="s">
        <v>1504</v>
      </c>
    </row>
    <row r="223" spans="5:9">
      <c r="E223" s="186" t="s">
        <v>1505</v>
      </c>
      <c r="F223" s="187" t="s">
        <v>33</v>
      </c>
      <c r="G223" s="188" t="s">
        <v>34</v>
      </c>
      <c r="H223" s="187" t="s">
        <v>35</v>
      </c>
      <c r="I223" s="194" t="s">
        <v>1506</v>
      </c>
    </row>
    <row r="224" spans="5:9">
      <c r="E224" s="186" t="s">
        <v>1507</v>
      </c>
      <c r="F224" s="187" t="s">
        <v>35</v>
      </c>
      <c r="G224" s="189" t="s">
        <v>52</v>
      </c>
      <c r="H224" s="187" t="s">
        <v>35</v>
      </c>
      <c r="I224" s="194" t="s">
        <v>1508</v>
      </c>
    </row>
    <row r="225" spans="5:9">
      <c r="E225" s="186" t="s">
        <v>1509</v>
      </c>
      <c r="F225" s="187" t="s">
        <v>35</v>
      </c>
      <c r="G225" s="189" t="s">
        <v>52</v>
      </c>
      <c r="H225" s="187" t="s">
        <v>35</v>
      </c>
      <c r="I225" s="194" t="s">
        <v>1510</v>
      </c>
    </row>
    <row r="226" spans="5:9">
      <c r="E226" s="186" t="s">
        <v>1511</v>
      </c>
      <c r="F226" s="187" t="s">
        <v>35</v>
      </c>
      <c r="G226" s="189" t="s">
        <v>52</v>
      </c>
      <c r="H226" s="187" t="s">
        <v>35</v>
      </c>
      <c r="I226" s="194" t="s">
        <v>1512</v>
      </c>
    </row>
    <row r="227" spans="5:9">
      <c r="E227" s="186" t="s">
        <v>1514</v>
      </c>
      <c r="F227" s="187" t="s">
        <v>33</v>
      </c>
      <c r="G227" s="188" t="s">
        <v>43</v>
      </c>
      <c r="H227" s="187" t="s">
        <v>33</v>
      </c>
      <c r="I227" s="194" t="s">
        <v>1515</v>
      </c>
    </row>
    <row r="228" spans="5:9">
      <c r="E228" s="186" t="s">
        <v>1517</v>
      </c>
      <c r="F228" s="187" t="s">
        <v>33</v>
      </c>
      <c r="G228" s="188" t="s">
        <v>34</v>
      </c>
      <c r="H228" s="187" t="s">
        <v>33</v>
      </c>
      <c r="I228" s="194" t="s">
        <v>1518</v>
      </c>
    </row>
    <row r="229" spans="5:9">
      <c r="E229" s="186" t="s">
        <v>1521</v>
      </c>
      <c r="F229" s="187" t="s">
        <v>33</v>
      </c>
      <c r="G229" s="188" t="s">
        <v>34</v>
      </c>
      <c r="H229" s="187" t="s">
        <v>35</v>
      </c>
      <c r="I229" s="194" t="s">
        <v>1396</v>
      </c>
    </row>
    <row r="230" spans="5:9">
      <c r="E230" s="186" t="s">
        <v>1525</v>
      </c>
      <c r="F230" s="187" t="s">
        <v>33</v>
      </c>
      <c r="G230" s="188" t="s">
        <v>34</v>
      </c>
      <c r="H230" s="187" t="s">
        <v>35</v>
      </c>
      <c r="I230" s="194" t="s">
        <v>962</v>
      </c>
    </row>
    <row r="231" spans="5:9">
      <c r="E231" s="186" t="s">
        <v>1528</v>
      </c>
      <c r="F231" s="187" t="s">
        <v>33</v>
      </c>
      <c r="G231" s="188" t="s">
        <v>43</v>
      </c>
      <c r="H231" s="187" t="s">
        <v>33</v>
      </c>
      <c r="I231" s="194" t="s">
        <v>1529</v>
      </c>
    </row>
    <row r="232" spans="5:9">
      <c r="E232" s="186" t="s">
        <v>1533</v>
      </c>
      <c r="F232" s="187" t="s">
        <v>33</v>
      </c>
      <c r="G232" s="188" t="s">
        <v>43</v>
      </c>
      <c r="H232" s="187" t="s">
        <v>33</v>
      </c>
      <c r="I232" s="194" t="s">
        <v>1534</v>
      </c>
    </row>
    <row r="233" spans="5:9">
      <c r="E233" s="186" t="s">
        <v>1536</v>
      </c>
      <c r="F233" s="187" t="s">
        <v>33</v>
      </c>
      <c r="G233" s="188" t="s">
        <v>43</v>
      </c>
      <c r="H233" s="187" t="s">
        <v>33</v>
      </c>
      <c r="I233" s="194" t="s">
        <v>1537</v>
      </c>
    </row>
    <row r="234" spans="5:9">
      <c r="E234" s="186" t="s">
        <v>1149</v>
      </c>
      <c r="F234" s="187" t="s">
        <v>33</v>
      </c>
      <c r="G234" s="188" t="s">
        <v>34</v>
      </c>
      <c r="H234" s="187" t="s">
        <v>35</v>
      </c>
      <c r="I234" s="194" t="s">
        <v>1538</v>
      </c>
    </row>
    <row r="235" spans="5:9">
      <c r="E235" s="186" t="s">
        <v>1160</v>
      </c>
      <c r="F235" s="187" t="s">
        <v>35</v>
      </c>
      <c r="G235" s="189" t="s">
        <v>52</v>
      </c>
      <c r="H235" s="187" t="s">
        <v>35</v>
      </c>
      <c r="I235" s="194" t="s">
        <v>1539</v>
      </c>
    </row>
    <row r="236" spans="5:9">
      <c r="E236" s="186" t="s">
        <v>1414</v>
      </c>
      <c r="F236" s="187" t="s">
        <v>35</v>
      </c>
      <c r="G236" s="189" t="s">
        <v>52</v>
      </c>
      <c r="H236" s="187" t="s">
        <v>35</v>
      </c>
      <c r="I236" s="194" t="s">
        <v>1540</v>
      </c>
    </row>
    <row r="237" spans="5:9">
      <c r="E237" s="186" t="s">
        <v>1541</v>
      </c>
      <c r="F237" s="187" t="s">
        <v>33</v>
      </c>
      <c r="G237" s="188" t="s">
        <v>43</v>
      </c>
      <c r="H237" s="187" t="s">
        <v>33</v>
      </c>
      <c r="I237" s="194" t="s">
        <v>1542</v>
      </c>
    </row>
    <row r="238" spans="5:9">
      <c r="E238" s="186" t="s">
        <v>1545</v>
      </c>
      <c r="F238" s="187" t="s">
        <v>33</v>
      </c>
      <c r="G238" s="188" t="s">
        <v>34</v>
      </c>
      <c r="H238" s="187" t="s">
        <v>35</v>
      </c>
      <c r="I238" s="194" t="s">
        <v>1546</v>
      </c>
    </row>
    <row r="239" spans="5:9">
      <c r="E239" s="186" t="s">
        <v>1359</v>
      </c>
      <c r="F239" s="187" t="s">
        <v>33</v>
      </c>
      <c r="G239" s="188" t="s">
        <v>34</v>
      </c>
      <c r="H239" s="187" t="s">
        <v>33</v>
      </c>
      <c r="I239" s="194" t="s">
        <v>1549</v>
      </c>
    </row>
    <row r="240" spans="5:9">
      <c r="E240" s="186" t="s">
        <v>1553</v>
      </c>
      <c r="F240" s="187" t="s">
        <v>33</v>
      </c>
      <c r="G240" s="188" t="s">
        <v>43</v>
      </c>
      <c r="H240" s="187" t="s">
        <v>33</v>
      </c>
      <c r="I240" s="194" t="s">
        <v>1554</v>
      </c>
    </row>
    <row r="241" spans="5:9">
      <c r="E241" s="186" t="s">
        <v>1557</v>
      </c>
      <c r="F241" s="187" t="s">
        <v>33</v>
      </c>
      <c r="G241" s="188" t="s">
        <v>43</v>
      </c>
      <c r="H241" s="187" t="s">
        <v>33</v>
      </c>
      <c r="I241" s="194" t="s">
        <v>1558</v>
      </c>
    </row>
    <row r="242" spans="5:9">
      <c r="E242" s="186" t="s">
        <v>1562</v>
      </c>
      <c r="F242" s="187" t="s">
        <v>33</v>
      </c>
      <c r="G242" s="188" t="s">
        <v>34</v>
      </c>
      <c r="H242" s="187" t="s">
        <v>35</v>
      </c>
      <c r="I242" s="194" t="s">
        <v>1563</v>
      </c>
    </row>
    <row r="243" spans="5:9">
      <c r="E243" s="186" t="s">
        <v>1565</v>
      </c>
      <c r="F243" s="187" t="s">
        <v>35</v>
      </c>
      <c r="G243" s="189" t="s">
        <v>52</v>
      </c>
      <c r="H243" s="187" t="s">
        <v>35</v>
      </c>
      <c r="I243" s="194" t="s">
        <v>1566</v>
      </c>
    </row>
    <row r="244" spans="5:9">
      <c r="E244" s="186" t="s">
        <v>924</v>
      </c>
      <c r="F244" s="187" t="s">
        <v>35</v>
      </c>
      <c r="G244" s="189" t="s">
        <v>52</v>
      </c>
      <c r="H244" s="187" t="s">
        <v>35</v>
      </c>
      <c r="I244" s="194" t="s">
        <v>1567</v>
      </c>
    </row>
    <row r="245" spans="5:9">
      <c r="E245" s="186" t="s">
        <v>1568</v>
      </c>
      <c r="F245" s="187" t="s">
        <v>35</v>
      </c>
      <c r="G245" s="189" t="s">
        <v>52</v>
      </c>
      <c r="H245" s="187" t="s">
        <v>35</v>
      </c>
      <c r="I245" s="194" t="s">
        <v>1569</v>
      </c>
    </row>
    <row r="246" spans="5:9">
      <c r="E246" s="186" t="s">
        <v>1570</v>
      </c>
      <c r="F246" s="187" t="s">
        <v>35</v>
      </c>
      <c r="G246" s="189" t="s">
        <v>52</v>
      </c>
      <c r="H246" s="187" t="s">
        <v>35</v>
      </c>
      <c r="I246" s="194" t="s">
        <v>1183</v>
      </c>
    </row>
    <row r="247" spans="5:9">
      <c r="E247" s="186" t="s">
        <v>1485</v>
      </c>
      <c r="F247" s="187" t="s">
        <v>33</v>
      </c>
      <c r="G247" s="188" t="s">
        <v>34</v>
      </c>
      <c r="H247" s="187" t="s">
        <v>35</v>
      </c>
      <c r="I247" s="194" t="s">
        <v>1571</v>
      </c>
    </row>
    <row r="248" spans="5:9">
      <c r="E248" s="186" t="s">
        <v>1574</v>
      </c>
      <c r="F248" s="187" t="s">
        <v>33</v>
      </c>
      <c r="G248" s="188" t="s">
        <v>34</v>
      </c>
      <c r="H248" s="187" t="s">
        <v>35</v>
      </c>
      <c r="I248" s="194" t="s">
        <v>1575</v>
      </c>
    </row>
    <row r="249" spans="5:9">
      <c r="E249" s="186" t="s">
        <v>1490</v>
      </c>
      <c r="F249" s="187" t="s">
        <v>33</v>
      </c>
      <c r="G249" s="188" t="s">
        <v>43</v>
      </c>
      <c r="H249" s="187" t="s">
        <v>33</v>
      </c>
      <c r="I249" s="194" t="s">
        <v>1578</v>
      </c>
    </row>
    <row r="250" spans="5:9">
      <c r="E250" s="186" t="s">
        <v>1581</v>
      </c>
      <c r="F250" s="187" t="s">
        <v>33</v>
      </c>
      <c r="G250" s="188" t="s">
        <v>34</v>
      </c>
      <c r="H250" s="187" t="s">
        <v>33</v>
      </c>
      <c r="I250" s="194" t="s">
        <v>1582</v>
      </c>
    </row>
    <row r="251" spans="5:9">
      <c r="E251" s="186" t="s">
        <v>1585</v>
      </c>
      <c r="F251" s="187" t="s">
        <v>33</v>
      </c>
      <c r="G251" s="188" t="s">
        <v>43</v>
      </c>
      <c r="H251" s="187" t="s">
        <v>33</v>
      </c>
      <c r="I251" s="194" t="s">
        <v>1586</v>
      </c>
    </row>
    <row r="252" spans="5:9">
      <c r="E252" s="186" t="s">
        <v>1590</v>
      </c>
      <c r="F252" s="187" t="s">
        <v>35</v>
      </c>
      <c r="G252" s="189" t="s">
        <v>52</v>
      </c>
      <c r="H252" s="187" t="s">
        <v>35</v>
      </c>
      <c r="I252" s="194" t="s">
        <v>1591</v>
      </c>
    </row>
    <row r="253" spans="5:9">
      <c r="E253" s="186" t="s">
        <v>1593</v>
      </c>
      <c r="F253" s="187" t="s">
        <v>35</v>
      </c>
      <c r="G253" s="189" t="s">
        <v>52</v>
      </c>
      <c r="H253" s="187" t="s">
        <v>35</v>
      </c>
      <c r="I253" s="194" t="s">
        <v>1594</v>
      </c>
    </row>
    <row r="254" spans="5:9">
      <c r="E254" s="186" t="s">
        <v>1595</v>
      </c>
      <c r="F254" s="187" t="s">
        <v>35</v>
      </c>
      <c r="G254" s="189" t="s">
        <v>52</v>
      </c>
      <c r="H254" s="187" t="s">
        <v>35</v>
      </c>
      <c r="I254" s="194" t="s">
        <v>1596</v>
      </c>
    </row>
    <row r="255" spans="5:9">
      <c r="E255" s="186" t="s">
        <v>1597</v>
      </c>
      <c r="F255" s="187" t="s">
        <v>35</v>
      </c>
      <c r="G255" s="189" t="s">
        <v>52</v>
      </c>
      <c r="H255" s="187" t="s">
        <v>35</v>
      </c>
      <c r="I255" s="194" t="s">
        <v>1598</v>
      </c>
    </row>
    <row r="256" spans="5:9">
      <c r="E256" s="186" t="s">
        <v>1182</v>
      </c>
      <c r="F256" s="187" t="s">
        <v>35</v>
      </c>
      <c r="G256" s="189" t="s">
        <v>52</v>
      </c>
      <c r="H256" s="187" t="s">
        <v>35</v>
      </c>
      <c r="I256" s="194" t="s">
        <v>1599</v>
      </c>
    </row>
    <row r="257" spans="5:9">
      <c r="E257" s="186" t="s">
        <v>1600</v>
      </c>
      <c r="F257" s="187" t="s">
        <v>33</v>
      </c>
      <c r="G257" s="188" t="s">
        <v>43</v>
      </c>
      <c r="H257" s="187" t="s">
        <v>33</v>
      </c>
      <c r="I257" s="194" t="s">
        <v>1601</v>
      </c>
    </row>
    <row r="258" spans="5:9">
      <c r="E258" s="186" t="s">
        <v>1604</v>
      </c>
      <c r="F258" s="187" t="s">
        <v>33</v>
      </c>
      <c r="G258" s="188" t="s">
        <v>34</v>
      </c>
      <c r="H258" s="187" t="s">
        <v>35</v>
      </c>
      <c r="I258" s="194" t="s">
        <v>1605</v>
      </c>
    </row>
    <row r="259" spans="5:9">
      <c r="E259" s="186" t="s">
        <v>1608</v>
      </c>
      <c r="F259" s="187" t="s">
        <v>33</v>
      </c>
      <c r="G259" s="188" t="s">
        <v>43</v>
      </c>
      <c r="H259" s="187" t="s">
        <v>33</v>
      </c>
      <c r="I259" s="194" t="s">
        <v>1609</v>
      </c>
    </row>
    <row r="260" spans="5:9">
      <c r="E260" s="186" t="s">
        <v>1612</v>
      </c>
      <c r="F260" s="187" t="s">
        <v>33</v>
      </c>
      <c r="G260" s="188" t="s">
        <v>34</v>
      </c>
      <c r="H260" s="187" t="s">
        <v>35</v>
      </c>
      <c r="I260" s="194" t="s">
        <v>1613</v>
      </c>
    </row>
    <row r="261" spans="5:9">
      <c r="E261" s="186" t="s">
        <v>1616</v>
      </c>
      <c r="F261" s="187" t="s">
        <v>33</v>
      </c>
      <c r="G261" s="188" t="s">
        <v>43</v>
      </c>
      <c r="H261" s="187" t="s">
        <v>33</v>
      </c>
      <c r="I261" s="194" t="s">
        <v>1617</v>
      </c>
    </row>
    <row r="262" spans="5:9">
      <c r="E262" s="186" t="s">
        <v>1621</v>
      </c>
      <c r="F262" s="187" t="s">
        <v>33</v>
      </c>
      <c r="G262" s="188" t="s">
        <v>43</v>
      </c>
      <c r="H262" s="187" t="s">
        <v>33</v>
      </c>
      <c r="I262" s="194" t="s">
        <v>1622</v>
      </c>
    </row>
    <row r="263" spans="5:9">
      <c r="E263" s="186" t="s">
        <v>1624</v>
      </c>
      <c r="F263" s="187" t="s">
        <v>33</v>
      </c>
      <c r="G263" s="188" t="s">
        <v>34</v>
      </c>
      <c r="H263" s="187" t="s">
        <v>33</v>
      </c>
      <c r="I263" s="194" t="s">
        <v>1625</v>
      </c>
    </row>
    <row r="264" spans="5:9">
      <c r="E264" s="186" t="s">
        <v>1626</v>
      </c>
      <c r="F264" s="187" t="s">
        <v>35</v>
      </c>
      <c r="G264" s="189" t="s">
        <v>52</v>
      </c>
      <c r="H264" s="187" t="s">
        <v>35</v>
      </c>
      <c r="I264" s="194" t="s">
        <v>1627</v>
      </c>
    </row>
    <row r="265" spans="5:9">
      <c r="E265" s="186" t="s">
        <v>1628</v>
      </c>
      <c r="F265" s="187" t="s">
        <v>35</v>
      </c>
      <c r="G265" s="189" t="s">
        <v>52</v>
      </c>
      <c r="H265" s="187" t="s">
        <v>35</v>
      </c>
      <c r="I265" s="194" t="s">
        <v>1629</v>
      </c>
    </row>
    <row r="266" spans="5:9">
      <c r="E266" s="186" t="s">
        <v>1630</v>
      </c>
      <c r="F266" s="187" t="s">
        <v>35</v>
      </c>
      <c r="G266" s="189" t="s">
        <v>52</v>
      </c>
      <c r="H266" s="187" t="s">
        <v>35</v>
      </c>
      <c r="I266" s="194" t="s">
        <v>1631</v>
      </c>
    </row>
    <row r="267" spans="5:9">
      <c r="E267" s="186" t="s">
        <v>1632</v>
      </c>
      <c r="F267" s="187" t="s">
        <v>33</v>
      </c>
      <c r="G267" s="188" t="s">
        <v>34</v>
      </c>
      <c r="H267" s="187" t="s">
        <v>35</v>
      </c>
      <c r="I267" s="194" t="s">
        <v>1633</v>
      </c>
    </row>
    <row r="268" spans="5:9">
      <c r="E268" s="186" t="s">
        <v>1356</v>
      </c>
      <c r="F268" s="187" t="s">
        <v>33</v>
      </c>
      <c r="G268" s="188" t="s">
        <v>43</v>
      </c>
      <c r="H268" s="187" t="s">
        <v>33</v>
      </c>
      <c r="I268" s="194" t="s">
        <v>1636</v>
      </c>
    </row>
    <row r="269" spans="5:9">
      <c r="E269" s="186" t="s">
        <v>1638</v>
      </c>
      <c r="F269" s="187" t="s">
        <v>33</v>
      </c>
      <c r="G269" s="188" t="s">
        <v>34</v>
      </c>
      <c r="H269" s="187" t="s">
        <v>35</v>
      </c>
      <c r="I269" s="194" t="s">
        <v>1427</v>
      </c>
    </row>
    <row r="270" spans="5:9">
      <c r="E270" s="186" t="s">
        <v>1553</v>
      </c>
      <c r="F270" s="187" t="s">
        <v>33</v>
      </c>
      <c r="G270" s="188" t="s">
        <v>43</v>
      </c>
      <c r="H270" s="187" t="s">
        <v>33</v>
      </c>
      <c r="I270" s="194" t="s">
        <v>1641</v>
      </c>
    </row>
    <row r="271" spans="5:9">
      <c r="E271" s="186" t="s">
        <v>1434</v>
      </c>
      <c r="F271" s="187" t="s">
        <v>33</v>
      </c>
      <c r="G271" s="188" t="s">
        <v>43</v>
      </c>
      <c r="H271" s="187" t="s">
        <v>33</v>
      </c>
      <c r="I271" s="194" t="s">
        <v>1644</v>
      </c>
    </row>
    <row r="272" spans="5:9">
      <c r="E272" s="186" t="s">
        <v>1648</v>
      </c>
      <c r="F272" s="187" t="s">
        <v>35</v>
      </c>
      <c r="G272" s="189" t="s">
        <v>52</v>
      </c>
      <c r="H272" s="187" t="s">
        <v>35</v>
      </c>
      <c r="I272" s="194" t="s">
        <v>1649</v>
      </c>
    </row>
    <row r="273" spans="5:9">
      <c r="E273" s="186" t="s">
        <v>924</v>
      </c>
      <c r="F273" s="187" t="s">
        <v>35</v>
      </c>
      <c r="G273" s="189" t="s">
        <v>52</v>
      </c>
      <c r="H273" s="187" t="s">
        <v>35</v>
      </c>
      <c r="I273" s="194" t="s">
        <v>1651</v>
      </c>
    </row>
    <row r="274" spans="5:9">
      <c r="E274" s="186" t="s">
        <v>1652</v>
      </c>
      <c r="F274" s="187" t="s">
        <v>35</v>
      </c>
      <c r="G274" s="189" t="s">
        <v>52</v>
      </c>
      <c r="H274" s="187" t="s">
        <v>35</v>
      </c>
      <c r="I274" s="194" t="s">
        <v>1252</v>
      </c>
    </row>
    <row r="275" spans="5:9">
      <c r="E275" s="186" t="s">
        <v>1653</v>
      </c>
      <c r="F275" s="187" t="s">
        <v>35</v>
      </c>
      <c r="G275" s="189" t="s">
        <v>52</v>
      </c>
      <c r="H275" s="187" t="s">
        <v>35</v>
      </c>
      <c r="I275" s="194" t="s">
        <v>1599</v>
      </c>
    </row>
    <row r="276" spans="5:9">
      <c r="E276" s="186" t="s">
        <v>1654</v>
      </c>
      <c r="F276" s="187" t="s">
        <v>35</v>
      </c>
      <c r="G276" s="189" t="s">
        <v>52</v>
      </c>
      <c r="H276" s="187" t="s">
        <v>35</v>
      </c>
      <c r="I276" s="194" t="s">
        <v>1655</v>
      </c>
    </row>
    <row r="277" spans="5:9">
      <c r="E277" s="186" t="s">
        <v>1657</v>
      </c>
      <c r="F277" s="187" t="s">
        <v>33</v>
      </c>
      <c r="G277" s="188" t="s">
        <v>34</v>
      </c>
      <c r="H277" s="187" t="s">
        <v>35</v>
      </c>
      <c r="I277" s="194" t="s">
        <v>1658</v>
      </c>
    </row>
    <row r="278" spans="5:9">
      <c r="E278" s="186" t="s">
        <v>1661</v>
      </c>
      <c r="F278" s="187" t="s">
        <v>33</v>
      </c>
      <c r="G278" s="188" t="s">
        <v>43</v>
      </c>
      <c r="H278" s="187" t="s">
        <v>33</v>
      </c>
      <c r="I278" s="194" t="s">
        <v>1662</v>
      </c>
    </row>
    <row r="279" spans="5:9">
      <c r="E279" s="186" t="s">
        <v>1125</v>
      </c>
      <c r="F279" s="187" t="s">
        <v>33</v>
      </c>
      <c r="G279" s="188" t="s">
        <v>34</v>
      </c>
      <c r="H279" s="187" t="s">
        <v>35</v>
      </c>
      <c r="I279" s="194" t="s">
        <v>1665</v>
      </c>
    </row>
    <row r="280" spans="5:9">
      <c r="E280" s="186" t="s">
        <v>1668</v>
      </c>
      <c r="F280" s="187" t="s">
        <v>33</v>
      </c>
      <c r="G280" s="188" t="s">
        <v>43</v>
      </c>
      <c r="H280" s="187" t="s">
        <v>33</v>
      </c>
      <c r="I280" s="194" t="s">
        <v>1669</v>
      </c>
    </row>
    <row r="281" spans="5:9">
      <c r="E281" s="186" t="s">
        <v>1671</v>
      </c>
      <c r="F281" s="187" t="s">
        <v>33</v>
      </c>
      <c r="G281" s="188" t="s">
        <v>43</v>
      </c>
      <c r="H281" s="187" t="s">
        <v>33</v>
      </c>
      <c r="I281" s="194" t="s">
        <v>1672</v>
      </c>
    </row>
    <row r="282" spans="5:9">
      <c r="E282" s="186" t="s">
        <v>1675</v>
      </c>
      <c r="F282" s="187" t="s">
        <v>33</v>
      </c>
      <c r="G282" s="188" t="s">
        <v>34</v>
      </c>
      <c r="H282" s="187" t="s">
        <v>35</v>
      </c>
      <c r="I282" s="194" t="s">
        <v>1676</v>
      </c>
    </row>
    <row r="283" spans="5:9">
      <c r="E283" s="186" t="s">
        <v>1678</v>
      </c>
      <c r="F283" s="187" t="s">
        <v>35</v>
      </c>
      <c r="G283" s="189" t="s">
        <v>52</v>
      </c>
      <c r="H283" s="187" t="s">
        <v>35</v>
      </c>
      <c r="I283" s="194" t="s">
        <v>1116</v>
      </c>
    </row>
    <row r="284" spans="5:9">
      <c r="E284" s="186" t="s">
        <v>1679</v>
      </c>
      <c r="F284" s="187" t="s">
        <v>35</v>
      </c>
      <c r="G284" s="189" t="s">
        <v>52</v>
      </c>
      <c r="H284" s="187" t="s">
        <v>35</v>
      </c>
      <c r="I284" s="194" t="s">
        <v>1680</v>
      </c>
    </row>
    <row r="285" spans="5:9">
      <c r="E285" s="186" t="s">
        <v>1681</v>
      </c>
      <c r="F285" s="187" t="s">
        <v>35</v>
      </c>
      <c r="G285" s="189" t="s">
        <v>52</v>
      </c>
      <c r="H285" s="187" t="s">
        <v>35</v>
      </c>
      <c r="I285" s="194" t="s">
        <v>1682</v>
      </c>
    </row>
    <row r="286" spans="5:9">
      <c r="E286" s="186" t="s">
        <v>1684</v>
      </c>
      <c r="F286" s="187" t="s">
        <v>33</v>
      </c>
      <c r="G286" s="188" t="s">
        <v>34</v>
      </c>
      <c r="H286" s="187" t="s">
        <v>35</v>
      </c>
      <c r="I286" s="194" t="s">
        <v>1685</v>
      </c>
    </row>
    <row r="287" spans="5:9">
      <c r="E287" s="186" t="s">
        <v>1688</v>
      </c>
      <c r="F287" s="187" t="s">
        <v>33</v>
      </c>
      <c r="G287" s="188" t="s">
        <v>43</v>
      </c>
      <c r="H287" s="187" t="s">
        <v>33</v>
      </c>
      <c r="I287" s="194" t="s">
        <v>1689</v>
      </c>
    </row>
    <row r="288" spans="5:9">
      <c r="E288" s="186" t="s">
        <v>1608</v>
      </c>
      <c r="F288" s="187" t="s">
        <v>33</v>
      </c>
      <c r="G288" s="188" t="s">
        <v>34</v>
      </c>
      <c r="H288" s="187" t="s">
        <v>33</v>
      </c>
      <c r="I288" s="194" t="s">
        <v>1692</v>
      </c>
    </row>
    <row r="289" spans="5:9">
      <c r="E289" s="186" t="s">
        <v>1696</v>
      </c>
      <c r="F289" s="187" t="s">
        <v>33</v>
      </c>
      <c r="G289" s="188" t="s">
        <v>43</v>
      </c>
      <c r="H289" s="187" t="s">
        <v>33</v>
      </c>
      <c r="I289" s="194" t="s">
        <v>1697</v>
      </c>
    </row>
    <row r="290" spans="5:9">
      <c r="E290" s="186" t="s">
        <v>1700</v>
      </c>
      <c r="F290" s="187" t="s">
        <v>33</v>
      </c>
      <c r="G290" s="188" t="s">
        <v>43</v>
      </c>
      <c r="H290" s="187" t="s">
        <v>33</v>
      </c>
      <c r="I290" s="194" t="s">
        <v>1701</v>
      </c>
    </row>
    <row r="291" spans="5:9">
      <c r="E291" s="186" t="s">
        <v>1705</v>
      </c>
      <c r="F291" s="187" t="s">
        <v>35</v>
      </c>
      <c r="G291" s="189" t="s">
        <v>52</v>
      </c>
      <c r="H291" s="187" t="s">
        <v>35</v>
      </c>
      <c r="I291" s="194" t="s">
        <v>1706</v>
      </c>
    </row>
    <row r="292" spans="5:9">
      <c r="E292" s="186" t="s">
        <v>1385</v>
      </c>
      <c r="F292" s="187" t="s">
        <v>35</v>
      </c>
      <c r="G292" s="189" t="s">
        <v>52</v>
      </c>
      <c r="H292" s="187" t="s">
        <v>35</v>
      </c>
      <c r="I292" s="194" t="s">
        <v>1708</v>
      </c>
    </row>
    <row r="293" spans="5:9">
      <c r="E293" s="186" t="s">
        <v>1595</v>
      </c>
      <c r="F293" s="187" t="s">
        <v>35</v>
      </c>
      <c r="G293" s="189" t="s">
        <v>52</v>
      </c>
      <c r="H293" s="187" t="s">
        <v>35</v>
      </c>
      <c r="I293" s="194" t="s">
        <v>1709</v>
      </c>
    </row>
    <row r="294" spans="5:9">
      <c r="E294" s="186" t="s">
        <v>42</v>
      </c>
      <c r="F294" s="187" t="s">
        <v>35</v>
      </c>
      <c r="G294" s="189" t="s">
        <v>52</v>
      </c>
      <c r="H294" s="187" t="s">
        <v>35</v>
      </c>
      <c r="I294" s="194" t="s">
        <v>1086</v>
      </c>
    </row>
    <row r="295" spans="5:9">
      <c r="E295" s="186" t="s">
        <v>1710</v>
      </c>
      <c r="F295" s="187" t="s">
        <v>35</v>
      </c>
      <c r="G295" s="189" t="s">
        <v>52</v>
      </c>
      <c r="H295" s="187" t="s">
        <v>35</v>
      </c>
      <c r="I295" s="194" t="s">
        <v>1711</v>
      </c>
    </row>
    <row r="296" spans="5:9">
      <c r="E296" s="186" t="s">
        <v>1713</v>
      </c>
      <c r="F296" s="187" t="s">
        <v>33</v>
      </c>
      <c r="G296" s="188" t="s">
        <v>34</v>
      </c>
      <c r="H296" s="187" t="s">
        <v>35</v>
      </c>
      <c r="I296" s="194" t="s">
        <v>1714</v>
      </c>
    </row>
    <row r="297" spans="5:9">
      <c r="E297" s="186" t="s">
        <v>1716</v>
      </c>
      <c r="F297" s="187" t="s">
        <v>33</v>
      </c>
      <c r="G297" s="188" t="s">
        <v>43</v>
      </c>
      <c r="H297" s="187" t="s">
        <v>33</v>
      </c>
      <c r="I297" s="194" t="s">
        <v>1717</v>
      </c>
    </row>
    <row r="298" spans="5:9">
      <c r="E298" s="186" t="s">
        <v>1638</v>
      </c>
      <c r="F298" s="187" t="s">
        <v>33</v>
      </c>
      <c r="G298" s="188" t="s">
        <v>34</v>
      </c>
      <c r="H298" s="187" t="s">
        <v>35</v>
      </c>
      <c r="I298" s="194" t="s">
        <v>1720</v>
      </c>
    </row>
    <row r="299" spans="5:9">
      <c r="E299" s="186" t="s">
        <v>1723</v>
      </c>
      <c r="F299" s="187" t="s">
        <v>33</v>
      </c>
      <c r="G299" s="188" t="s">
        <v>43</v>
      </c>
      <c r="H299" s="187" t="s">
        <v>33</v>
      </c>
      <c r="I299" s="194" t="s">
        <v>1724</v>
      </c>
    </row>
    <row r="300" spans="5:9">
      <c r="E300" s="186" t="s">
        <v>1728</v>
      </c>
      <c r="F300" s="187" t="s">
        <v>33</v>
      </c>
      <c r="G300" s="188" t="s">
        <v>43</v>
      </c>
      <c r="H300" s="187" t="s">
        <v>33</v>
      </c>
      <c r="I300" s="194" t="s">
        <v>1729</v>
      </c>
    </row>
    <row r="301" spans="5:9">
      <c r="E301" s="186" t="s">
        <v>1733</v>
      </c>
      <c r="F301" s="187" t="s">
        <v>33</v>
      </c>
      <c r="G301" s="188" t="s">
        <v>43</v>
      </c>
      <c r="H301" s="187" t="s">
        <v>33</v>
      </c>
      <c r="I301" s="194" t="s">
        <v>1734</v>
      </c>
    </row>
    <row r="302" spans="5:9">
      <c r="E302" s="186" t="s">
        <v>1375</v>
      </c>
      <c r="F302" s="187" t="s">
        <v>33</v>
      </c>
      <c r="G302" s="188" t="s">
        <v>34</v>
      </c>
      <c r="H302" s="187" t="s">
        <v>35</v>
      </c>
      <c r="I302" s="194" t="s">
        <v>1736</v>
      </c>
    </row>
    <row r="303" spans="5:9">
      <c r="E303" s="186" t="s">
        <v>1553</v>
      </c>
      <c r="F303" s="187" t="s">
        <v>33</v>
      </c>
      <c r="G303" s="188" t="s">
        <v>43</v>
      </c>
      <c r="H303" s="187" t="s">
        <v>33</v>
      </c>
      <c r="I303" s="194" t="s">
        <v>1641</v>
      </c>
    </row>
    <row r="304" spans="5:9">
      <c r="E304" s="186" t="s">
        <v>1737</v>
      </c>
      <c r="F304" s="187" t="s">
        <v>33</v>
      </c>
      <c r="G304" s="188" t="s">
        <v>34</v>
      </c>
      <c r="H304" s="187" t="s">
        <v>35</v>
      </c>
      <c r="I304" s="194" t="s">
        <v>1738</v>
      </c>
    </row>
    <row r="305" spans="5:9">
      <c r="E305" s="186" t="s">
        <v>1739</v>
      </c>
      <c r="F305" s="187" t="s">
        <v>35</v>
      </c>
      <c r="G305" s="189" t="s">
        <v>52</v>
      </c>
      <c r="H305" s="187" t="s">
        <v>35</v>
      </c>
      <c r="I305" s="194" t="s">
        <v>1740</v>
      </c>
    </row>
    <row r="306" spans="5:9">
      <c r="E306" s="186" t="s">
        <v>924</v>
      </c>
      <c r="F306" s="187" t="s">
        <v>35</v>
      </c>
      <c r="G306" s="189" t="s">
        <v>52</v>
      </c>
      <c r="H306" s="187" t="s">
        <v>35</v>
      </c>
      <c r="I306" s="194" t="s">
        <v>1741</v>
      </c>
    </row>
    <row r="307" spans="5:9">
      <c r="E307" s="186" t="s">
        <v>1681</v>
      </c>
      <c r="F307" s="187" t="s">
        <v>35</v>
      </c>
      <c r="G307" s="189" t="s">
        <v>52</v>
      </c>
      <c r="H307" s="187" t="s">
        <v>35</v>
      </c>
      <c r="I307" s="194" t="s">
        <v>1742</v>
      </c>
    </row>
    <row r="308" spans="5:9">
      <c r="E308" s="186" t="s">
        <v>899</v>
      </c>
      <c r="F308" s="187" t="s">
        <v>33</v>
      </c>
      <c r="G308" s="188" t="s">
        <v>43</v>
      </c>
      <c r="H308" s="187" t="s">
        <v>33</v>
      </c>
      <c r="I308" s="194" t="s">
        <v>1744</v>
      </c>
    </row>
    <row r="309" spans="5:9">
      <c r="E309" s="186" t="s">
        <v>1747</v>
      </c>
      <c r="F309" s="187" t="s">
        <v>33</v>
      </c>
      <c r="G309" s="188" t="s">
        <v>34</v>
      </c>
      <c r="H309" s="187" t="s">
        <v>35</v>
      </c>
      <c r="I309" s="194" t="s">
        <v>1748</v>
      </c>
    </row>
    <row r="310" spans="5:9">
      <c r="E310" s="186" t="s">
        <v>1751</v>
      </c>
      <c r="F310" s="187" t="s">
        <v>33</v>
      </c>
      <c r="G310" s="188" t="s">
        <v>43</v>
      </c>
      <c r="H310" s="187" t="s">
        <v>33</v>
      </c>
      <c r="I310" s="194" t="s">
        <v>1752</v>
      </c>
    </row>
    <row r="311" spans="5:9">
      <c r="E311" s="186" t="s">
        <v>1756</v>
      </c>
      <c r="F311" s="187" t="s">
        <v>33</v>
      </c>
      <c r="G311" s="188" t="s">
        <v>34</v>
      </c>
      <c r="H311" s="187" t="s">
        <v>35</v>
      </c>
      <c r="I311" s="194" t="s">
        <v>1757</v>
      </c>
    </row>
    <row r="312" spans="5:9">
      <c r="E312" s="186" t="s">
        <v>1761</v>
      </c>
      <c r="F312" s="187" t="s">
        <v>33</v>
      </c>
      <c r="G312" s="188" t="s">
        <v>43</v>
      </c>
      <c r="H312" s="187" t="s">
        <v>33</v>
      </c>
      <c r="I312" s="194" t="s">
        <v>1762</v>
      </c>
    </row>
    <row r="313" spans="5:9">
      <c r="E313" s="186" t="s">
        <v>916</v>
      </c>
      <c r="F313" s="187" t="s">
        <v>33</v>
      </c>
      <c r="G313" s="188" t="s">
        <v>43</v>
      </c>
      <c r="H313" s="187" t="s">
        <v>33</v>
      </c>
      <c r="I313" s="194" t="s">
        <v>1765</v>
      </c>
    </row>
    <row r="314" spans="5:9">
      <c r="E314" s="186" t="s">
        <v>1767</v>
      </c>
      <c r="F314" s="187" t="s">
        <v>35</v>
      </c>
      <c r="G314" s="189" t="s">
        <v>52</v>
      </c>
      <c r="H314" s="187" t="s">
        <v>35</v>
      </c>
      <c r="I314" s="194" t="s">
        <v>55</v>
      </c>
    </row>
    <row r="315" spans="5:9">
      <c r="E315" s="186" t="s">
        <v>1768</v>
      </c>
      <c r="F315" s="187" t="s">
        <v>35</v>
      </c>
      <c r="G315" s="189" t="s">
        <v>52</v>
      </c>
      <c r="H315" s="187" t="s">
        <v>35</v>
      </c>
      <c r="I315" s="194" t="s">
        <v>1769</v>
      </c>
    </row>
    <row r="316" spans="5:9">
      <c r="E316" s="186" t="s">
        <v>979</v>
      </c>
      <c r="F316" s="187" t="s">
        <v>35</v>
      </c>
      <c r="G316" s="189" t="s">
        <v>52</v>
      </c>
      <c r="H316" s="187" t="s">
        <v>35</v>
      </c>
      <c r="I316" s="194" t="s">
        <v>1770</v>
      </c>
    </row>
    <row r="317" spans="5:9">
      <c r="E317" s="186" t="s">
        <v>1771</v>
      </c>
      <c r="F317" s="187" t="s">
        <v>35</v>
      </c>
      <c r="G317" s="189" t="s">
        <v>52</v>
      </c>
      <c r="H317" s="187" t="s">
        <v>35</v>
      </c>
      <c r="I317" s="194" t="s">
        <v>1772</v>
      </c>
    </row>
    <row r="318" spans="5:9">
      <c r="E318" s="186" t="s">
        <v>1037</v>
      </c>
      <c r="F318" s="187" t="s">
        <v>33</v>
      </c>
      <c r="G318" s="188" t="s">
        <v>34</v>
      </c>
      <c r="H318" s="187" t="s">
        <v>35</v>
      </c>
      <c r="I318" s="194" t="s">
        <v>1774</v>
      </c>
    </row>
    <row r="319" spans="5:9">
      <c r="E319" s="186" t="s">
        <v>1777</v>
      </c>
      <c r="F319" s="187" t="s">
        <v>33</v>
      </c>
      <c r="G319" s="188" t="s">
        <v>34</v>
      </c>
      <c r="H319" s="187" t="s">
        <v>35</v>
      </c>
      <c r="I319" s="194" t="s">
        <v>1778</v>
      </c>
    </row>
    <row r="320" spans="5:9">
      <c r="E320" s="186" t="s">
        <v>1553</v>
      </c>
      <c r="F320" s="187" t="s">
        <v>33</v>
      </c>
      <c r="G320" s="188" t="s">
        <v>43</v>
      </c>
      <c r="H320" s="187" t="s">
        <v>33</v>
      </c>
      <c r="I320" s="194" t="s">
        <v>1781</v>
      </c>
    </row>
    <row r="321" spans="5:9">
      <c r="E321" s="186" t="s">
        <v>42</v>
      </c>
      <c r="F321" s="187" t="s">
        <v>33</v>
      </c>
      <c r="G321" s="188" t="s">
        <v>43</v>
      </c>
      <c r="H321" s="187" t="s">
        <v>33</v>
      </c>
      <c r="I321" s="194" t="s">
        <v>1784</v>
      </c>
    </row>
    <row r="322" spans="5:9">
      <c r="E322" s="186" t="s">
        <v>1786</v>
      </c>
      <c r="F322" s="187" t="s">
        <v>33</v>
      </c>
      <c r="G322" s="188" t="s">
        <v>43</v>
      </c>
      <c r="H322" s="187" t="s">
        <v>33</v>
      </c>
      <c r="I322" s="194" t="s">
        <v>1787</v>
      </c>
    </row>
    <row r="323" spans="5:9">
      <c r="E323" s="186" t="s">
        <v>1791</v>
      </c>
      <c r="F323" s="187" t="s">
        <v>35</v>
      </c>
      <c r="G323" s="189" t="s">
        <v>52</v>
      </c>
      <c r="H323" s="187" t="s">
        <v>35</v>
      </c>
      <c r="I323" s="194" t="s">
        <v>1792</v>
      </c>
    </row>
    <row r="324" spans="5:9">
      <c r="E324" s="186" t="s">
        <v>1794</v>
      </c>
      <c r="F324" s="187" t="s">
        <v>35</v>
      </c>
      <c r="G324" s="189" t="s">
        <v>52</v>
      </c>
      <c r="H324" s="187" t="s">
        <v>35</v>
      </c>
      <c r="I324" s="194" t="s">
        <v>1795</v>
      </c>
    </row>
    <row r="325" spans="5:9">
      <c r="E325" s="186" t="s">
        <v>1796</v>
      </c>
      <c r="F325" s="187" t="s">
        <v>35</v>
      </c>
      <c r="G325" s="189" t="s">
        <v>52</v>
      </c>
      <c r="H325" s="187" t="s">
        <v>35</v>
      </c>
      <c r="I325" s="194" t="s">
        <v>1797</v>
      </c>
    </row>
    <row r="326" spans="5:9">
      <c r="E326" s="186" t="s">
        <v>1182</v>
      </c>
      <c r="F326" s="187" t="s">
        <v>35</v>
      </c>
      <c r="G326" s="189" t="s">
        <v>52</v>
      </c>
      <c r="H326" s="187" t="s">
        <v>35</v>
      </c>
      <c r="I326" s="194" t="s">
        <v>1798</v>
      </c>
    </row>
    <row r="327" spans="5:9">
      <c r="E327" s="186" t="s">
        <v>1799</v>
      </c>
      <c r="F327" s="187" t="s">
        <v>35</v>
      </c>
      <c r="G327" s="189" t="s">
        <v>52</v>
      </c>
      <c r="H327" s="187" t="s">
        <v>35</v>
      </c>
      <c r="I327" s="194" t="s">
        <v>1800</v>
      </c>
    </row>
    <row r="328" spans="5:9">
      <c r="E328" s="186" t="s">
        <v>1802</v>
      </c>
      <c r="F328" s="187" t="s">
        <v>33</v>
      </c>
      <c r="G328" s="188" t="s">
        <v>34</v>
      </c>
      <c r="H328" s="187" t="s">
        <v>35</v>
      </c>
      <c r="I328" s="194" t="s">
        <v>908</v>
      </c>
    </row>
    <row r="329" spans="5:9">
      <c r="E329" s="186" t="s">
        <v>47</v>
      </c>
      <c r="F329" s="187" t="s">
        <v>33</v>
      </c>
      <c r="G329" s="188" t="s">
        <v>43</v>
      </c>
      <c r="H329" s="187" t="s">
        <v>33</v>
      </c>
      <c r="I329" s="194" t="s">
        <v>1805</v>
      </c>
    </row>
    <row r="330" spans="5:9">
      <c r="E330" s="186" t="s">
        <v>1638</v>
      </c>
      <c r="F330" s="187" t="s">
        <v>33</v>
      </c>
      <c r="G330" s="188" t="s">
        <v>34</v>
      </c>
      <c r="H330" s="187" t="s">
        <v>35</v>
      </c>
      <c r="I330" s="194" t="s">
        <v>1808</v>
      </c>
    </row>
    <row r="331" spans="5:9">
      <c r="E331" s="186" t="s">
        <v>1135</v>
      </c>
      <c r="F331" s="187" t="s">
        <v>33</v>
      </c>
      <c r="G331" s="188" t="s">
        <v>43</v>
      </c>
      <c r="H331" s="187" t="s">
        <v>33</v>
      </c>
      <c r="I331" s="194" t="s">
        <v>1811</v>
      </c>
    </row>
    <row r="332" spans="5:9">
      <c r="E332" s="186" t="s">
        <v>1813</v>
      </c>
      <c r="F332" s="187" t="s">
        <v>33</v>
      </c>
      <c r="G332" s="188" t="s">
        <v>34</v>
      </c>
      <c r="H332" s="187" t="s">
        <v>35</v>
      </c>
      <c r="I332" s="194" t="s">
        <v>1814</v>
      </c>
    </row>
    <row r="333" spans="5:9">
      <c r="E333" s="186" t="s">
        <v>49</v>
      </c>
      <c r="F333" s="187" t="s">
        <v>33</v>
      </c>
      <c r="G333" s="188" t="s">
        <v>43</v>
      </c>
      <c r="H333" s="187" t="s">
        <v>33</v>
      </c>
      <c r="I333" s="194" t="s">
        <v>1818</v>
      </c>
    </row>
    <row r="334" spans="5:9">
      <c r="E334" s="186" t="s">
        <v>1820</v>
      </c>
      <c r="F334" s="187" t="s">
        <v>35</v>
      </c>
      <c r="G334" s="189" t="s">
        <v>52</v>
      </c>
      <c r="H334" s="187" t="s">
        <v>35</v>
      </c>
      <c r="I334" s="194" t="s">
        <v>1821</v>
      </c>
    </row>
    <row r="335" spans="5:9">
      <c r="E335" s="186" t="s">
        <v>1245</v>
      </c>
      <c r="F335" s="187" t="s">
        <v>35</v>
      </c>
      <c r="G335" s="189" t="s">
        <v>52</v>
      </c>
      <c r="H335" s="187" t="s">
        <v>35</v>
      </c>
      <c r="I335" s="194" t="s">
        <v>1822</v>
      </c>
    </row>
    <row r="336" spans="5:9">
      <c r="E336" s="186" t="s">
        <v>1823</v>
      </c>
      <c r="F336" s="187" t="s">
        <v>35</v>
      </c>
      <c r="G336" s="189" t="s">
        <v>52</v>
      </c>
      <c r="H336" s="187" t="s">
        <v>35</v>
      </c>
      <c r="I336" s="194" t="s">
        <v>1824</v>
      </c>
    </row>
    <row r="337" spans="5:9">
      <c r="E337" s="186" t="s">
        <v>1825</v>
      </c>
      <c r="F337" s="187" t="s">
        <v>35</v>
      </c>
      <c r="G337" s="189" t="s">
        <v>52</v>
      </c>
      <c r="H337" s="187" t="s">
        <v>35</v>
      </c>
      <c r="I337" s="194" t="s">
        <v>1826</v>
      </c>
    </row>
    <row r="338" spans="5:9">
      <c r="E338" s="186" t="s">
        <v>1828</v>
      </c>
      <c r="F338" s="187" t="s">
        <v>33</v>
      </c>
      <c r="G338" s="188" t="s">
        <v>34</v>
      </c>
      <c r="H338" s="187" t="s">
        <v>35</v>
      </c>
      <c r="I338" s="194" t="s">
        <v>1829</v>
      </c>
    </row>
    <row r="339" spans="5:9">
      <c r="E339" s="186" t="s">
        <v>1832</v>
      </c>
      <c r="F339" s="187" t="s">
        <v>33</v>
      </c>
      <c r="G339" s="188" t="s">
        <v>34</v>
      </c>
      <c r="H339" s="187" t="s">
        <v>35</v>
      </c>
      <c r="I339" s="194" t="s">
        <v>1833</v>
      </c>
    </row>
    <row r="340" spans="5:9">
      <c r="E340" s="186" t="s">
        <v>1836</v>
      </c>
      <c r="F340" s="187" t="s">
        <v>33</v>
      </c>
      <c r="G340" s="188" t="s">
        <v>43</v>
      </c>
      <c r="H340" s="187" t="s">
        <v>33</v>
      </c>
      <c r="I340" s="194" t="s">
        <v>1837</v>
      </c>
    </row>
    <row r="341" spans="5:9">
      <c r="E341" s="186" t="s">
        <v>1841</v>
      </c>
      <c r="F341" s="187" t="s">
        <v>33</v>
      </c>
      <c r="G341" s="188" t="s">
        <v>34</v>
      </c>
      <c r="H341" s="187" t="s">
        <v>33</v>
      </c>
      <c r="I341" s="194" t="s">
        <v>1842</v>
      </c>
    </row>
    <row r="342" spans="5:9">
      <c r="E342" s="186" t="s">
        <v>49</v>
      </c>
      <c r="F342" s="187" t="s">
        <v>33</v>
      </c>
      <c r="G342" s="188" t="s">
        <v>43</v>
      </c>
      <c r="H342" s="187" t="s">
        <v>33</v>
      </c>
      <c r="I342" s="194" t="s">
        <v>1844</v>
      </c>
    </row>
    <row r="343" spans="5:9">
      <c r="E343" s="186" t="s">
        <v>1848</v>
      </c>
      <c r="F343" s="187" t="s">
        <v>33</v>
      </c>
      <c r="G343" s="188" t="s">
        <v>34</v>
      </c>
      <c r="H343" s="187" t="s">
        <v>35</v>
      </c>
      <c r="I343" s="194" t="s">
        <v>1849</v>
      </c>
    </row>
    <row r="344" spans="5:9">
      <c r="E344" s="186" t="s">
        <v>1851</v>
      </c>
      <c r="F344" s="187" t="s">
        <v>35</v>
      </c>
      <c r="G344" s="189" t="s">
        <v>52</v>
      </c>
      <c r="H344" s="187" t="s">
        <v>35</v>
      </c>
      <c r="I344" s="194" t="s">
        <v>1852</v>
      </c>
    </row>
    <row r="345" spans="5:9">
      <c r="E345" s="186" t="s">
        <v>924</v>
      </c>
      <c r="F345" s="187" t="s">
        <v>35</v>
      </c>
      <c r="G345" s="189" t="s">
        <v>52</v>
      </c>
      <c r="H345" s="187" t="s">
        <v>35</v>
      </c>
      <c r="I345" s="194" t="s">
        <v>1822</v>
      </c>
    </row>
    <row r="346" spans="5:9">
      <c r="E346" s="186" t="s">
        <v>1853</v>
      </c>
      <c r="F346" s="187" t="s">
        <v>35</v>
      </c>
      <c r="G346" s="189" t="s">
        <v>52</v>
      </c>
      <c r="H346" s="187" t="s">
        <v>35</v>
      </c>
      <c r="I346" s="194" t="s">
        <v>1854</v>
      </c>
    </row>
    <row r="347" spans="5:9">
      <c r="E347" s="186" t="s">
        <v>1855</v>
      </c>
      <c r="F347" s="187" t="s">
        <v>35</v>
      </c>
      <c r="G347" s="189" t="s">
        <v>52</v>
      </c>
      <c r="H347" s="187" t="s">
        <v>35</v>
      </c>
      <c r="I347" s="194" t="s">
        <v>1856</v>
      </c>
    </row>
    <row r="348" spans="5:9">
      <c r="E348" s="186" t="s">
        <v>1857</v>
      </c>
      <c r="F348" s="187" t="s">
        <v>35</v>
      </c>
      <c r="G348" s="189" t="s">
        <v>52</v>
      </c>
      <c r="H348" s="187" t="s">
        <v>35</v>
      </c>
      <c r="I348" s="194" t="s">
        <v>1858</v>
      </c>
    </row>
    <row r="349" spans="5:9">
      <c r="E349" s="186" t="s">
        <v>1860</v>
      </c>
      <c r="F349" s="187" t="s">
        <v>33</v>
      </c>
      <c r="G349" s="188" t="s">
        <v>34</v>
      </c>
      <c r="H349" s="187" t="s">
        <v>35</v>
      </c>
      <c r="I349" s="194" t="s">
        <v>1861</v>
      </c>
    </row>
    <row r="350" spans="5:9">
      <c r="E350" s="186" t="s">
        <v>1864</v>
      </c>
      <c r="F350" s="187" t="s">
        <v>33</v>
      </c>
      <c r="G350" s="188" t="s">
        <v>43</v>
      </c>
      <c r="H350" s="187" t="s">
        <v>33</v>
      </c>
      <c r="I350" s="194" t="s">
        <v>1609</v>
      </c>
    </row>
    <row r="351" spans="5:9">
      <c r="E351" s="186" t="s">
        <v>1638</v>
      </c>
      <c r="F351" s="187" t="s">
        <v>33</v>
      </c>
      <c r="G351" s="188" t="s">
        <v>34</v>
      </c>
      <c r="H351" s="187" t="s">
        <v>35</v>
      </c>
      <c r="I351" s="194" t="s">
        <v>1867</v>
      </c>
    </row>
    <row r="352" spans="5:9">
      <c r="E352" s="186" t="s">
        <v>1723</v>
      </c>
      <c r="F352" s="187" t="s">
        <v>33</v>
      </c>
      <c r="G352" s="188" t="s">
        <v>43</v>
      </c>
      <c r="H352" s="187" t="s">
        <v>33</v>
      </c>
      <c r="I352" s="194" t="s">
        <v>1871</v>
      </c>
    </row>
    <row r="353" spans="5:9">
      <c r="E353" s="186" t="s">
        <v>49</v>
      </c>
      <c r="F353" s="187" t="s">
        <v>33</v>
      </c>
      <c r="G353" s="188" t="s">
        <v>43</v>
      </c>
      <c r="H353" s="187" t="s">
        <v>33</v>
      </c>
      <c r="I353" s="194" t="s">
        <v>1873</v>
      </c>
    </row>
    <row r="354" spans="5:9">
      <c r="E354" s="186" t="s">
        <v>1877</v>
      </c>
      <c r="F354" s="187" t="s">
        <v>33</v>
      </c>
      <c r="G354" s="188" t="s">
        <v>43</v>
      </c>
      <c r="H354" s="187" t="s">
        <v>33</v>
      </c>
      <c r="I354" s="194" t="s">
        <v>1641</v>
      </c>
    </row>
    <row r="355" spans="5:9">
      <c r="E355" s="186" t="s">
        <v>1879</v>
      </c>
      <c r="F355" s="187" t="s">
        <v>33</v>
      </c>
      <c r="G355" s="188" t="s">
        <v>34</v>
      </c>
      <c r="H355" s="187" t="s">
        <v>35</v>
      </c>
      <c r="I355" s="194" t="s">
        <v>1814</v>
      </c>
    </row>
    <row r="356" spans="5:9">
      <c r="E356" s="186" t="s">
        <v>1648</v>
      </c>
      <c r="F356" s="187" t="s">
        <v>35</v>
      </c>
      <c r="G356" s="189" t="s">
        <v>52</v>
      </c>
      <c r="H356" s="187" t="s">
        <v>35</v>
      </c>
      <c r="I356" s="194" t="s">
        <v>55</v>
      </c>
    </row>
    <row r="357" spans="5:9">
      <c r="E357" s="186" t="s">
        <v>1414</v>
      </c>
      <c r="F357" s="187" t="s">
        <v>35</v>
      </c>
      <c r="G357" s="189" t="s">
        <v>52</v>
      </c>
      <c r="H357" s="187" t="s">
        <v>35</v>
      </c>
      <c r="I357" s="194" t="s">
        <v>1880</v>
      </c>
    </row>
    <row r="358" spans="5:9">
      <c r="E358" s="186" t="s">
        <v>1211</v>
      </c>
      <c r="F358" s="187" t="s">
        <v>35</v>
      </c>
      <c r="G358" s="189" t="s">
        <v>52</v>
      </c>
      <c r="H358" s="187" t="s">
        <v>35</v>
      </c>
      <c r="I358" s="194" t="s">
        <v>1742</v>
      </c>
    </row>
    <row r="359" spans="5:9">
      <c r="E359" s="186" t="s">
        <v>1882</v>
      </c>
      <c r="F359" s="187" t="s">
        <v>33</v>
      </c>
      <c r="G359" s="188" t="s">
        <v>34</v>
      </c>
      <c r="H359" s="187" t="s">
        <v>35</v>
      </c>
      <c r="I359" s="194" t="s">
        <v>1883</v>
      </c>
    </row>
    <row r="360" spans="5:9">
      <c r="E360" s="186" t="s">
        <v>1886</v>
      </c>
      <c r="F360" s="187" t="s">
        <v>33</v>
      </c>
      <c r="G360" s="188" t="s">
        <v>34</v>
      </c>
      <c r="H360" s="187" t="s">
        <v>35</v>
      </c>
      <c r="I360" s="194" t="s">
        <v>1887</v>
      </c>
    </row>
    <row r="361" spans="5:9">
      <c r="E361" s="186" t="s">
        <v>1661</v>
      </c>
      <c r="F361" s="187" t="s">
        <v>33</v>
      </c>
      <c r="G361" s="188" t="s">
        <v>43</v>
      </c>
      <c r="H361" s="187" t="s">
        <v>33</v>
      </c>
      <c r="I361" s="194" t="s">
        <v>1805</v>
      </c>
    </row>
    <row r="362" spans="5:9">
      <c r="E362" s="186" t="s">
        <v>1094</v>
      </c>
      <c r="F362" s="187" t="s">
        <v>33</v>
      </c>
      <c r="G362" s="188" t="s">
        <v>34</v>
      </c>
      <c r="H362" s="187" t="s">
        <v>35</v>
      </c>
      <c r="I362" s="194" t="s">
        <v>1778</v>
      </c>
    </row>
    <row r="363" spans="5:9">
      <c r="E363" s="186" t="s">
        <v>49</v>
      </c>
      <c r="F363" s="187" t="s">
        <v>33</v>
      </c>
      <c r="G363" s="188" t="s">
        <v>43</v>
      </c>
      <c r="H363" s="187" t="s">
        <v>33</v>
      </c>
      <c r="I363" s="194" t="s">
        <v>1894</v>
      </c>
    </row>
    <row r="364" spans="5:9">
      <c r="E364" s="186" t="s">
        <v>1898</v>
      </c>
      <c r="F364" s="187" t="s">
        <v>33</v>
      </c>
      <c r="G364" s="188" t="s">
        <v>43</v>
      </c>
      <c r="H364" s="187" t="s">
        <v>33</v>
      </c>
      <c r="I364" s="194" t="s">
        <v>1899</v>
      </c>
    </row>
    <row r="365" spans="5:9">
      <c r="E365" s="186" t="s">
        <v>1901</v>
      </c>
      <c r="F365" s="187" t="s">
        <v>35</v>
      </c>
      <c r="G365" s="189" t="s">
        <v>52</v>
      </c>
      <c r="H365" s="187" t="s">
        <v>35</v>
      </c>
      <c r="I365" s="194" t="s">
        <v>1902</v>
      </c>
    </row>
    <row r="366" spans="5:9">
      <c r="E366" s="186" t="s">
        <v>1679</v>
      </c>
      <c r="F366" s="187" t="s">
        <v>35</v>
      </c>
      <c r="G366" s="189" t="s">
        <v>52</v>
      </c>
      <c r="H366" s="187" t="s">
        <v>35</v>
      </c>
      <c r="I366" s="194" t="s">
        <v>1903</v>
      </c>
    </row>
    <row r="367" spans="5:9">
      <c r="E367" s="186" t="s">
        <v>1904</v>
      </c>
      <c r="F367" s="187" t="s">
        <v>35</v>
      </c>
      <c r="G367" s="189" t="s">
        <v>52</v>
      </c>
      <c r="H367" s="187" t="s">
        <v>35</v>
      </c>
      <c r="I367" s="194" t="s">
        <v>1742</v>
      </c>
    </row>
    <row r="368" spans="5:9">
      <c r="E368" s="186" t="s">
        <v>1182</v>
      </c>
      <c r="F368" s="187" t="s">
        <v>35</v>
      </c>
      <c r="G368" s="189" t="s">
        <v>52</v>
      </c>
      <c r="H368" s="187" t="s">
        <v>35</v>
      </c>
      <c r="I368" s="194" t="s">
        <v>1826</v>
      </c>
    </row>
    <row r="369" spans="5:9">
      <c r="E369" s="186" t="s">
        <v>32</v>
      </c>
      <c r="F369" s="187" t="s">
        <v>33</v>
      </c>
      <c r="G369" s="188" t="s">
        <v>34</v>
      </c>
      <c r="H369" s="187" t="s">
        <v>35</v>
      </c>
      <c r="I369" s="194" t="s">
        <v>1906</v>
      </c>
    </row>
    <row r="370" spans="5:9">
      <c r="E370" s="186" t="s">
        <v>1638</v>
      </c>
      <c r="F370" s="187" t="s">
        <v>33</v>
      </c>
      <c r="G370" s="188" t="s">
        <v>34</v>
      </c>
      <c r="H370" s="187" t="s">
        <v>35</v>
      </c>
      <c r="I370" s="194" t="s">
        <v>1778</v>
      </c>
    </row>
    <row r="371" spans="5:9">
      <c r="E371" s="186" t="s">
        <v>1553</v>
      </c>
      <c r="F371" s="187" t="s">
        <v>33</v>
      </c>
      <c r="G371" s="188" t="s">
        <v>43</v>
      </c>
      <c r="H371" s="187" t="s">
        <v>33</v>
      </c>
      <c r="I371" s="194" t="s">
        <v>1641</v>
      </c>
    </row>
    <row r="372" spans="5:9">
      <c r="E372" s="186" t="s">
        <v>42</v>
      </c>
      <c r="F372" s="187" t="s">
        <v>33</v>
      </c>
      <c r="G372" s="188" t="s">
        <v>43</v>
      </c>
      <c r="H372" s="187" t="s">
        <v>33</v>
      </c>
      <c r="I372" s="194" t="s">
        <v>1914</v>
      </c>
    </row>
    <row r="373" spans="5:9">
      <c r="E373" s="186" t="s">
        <v>49</v>
      </c>
      <c r="F373" s="187" t="s">
        <v>33</v>
      </c>
      <c r="G373" s="188" t="s">
        <v>43</v>
      </c>
      <c r="H373" s="187" t="s">
        <v>33</v>
      </c>
      <c r="I373" s="194" t="s">
        <v>1916</v>
      </c>
    </row>
    <row r="374" spans="5:9">
      <c r="E374" s="186" t="s">
        <v>1919</v>
      </c>
      <c r="F374" s="187" t="s">
        <v>35</v>
      </c>
      <c r="G374" s="189" t="s">
        <v>52</v>
      </c>
      <c r="H374" s="187" t="s">
        <v>35</v>
      </c>
      <c r="I374" s="194" t="s">
        <v>1920</v>
      </c>
    </row>
    <row r="375" spans="5:9">
      <c r="E375" s="186" t="s">
        <v>924</v>
      </c>
      <c r="F375" s="187" t="s">
        <v>35</v>
      </c>
      <c r="G375" s="189" t="s">
        <v>52</v>
      </c>
      <c r="H375" s="187" t="s">
        <v>35</v>
      </c>
      <c r="I375" s="194" t="s">
        <v>1922</v>
      </c>
    </row>
    <row r="376" spans="5:9">
      <c r="E376" s="186" t="s">
        <v>1923</v>
      </c>
      <c r="F376" s="187" t="s">
        <v>35</v>
      </c>
      <c r="G376" s="189" t="s">
        <v>52</v>
      </c>
      <c r="H376" s="187" t="s">
        <v>35</v>
      </c>
      <c r="I376" s="194" t="s">
        <v>1924</v>
      </c>
    </row>
    <row r="377" spans="5:9">
      <c r="E377" s="186" t="s">
        <v>1182</v>
      </c>
      <c r="F377" s="187" t="s">
        <v>35</v>
      </c>
      <c r="G377" s="189" t="s">
        <v>52</v>
      </c>
      <c r="H377" s="187" t="s">
        <v>35</v>
      </c>
      <c r="I377" s="194" t="s">
        <v>1826</v>
      </c>
    </row>
    <row r="378" spans="5:9">
      <c r="E378" s="186" t="s">
        <v>1799</v>
      </c>
      <c r="F378" s="187" t="s">
        <v>35</v>
      </c>
      <c r="G378" s="189" t="s">
        <v>52</v>
      </c>
      <c r="H378" s="187" t="s">
        <v>35</v>
      </c>
      <c r="I378" s="194" t="s">
        <v>1925</v>
      </c>
    </row>
    <row r="379" spans="5:9">
      <c r="E379" s="186" t="s">
        <v>1802</v>
      </c>
      <c r="F379" s="187" t="s">
        <v>33</v>
      </c>
      <c r="G379" s="188" t="s">
        <v>34</v>
      </c>
      <c r="H379" s="187" t="s">
        <v>35</v>
      </c>
      <c r="I379" s="194" t="s">
        <v>908</v>
      </c>
    </row>
    <row r="380" spans="5:9">
      <c r="E380" s="186" t="s">
        <v>1929</v>
      </c>
      <c r="F380" s="187" t="s">
        <v>33</v>
      </c>
      <c r="G380" s="188" t="s">
        <v>43</v>
      </c>
      <c r="H380" s="187" t="s">
        <v>33</v>
      </c>
      <c r="I380" s="194" t="s">
        <v>1805</v>
      </c>
    </row>
    <row r="381" spans="5:9">
      <c r="E381" s="186" t="s">
        <v>1037</v>
      </c>
      <c r="F381" s="187" t="s">
        <v>33</v>
      </c>
      <c r="G381" s="188" t="s">
        <v>34</v>
      </c>
      <c r="H381" s="187" t="s">
        <v>35</v>
      </c>
      <c r="I381" s="194" t="s">
        <v>1931</v>
      </c>
    </row>
    <row r="382" spans="5:9">
      <c r="E382" s="186" t="s">
        <v>1638</v>
      </c>
      <c r="F382" s="187" t="s">
        <v>33</v>
      </c>
      <c r="G382" s="188" t="s">
        <v>34</v>
      </c>
      <c r="H382" s="187" t="s">
        <v>35</v>
      </c>
      <c r="I382" s="194" t="s">
        <v>1778</v>
      </c>
    </row>
    <row r="383" spans="5:9">
      <c r="E383" s="186" t="s">
        <v>1135</v>
      </c>
      <c r="F383" s="187" t="s">
        <v>33</v>
      </c>
      <c r="G383" s="188" t="s">
        <v>43</v>
      </c>
      <c r="H383" s="187" t="s">
        <v>33</v>
      </c>
      <c r="I383" s="194" t="s">
        <v>1811</v>
      </c>
    </row>
    <row r="384" spans="5:9">
      <c r="E384" s="186" t="s">
        <v>49</v>
      </c>
      <c r="F384" s="187" t="s">
        <v>33</v>
      </c>
      <c r="G384" s="188" t="s">
        <v>43</v>
      </c>
      <c r="H384" s="187" t="s">
        <v>33</v>
      </c>
      <c r="I384" s="194" t="s">
        <v>1818</v>
      </c>
    </row>
    <row r="385" spans="5:9">
      <c r="E385" s="186" t="s">
        <v>42</v>
      </c>
      <c r="F385" s="187" t="s">
        <v>33</v>
      </c>
      <c r="G385" s="188" t="s">
        <v>43</v>
      </c>
      <c r="H385" s="187" t="s">
        <v>33</v>
      </c>
      <c r="I385" s="194" t="s">
        <v>1784</v>
      </c>
    </row>
    <row r="386" spans="5:9">
      <c r="E386" s="186" t="s">
        <v>1919</v>
      </c>
      <c r="F386" s="187" t="s">
        <v>35</v>
      </c>
      <c r="G386" s="189" t="s">
        <v>52</v>
      </c>
      <c r="H386" s="187" t="s">
        <v>35</v>
      </c>
      <c r="I386" s="194" t="s">
        <v>1936</v>
      </c>
    </row>
    <row r="387" spans="5:9">
      <c r="E387" s="186" t="s">
        <v>1794</v>
      </c>
      <c r="F387" s="187" t="s">
        <v>35</v>
      </c>
      <c r="G387" s="189" t="s">
        <v>52</v>
      </c>
      <c r="H387" s="187" t="s">
        <v>35</v>
      </c>
      <c r="I387" s="194" t="s">
        <v>1937</v>
      </c>
    </row>
    <row r="388" spans="5:9">
      <c r="E388" s="186" t="s">
        <v>1938</v>
      </c>
      <c r="F388" s="187" t="s">
        <v>35</v>
      </c>
      <c r="G388" s="189" t="s">
        <v>52</v>
      </c>
      <c r="H388" s="187" t="s">
        <v>35</v>
      </c>
      <c r="I388" s="194" t="s">
        <v>1939</v>
      </c>
    </row>
    <row r="389" spans="5:9">
      <c r="E389" s="186" t="s">
        <v>1941</v>
      </c>
      <c r="F389" s="187" t="s">
        <v>33</v>
      </c>
      <c r="G389" s="188" t="s">
        <v>34</v>
      </c>
      <c r="H389" s="187" t="s">
        <v>35</v>
      </c>
      <c r="I389" s="194" t="s">
        <v>1942</v>
      </c>
    </row>
    <row r="390" spans="5:9">
      <c r="E390" s="186" t="s">
        <v>1125</v>
      </c>
      <c r="F390" s="187" t="s">
        <v>33</v>
      </c>
      <c r="G390" s="188" t="s">
        <v>34</v>
      </c>
      <c r="H390" s="187" t="s">
        <v>35</v>
      </c>
      <c r="I390" s="194" t="s">
        <v>1945</v>
      </c>
    </row>
    <row r="391" spans="5:9">
      <c r="E391" s="186" t="s">
        <v>1107</v>
      </c>
      <c r="F391" s="187" t="s">
        <v>33</v>
      </c>
      <c r="G391" s="188" t="s">
        <v>43</v>
      </c>
      <c r="H391" s="187" t="s">
        <v>33</v>
      </c>
      <c r="I391" s="194" t="s">
        <v>1948</v>
      </c>
    </row>
    <row r="392" spans="5:9">
      <c r="E392" s="186" t="s">
        <v>45</v>
      </c>
      <c r="F392" s="187" t="s">
        <v>33</v>
      </c>
      <c r="G392" s="188" t="s">
        <v>43</v>
      </c>
      <c r="H392" s="187" t="s">
        <v>33</v>
      </c>
      <c r="I392" s="194" t="s">
        <v>1641</v>
      </c>
    </row>
    <row r="393" spans="5:9">
      <c r="E393" s="186" t="s">
        <v>49</v>
      </c>
      <c r="F393" s="187" t="s">
        <v>33</v>
      </c>
      <c r="G393" s="188" t="s">
        <v>43</v>
      </c>
      <c r="H393" s="187" t="s">
        <v>33</v>
      </c>
      <c r="I393" s="194" t="s">
        <v>1953</v>
      </c>
    </row>
    <row r="394" spans="5:9">
      <c r="E394" s="186" t="s">
        <v>1956</v>
      </c>
      <c r="F394" s="187" t="s">
        <v>33</v>
      </c>
      <c r="G394" s="188" t="s">
        <v>34</v>
      </c>
      <c r="H394" s="187" t="s">
        <v>35</v>
      </c>
      <c r="I394" s="194" t="s">
        <v>1849</v>
      </c>
    </row>
    <row r="395" spans="5:9">
      <c r="E395" s="186" t="s">
        <v>1919</v>
      </c>
      <c r="F395" s="187" t="s">
        <v>35</v>
      </c>
      <c r="G395" s="189" t="s">
        <v>52</v>
      </c>
      <c r="H395" s="187" t="s">
        <v>35</v>
      </c>
      <c r="I395" s="194" t="s">
        <v>1627</v>
      </c>
    </row>
    <row r="396" spans="5:9">
      <c r="E396" s="186" t="s">
        <v>924</v>
      </c>
      <c r="F396" s="187" t="s">
        <v>35</v>
      </c>
      <c r="G396" s="189" t="s">
        <v>52</v>
      </c>
      <c r="H396" s="187" t="s">
        <v>35</v>
      </c>
      <c r="I396" s="194" t="s">
        <v>1922</v>
      </c>
    </row>
    <row r="397" spans="5:9">
      <c r="E397" s="186" t="s">
        <v>1958</v>
      </c>
      <c r="F397" s="187" t="s">
        <v>35</v>
      </c>
      <c r="G397" s="189" t="s">
        <v>52</v>
      </c>
      <c r="H397" s="187" t="s">
        <v>35</v>
      </c>
      <c r="I397" s="194" t="s">
        <v>1742</v>
      </c>
    </row>
    <row r="398" spans="5:9">
      <c r="E398" s="186" t="s">
        <v>1182</v>
      </c>
      <c r="F398" s="187" t="s">
        <v>35</v>
      </c>
      <c r="G398" s="189" t="s">
        <v>52</v>
      </c>
      <c r="H398" s="187" t="s">
        <v>35</v>
      </c>
      <c r="I398" s="194" t="s">
        <v>1826</v>
      </c>
    </row>
    <row r="399" spans="5:9">
      <c r="E399" s="186" t="s">
        <v>1960</v>
      </c>
      <c r="F399" s="187" t="s">
        <v>33</v>
      </c>
      <c r="G399" s="188" t="s">
        <v>34</v>
      </c>
      <c r="H399" s="187" t="s">
        <v>35</v>
      </c>
      <c r="I399" s="194" t="s">
        <v>1961</v>
      </c>
    </row>
    <row r="400" spans="5:9">
      <c r="E400" s="186" t="s">
        <v>1963</v>
      </c>
      <c r="F400" s="187" t="s">
        <v>33</v>
      </c>
      <c r="G400" s="188" t="s">
        <v>43</v>
      </c>
      <c r="H400" s="187" t="s">
        <v>33</v>
      </c>
      <c r="I400" s="194" t="s">
        <v>1964</v>
      </c>
    </row>
    <row r="401" spans="5:9">
      <c r="E401" s="186" t="s">
        <v>1638</v>
      </c>
      <c r="F401" s="187" t="s">
        <v>33</v>
      </c>
      <c r="G401" s="188" t="s">
        <v>34</v>
      </c>
      <c r="H401" s="187" t="s">
        <v>35</v>
      </c>
      <c r="I401" s="194" t="s">
        <v>1967</v>
      </c>
    </row>
    <row r="402" spans="5:9">
      <c r="E402" s="186" t="s">
        <v>1553</v>
      </c>
      <c r="F402" s="187" t="s">
        <v>33</v>
      </c>
      <c r="G402" s="188" t="s">
        <v>43</v>
      </c>
      <c r="H402" s="187" t="s">
        <v>33</v>
      </c>
      <c r="I402" s="194" t="s">
        <v>1811</v>
      </c>
    </row>
    <row r="403" spans="5:9">
      <c r="E403" s="186" t="s">
        <v>49</v>
      </c>
      <c r="F403" s="187" t="s">
        <v>33</v>
      </c>
      <c r="G403" s="188" t="s">
        <v>43</v>
      </c>
      <c r="H403" s="187" t="s">
        <v>33</v>
      </c>
      <c r="I403" s="194" t="s">
        <v>1970</v>
      </c>
    </row>
    <row r="404" spans="5:9">
      <c r="E404" s="186" t="s">
        <v>1972</v>
      </c>
      <c r="F404" s="187" t="s">
        <v>35</v>
      </c>
      <c r="G404" s="189" t="s">
        <v>52</v>
      </c>
      <c r="H404" s="187" t="s">
        <v>35</v>
      </c>
      <c r="I404" s="194" t="s">
        <v>1936</v>
      </c>
    </row>
    <row r="405" spans="5:9">
      <c r="E405" s="186" t="s">
        <v>1794</v>
      </c>
      <c r="F405" s="187" t="s">
        <v>35</v>
      </c>
      <c r="G405" s="189" t="s">
        <v>52</v>
      </c>
      <c r="H405" s="187" t="s">
        <v>35</v>
      </c>
      <c r="I405" s="194" t="s">
        <v>1922</v>
      </c>
    </row>
    <row r="406" spans="5:9">
      <c r="E406" s="186" t="s">
        <v>1938</v>
      </c>
      <c r="F406" s="187" t="s">
        <v>35</v>
      </c>
      <c r="G406" s="189" t="s">
        <v>52</v>
      </c>
      <c r="H406" s="187" t="s">
        <v>35</v>
      </c>
      <c r="I406" s="194" t="s">
        <v>1974</v>
      </c>
    </row>
    <row r="407" spans="5:9">
      <c r="E407" s="186" t="s">
        <v>1975</v>
      </c>
      <c r="F407" s="187" t="s">
        <v>35</v>
      </c>
      <c r="G407" s="189" t="s">
        <v>52</v>
      </c>
      <c r="H407" s="187" t="s">
        <v>35</v>
      </c>
      <c r="I407" s="194" t="s">
        <v>1826</v>
      </c>
    </row>
    <row r="408" spans="5:9">
      <c r="E408" s="186" t="s">
        <v>1799</v>
      </c>
      <c r="F408" s="187" t="s">
        <v>35</v>
      </c>
      <c r="G408" s="189" t="s">
        <v>52</v>
      </c>
      <c r="H408" s="187" t="s">
        <v>35</v>
      </c>
      <c r="I408" s="194" t="s">
        <v>1976</v>
      </c>
    </row>
    <row r="409" spans="5:9">
      <c r="E409" s="186" t="s">
        <v>1978</v>
      </c>
      <c r="F409" s="187" t="s">
        <v>33</v>
      </c>
      <c r="G409" s="188" t="s">
        <v>34</v>
      </c>
      <c r="H409" s="187" t="s">
        <v>35</v>
      </c>
      <c r="I409" s="194" t="s">
        <v>1883</v>
      </c>
    </row>
    <row r="410" spans="5:9">
      <c r="E410" s="186" t="s">
        <v>1860</v>
      </c>
      <c r="F410" s="187" t="s">
        <v>33</v>
      </c>
      <c r="G410" s="188" t="s">
        <v>34</v>
      </c>
      <c r="H410" s="187" t="s">
        <v>35</v>
      </c>
      <c r="I410" s="194" t="s">
        <v>1981</v>
      </c>
    </row>
    <row r="411" spans="5:9">
      <c r="E411" s="186" t="s">
        <v>1723</v>
      </c>
      <c r="F411" s="187" t="s">
        <v>33</v>
      </c>
      <c r="G411" s="188" t="s">
        <v>43</v>
      </c>
      <c r="H411" s="187" t="s">
        <v>33</v>
      </c>
      <c r="I411" s="194" t="s">
        <v>1984</v>
      </c>
    </row>
    <row r="412" spans="5:9">
      <c r="E412" s="186" t="s">
        <v>1638</v>
      </c>
      <c r="F412" s="187" t="s">
        <v>33</v>
      </c>
      <c r="G412" s="188" t="s">
        <v>34</v>
      </c>
      <c r="H412" s="187" t="s">
        <v>35</v>
      </c>
      <c r="I412" s="194" t="s">
        <v>1778</v>
      </c>
    </row>
    <row r="413" spans="5:9">
      <c r="E413" s="186" t="s">
        <v>49</v>
      </c>
      <c r="F413" s="187" t="s">
        <v>33</v>
      </c>
      <c r="G413" s="188" t="s">
        <v>43</v>
      </c>
      <c r="H413" s="187" t="s">
        <v>33</v>
      </c>
      <c r="I413" s="194" t="s">
        <v>1987</v>
      </c>
    </row>
    <row r="414" spans="5:9">
      <c r="E414" s="186" t="s">
        <v>1990</v>
      </c>
      <c r="F414" s="187" t="s">
        <v>33</v>
      </c>
      <c r="G414" s="188" t="s">
        <v>43</v>
      </c>
      <c r="H414" s="187" t="s">
        <v>33</v>
      </c>
      <c r="I414" s="194" t="s">
        <v>1899</v>
      </c>
    </row>
    <row r="415" spans="5:9">
      <c r="E415" s="186" t="s">
        <v>1553</v>
      </c>
      <c r="F415" s="187" t="s">
        <v>33</v>
      </c>
      <c r="G415" s="188" t="s">
        <v>43</v>
      </c>
      <c r="H415" s="187" t="s">
        <v>33</v>
      </c>
      <c r="I415" s="194" t="s">
        <v>1811</v>
      </c>
    </row>
    <row r="416" spans="5:9">
      <c r="E416" s="186" t="s">
        <v>1901</v>
      </c>
      <c r="F416" s="187" t="s">
        <v>35</v>
      </c>
      <c r="G416" s="189" t="s">
        <v>52</v>
      </c>
      <c r="H416" s="187" t="s">
        <v>35</v>
      </c>
      <c r="I416" s="194" t="s">
        <v>1902</v>
      </c>
    </row>
    <row r="417" spans="5:9">
      <c r="E417" s="186" t="s">
        <v>1679</v>
      </c>
      <c r="F417" s="187" t="s">
        <v>35</v>
      </c>
      <c r="G417" s="189" t="s">
        <v>52</v>
      </c>
      <c r="H417" s="187" t="s">
        <v>35</v>
      </c>
      <c r="I417" s="194" t="s">
        <v>1903</v>
      </c>
    </row>
    <row r="418" spans="5:9">
      <c r="E418" s="186" t="s">
        <v>1211</v>
      </c>
      <c r="F418" s="187" t="s">
        <v>35</v>
      </c>
      <c r="G418" s="189" t="s">
        <v>52</v>
      </c>
      <c r="H418" s="187" t="s">
        <v>35</v>
      </c>
      <c r="I418" s="194" t="s">
        <v>1742</v>
      </c>
    </row>
    <row r="419" spans="5:9">
      <c r="E419" s="186" t="s">
        <v>899</v>
      </c>
      <c r="F419" s="187" t="s">
        <v>33</v>
      </c>
      <c r="G419" s="188" t="s">
        <v>43</v>
      </c>
      <c r="H419" s="187" t="s">
        <v>33</v>
      </c>
      <c r="I419" s="194" t="s">
        <v>1744</v>
      </c>
    </row>
    <row r="420" spans="5:9">
      <c r="E420" s="186" t="s">
        <v>1994</v>
      </c>
      <c r="F420" s="187" t="s">
        <v>33</v>
      </c>
      <c r="G420" s="188" t="s">
        <v>34</v>
      </c>
      <c r="H420" s="187" t="s">
        <v>35</v>
      </c>
      <c r="I420" s="194" t="s">
        <v>1995</v>
      </c>
    </row>
    <row r="421" spans="5:9">
      <c r="E421" s="186" t="s">
        <v>1997</v>
      </c>
      <c r="F421" s="187" t="s">
        <v>33</v>
      </c>
      <c r="G421" s="188" t="s">
        <v>34</v>
      </c>
      <c r="H421" s="187" t="s">
        <v>35</v>
      </c>
      <c r="I421" s="194" t="s">
        <v>1998</v>
      </c>
    </row>
    <row r="422" spans="5:9">
      <c r="E422" s="186" t="s">
        <v>2002</v>
      </c>
      <c r="F422" s="187" t="s">
        <v>33</v>
      </c>
      <c r="G422" s="188" t="s">
        <v>43</v>
      </c>
      <c r="H422" s="187" t="s">
        <v>33</v>
      </c>
      <c r="I422" s="194" t="s">
        <v>1964</v>
      </c>
    </row>
    <row r="423" spans="5:9">
      <c r="E423" s="186" t="s">
        <v>2004</v>
      </c>
      <c r="F423" s="187" t="s">
        <v>33</v>
      </c>
      <c r="G423" s="188" t="s">
        <v>43</v>
      </c>
      <c r="H423" s="187" t="s">
        <v>33</v>
      </c>
      <c r="I423" s="194" t="s">
        <v>2005</v>
      </c>
    </row>
    <row r="424" spans="5:9">
      <c r="E424" s="186" t="s">
        <v>1972</v>
      </c>
      <c r="F424" s="187" t="s">
        <v>35</v>
      </c>
      <c r="G424" s="189" t="s">
        <v>52</v>
      </c>
      <c r="H424" s="187" t="s">
        <v>35</v>
      </c>
      <c r="I424" s="194" t="s">
        <v>1627</v>
      </c>
    </row>
    <row r="425" spans="5:9">
      <c r="E425" s="186" t="s">
        <v>2009</v>
      </c>
      <c r="F425" s="187" t="s">
        <v>35</v>
      </c>
      <c r="G425" s="189" t="s">
        <v>52</v>
      </c>
      <c r="H425" s="187" t="s">
        <v>35</v>
      </c>
      <c r="I425" s="194" t="s">
        <v>2010</v>
      </c>
    </row>
    <row r="426" spans="5:9">
      <c r="E426" s="186" t="s">
        <v>924</v>
      </c>
      <c r="F426" s="187" t="s">
        <v>35</v>
      </c>
      <c r="G426" s="189" t="s">
        <v>52</v>
      </c>
      <c r="H426" s="187" t="s">
        <v>35</v>
      </c>
      <c r="I426" s="194" t="s">
        <v>2011</v>
      </c>
    </row>
    <row r="427" spans="5:9">
      <c r="E427" s="186" t="s">
        <v>42</v>
      </c>
      <c r="F427" s="187" t="s">
        <v>35</v>
      </c>
      <c r="G427" s="189" t="s">
        <v>52</v>
      </c>
      <c r="H427" s="187" t="s">
        <v>35</v>
      </c>
      <c r="I427" s="194" t="s">
        <v>1826</v>
      </c>
    </row>
    <row r="428" spans="5:9">
      <c r="E428" s="186" t="s">
        <v>1975</v>
      </c>
      <c r="F428" s="187" t="s">
        <v>35</v>
      </c>
      <c r="G428" s="189" t="s">
        <v>52</v>
      </c>
      <c r="H428" s="187" t="s">
        <v>35</v>
      </c>
      <c r="I428" s="194" t="s">
        <v>2012</v>
      </c>
    </row>
    <row r="429" spans="5:9">
      <c r="E429" s="186" t="s">
        <v>1475</v>
      </c>
      <c r="F429" s="187" t="s">
        <v>33</v>
      </c>
      <c r="G429" s="188" t="s">
        <v>34</v>
      </c>
      <c r="H429" s="187" t="s">
        <v>35</v>
      </c>
      <c r="I429" s="194" t="s">
        <v>2013</v>
      </c>
    </row>
    <row r="430" spans="5:9">
      <c r="E430" s="186" t="s">
        <v>1638</v>
      </c>
      <c r="F430" s="187" t="s">
        <v>33</v>
      </c>
      <c r="G430" s="188" t="s">
        <v>34</v>
      </c>
      <c r="H430" s="187" t="s">
        <v>35</v>
      </c>
      <c r="I430" s="194" t="s">
        <v>1778</v>
      </c>
    </row>
    <row r="431" spans="5:9">
      <c r="E431" s="186" t="s">
        <v>1877</v>
      </c>
      <c r="F431" s="187" t="s">
        <v>33</v>
      </c>
      <c r="G431" s="188" t="s">
        <v>43</v>
      </c>
      <c r="H431" s="187" t="s">
        <v>33</v>
      </c>
      <c r="I431" s="194" t="s">
        <v>1641</v>
      </c>
    </row>
    <row r="432" spans="5:9">
      <c r="E432" s="186" t="s">
        <v>42</v>
      </c>
      <c r="F432" s="187" t="s">
        <v>33</v>
      </c>
      <c r="G432" s="188" t="s">
        <v>43</v>
      </c>
      <c r="H432" s="187" t="s">
        <v>33</v>
      </c>
      <c r="I432" s="194" t="s">
        <v>1784</v>
      </c>
    </row>
    <row r="433" spans="5:9">
      <c r="E433" s="186" t="s">
        <v>2020</v>
      </c>
      <c r="F433" s="187" t="s">
        <v>33</v>
      </c>
      <c r="G433" s="188" t="s">
        <v>43</v>
      </c>
      <c r="H433" s="187" t="s">
        <v>33</v>
      </c>
      <c r="I433" s="194" t="s">
        <v>2021</v>
      </c>
    </row>
    <row r="434" spans="5:9">
      <c r="E434" s="186" t="s">
        <v>1919</v>
      </c>
      <c r="F434" s="187" t="s">
        <v>35</v>
      </c>
      <c r="G434" s="189" t="s">
        <v>52</v>
      </c>
      <c r="H434" s="187" t="s">
        <v>35</v>
      </c>
      <c r="I434" s="194" t="s">
        <v>1936</v>
      </c>
    </row>
    <row r="435" spans="5:9">
      <c r="E435" s="186" t="s">
        <v>1245</v>
      </c>
      <c r="F435" s="187" t="s">
        <v>35</v>
      </c>
      <c r="G435" s="189" t="s">
        <v>52</v>
      </c>
      <c r="H435" s="187" t="s">
        <v>35</v>
      </c>
      <c r="I435" s="194" t="s">
        <v>1922</v>
      </c>
    </row>
    <row r="436" spans="5:9">
      <c r="E436" s="186" t="s">
        <v>1923</v>
      </c>
      <c r="F436" s="187" t="s">
        <v>35</v>
      </c>
      <c r="G436" s="189" t="s">
        <v>52</v>
      </c>
      <c r="H436" s="187" t="s">
        <v>35</v>
      </c>
      <c r="I436" s="194" t="s">
        <v>1924</v>
      </c>
    </row>
    <row r="437" spans="5:9">
      <c r="E437" s="186" t="s">
        <v>1799</v>
      </c>
      <c r="F437" s="187" t="s">
        <v>35</v>
      </c>
      <c r="G437" s="189" t="s">
        <v>52</v>
      </c>
      <c r="H437" s="187" t="s">
        <v>35</v>
      </c>
      <c r="I437" s="194" t="s">
        <v>2025</v>
      </c>
    </row>
    <row r="438" spans="5:9">
      <c r="E438" s="186" t="s">
        <v>2027</v>
      </c>
      <c r="F438" s="187" t="s">
        <v>33</v>
      </c>
      <c r="G438" s="188" t="s">
        <v>34</v>
      </c>
      <c r="H438" s="187" t="s">
        <v>35</v>
      </c>
      <c r="I438" s="194" t="s">
        <v>2028</v>
      </c>
    </row>
    <row r="439" spans="5:9">
      <c r="E439" s="186" t="s">
        <v>1638</v>
      </c>
      <c r="F439" s="187" t="s">
        <v>33</v>
      </c>
      <c r="G439" s="188" t="s">
        <v>34</v>
      </c>
      <c r="H439" s="187" t="s">
        <v>35</v>
      </c>
      <c r="I439" s="194" t="s">
        <v>1778</v>
      </c>
    </row>
    <row r="440" spans="5:9">
      <c r="E440" s="186" t="s">
        <v>1553</v>
      </c>
      <c r="F440" s="187" t="s">
        <v>33</v>
      </c>
      <c r="G440" s="188" t="s">
        <v>43</v>
      </c>
      <c r="H440" s="187" t="s">
        <v>33</v>
      </c>
      <c r="I440" s="194" t="s">
        <v>1641</v>
      </c>
    </row>
    <row r="441" spans="5:9">
      <c r="E441" s="186" t="s">
        <v>49</v>
      </c>
      <c r="F441" s="187" t="s">
        <v>33</v>
      </c>
      <c r="G441" s="188" t="s">
        <v>43</v>
      </c>
      <c r="H441" s="187" t="s">
        <v>33</v>
      </c>
      <c r="I441" s="194" t="s">
        <v>2035</v>
      </c>
    </row>
    <row r="442" spans="5:9">
      <c r="E442" s="186" t="s">
        <v>1972</v>
      </c>
      <c r="F442" s="187" t="s">
        <v>35</v>
      </c>
      <c r="G442" s="189" t="s">
        <v>52</v>
      </c>
      <c r="H442" s="187" t="s">
        <v>35</v>
      </c>
      <c r="I442" s="194" t="s">
        <v>1792</v>
      </c>
    </row>
    <row r="443" spans="5:9">
      <c r="E443" s="186" t="s">
        <v>924</v>
      </c>
      <c r="F443" s="187" t="s">
        <v>35</v>
      </c>
      <c r="G443" s="189" t="s">
        <v>52</v>
      </c>
      <c r="H443" s="187" t="s">
        <v>35</v>
      </c>
      <c r="I443" s="194" t="s">
        <v>2039</v>
      </c>
    </row>
    <row r="444" spans="5:9">
      <c r="E444" s="186" t="s">
        <v>1958</v>
      </c>
      <c r="F444" s="187" t="s">
        <v>35</v>
      </c>
      <c r="G444" s="189" t="s">
        <v>52</v>
      </c>
      <c r="H444" s="187" t="s">
        <v>35</v>
      </c>
      <c r="I444" s="194" t="s">
        <v>2041</v>
      </c>
    </row>
    <row r="445" spans="5:9">
      <c r="E445" s="186" t="s">
        <v>1182</v>
      </c>
      <c r="F445" s="187" t="s">
        <v>35</v>
      </c>
      <c r="G445" s="189" t="s">
        <v>52</v>
      </c>
      <c r="H445" s="187" t="s">
        <v>35</v>
      </c>
      <c r="I445" s="194" t="s">
        <v>1826</v>
      </c>
    </row>
    <row r="446" spans="5:9">
      <c r="E446" s="186" t="s">
        <v>1857</v>
      </c>
      <c r="F446" s="187" t="s">
        <v>35</v>
      </c>
      <c r="G446" s="189" t="s">
        <v>52</v>
      </c>
      <c r="H446" s="187" t="s">
        <v>35</v>
      </c>
      <c r="I446" s="194" t="s">
        <v>2042</v>
      </c>
    </row>
    <row r="447" spans="5:9">
      <c r="E447" s="186" t="s">
        <v>2044</v>
      </c>
      <c r="F447" s="187" t="s">
        <v>33</v>
      </c>
      <c r="G447" s="188" t="s">
        <v>34</v>
      </c>
      <c r="H447" s="187" t="s">
        <v>35</v>
      </c>
      <c r="I447" s="194" t="s">
        <v>2045</v>
      </c>
    </row>
    <row r="448" spans="5:9">
      <c r="E448" s="186" t="s">
        <v>1037</v>
      </c>
      <c r="F448" s="187" t="s">
        <v>33</v>
      </c>
      <c r="G448" s="188" t="s">
        <v>34</v>
      </c>
      <c r="H448" s="187" t="s">
        <v>33</v>
      </c>
      <c r="I448" s="194" t="s">
        <v>2048</v>
      </c>
    </row>
    <row r="449" spans="5:9">
      <c r="E449" s="186" t="s">
        <v>1638</v>
      </c>
      <c r="F449" s="187" t="s">
        <v>33</v>
      </c>
      <c r="G449" s="188" t="s">
        <v>34</v>
      </c>
      <c r="H449" s="187" t="s">
        <v>35</v>
      </c>
      <c r="I449" s="194" t="s">
        <v>1967</v>
      </c>
    </row>
    <row r="450" spans="5:9">
      <c r="E450" s="186" t="s">
        <v>1553</v>
      </c>
      <c r="F450" s="187" t="s">
        <v>33</v>
      </c>
      <c r="G450" s="188" t="s">
        <v>43</v>
      </c>
      <c r="H450" s="187" t="s">
        <v>33</v>
      </c>
      <c r="I450" s="194" t="s">
        <v>1811</v>
      </c>
    </row>
    <row r="451" spans="5:9">
      <c r="E451" s="186" t="s">
        <v>49</v>
      </c>
      <c r="F451" s="187" t="s">
        <v>33</v>
      </c>
      <c r="G451" s="188" t="s">
        <v>43</v>
      </c>
      <c r="H451" s="187" t="s">
        <v>33</v>
      </c>
      <c r="I451" s="194" t="s">
        <v>2055</v>
      </c>
    </row>
    <row r="452" spans="5:9">
      <c r="E452" s="186" t="s">
        <v>42</v>
      </c>
      <c r="F452" s="187" t="s">
        <v>33</v>
      </c>
      <c r="G452" s="188" t="s">
        <v>43</v>
      </c>
      <c r="H452" s="187" t="s">
        <v>33</v>
      </c>
      <c r="I452" s="194" t="s">
        <v>1784</v>
      </c>
    </row>
    <row r="453" spans="5:9">
      <c r="E453" s="186" t="s">
        <v>1972</v>
      </c>
      <c r="F453" s="187" t="s">
        <v>35</v>
      </c>
      <c r="G453" s="189" t="s">
        <v>52</v>
      </c>
      <c r="H453" s="187" t="s">
        <v>35</v>
      </c>
      <c r="I453" s="194" t="s">
        <v>1936</v>
      </c>
    </row>
    <row r="454" spans="5:9">
      <c r="E454" s="186" t="s">
        <v>1679</v>
      </c>
      <c r="F454" s="187" t="s">
        <v>35</v>
      </c>
      <c r="G454" s="189" t="s">
        <v>52</v>
      </c>
      <c r="H454" s="187" t="s">
        <v>35</v>
      </c>
      <c r="I454" s="194" t="s">
        <v>2011</v>
      </c>
    </row>
    <row r="455" spans="5:9">
      <c r="E455" s="186" t="s">
        <v>1904</v>
      </c>
      <c r="F455" s="187" t="s">
        <v>35</v>
      </c>
      <c r="G455" s="189" t="s">
        <v>52</v>
      </c>
      <c r="H455" s="187" t="s">
        <v>35</v>
      </c>
      <c r="I455" s="194" t="s">
        <v>2059</v>
      </c>
    </row>
    <row r="456" spans="5:9">
      <c r="E456" s="186" t="s">
        <v>2061</v>
      </c>
      <c r="F456" s="187" t="s">
        <v>33</v>
      </c>
      <c r="G456" s="188" t="s">
        <v>43</v>
      </c>
      <c r="H456" s="187" t="s">
        <v>33</v>
      </c>
      <c r="I456" s="194" t="s">
        <v>1578</v>
      </c>
    </row>
    <row r="457" spans="5:9">
      <c r="E457" s="186" t="s">
        <v>1037</v>
      </c>
      <c r="F457" s="187" t="s">
        <v>33</v>
      </c>
      <c r="G457" s="188" t="s">
        <v>34</v>
      </c>
      <c r="H457" s="187" t="s">
        <v>35</v>
      </c>
      <c r="I457" s="194" t="s">
        <v>1906</v>
      </c>
    </row>
    <row r="458" spans="5:9">
      <c r="E458" s="186" t="s">
        <v>1638</v>
      </c>
      <c r="F458" s="187" t="s">
        <v>33</v>
      </c>
      <c r="G458" s="188" t="s">
        <v>34</v>
      </c>
      <c r="H458" s="187" t="s">
        <v>35</v>
      </c>
      <c r="I458" s="194" t="s">
        <v>1778</v>
      </c>
    </row>
    <row r="459" spans="5:9">
      <c r="E459" s="186" t="s">
        <v>1553</v>
      </c>
      <c r="F459" s="187" t="s">
        <v>33</v>
      </c>
      <c r="G459" s="188" t="s">
        <v>43</v>
      </c>
      <c r="H459" s="187" t="s">
        <v>33</v>
      </c>
      <c r="I459" s="194" t="s">
        <v>1811</v>
      </c>
    </row>
    <row r="460" spans="5:9">
      <c r="E460" s="186" t="s">
        <v>49</v>
      </c>
      <c r="F460" s="187" t="s">
        <v>33</v>
      </c>
      <c r="G460" s="188" t="s">
        <v>43</v>
      </c>
      <c r="H460" s="187" t="s">
        <v>33</v>
      </c>
      <c r="I460" s="194" t="s">
        <v>2069</v>
      </c>
    </row>
    <row r="461" spans="5:9">
      <c r="E461" s="186" t="s">
        <v>42</v>
      </c>
      <c r="F461" s="187" t="s">
        <v>33</v>
      </c>
      <c r="G461" s="188" t="s">
        <v>43</v>
      </c>
      <c r="H461" s="187" t="s">
        <v>33</v>
      </c>
      <c r="I461" s="194" t="s">
        <v>1784</v>
      </c>
    </row>
    <row r="462" spans="5:9">
      <c r="E462" s="186" t="s">
        <v>1956</v>
      </c>
      <c r="F462" s="187" t="s">
        <v>33</v>
      </c>
      <c r="G462" s="188" t="s">
        <v>34</v>
      </c>
      <c r="H462" s="187" t="s">
        <v>35</v>
      </c>
      <c r="I462" s="194" t="s">
        <v>2073</v>
      </c>
    </row>
    <row r="463" spans="5:9">
      <c r="E463" s="186" t="s">
        <v>2074</v>
      </c>
      <c r="F463" s="187" t="s">
        <v>35</v>
      </c>
      <c r="G463" s="189" t="s">
        <v>52</v>
      </c>
      <c r="H463" s="187" t="s">
        <v>35</v>
      </c>
      <c r="I463" s="194" t="s">
        <v>1792</v>
      </c>
    </row>
    <row r="464" spans="5:9">
      <c r="E464" s="186" t="s">
        <v>924</v>
      </c>
      <c r="F464" s="187" t="s">
        <v>35</v>
      </c>
      <c r="G464" s="189" t="s">
        <v>52</v>
      </c>
      <c r="H464" s="187" t="s">
        <v>35</v>
      </c>
      <c r="I464" s="194" t="s">
        <v>1922</v>
      </c>
    </row>
    <row r="465" spans="5:9">
      <c r="E465" s="186" t="s">
        <v>2076</v>
      </c>
      <c r="F465" s="187" t="s">
        <v>33</v>
      </c>
      <c r="G465" s="188" t="s">
        <v>34</v>
      </c>
      <c r="H465" s="187" t="s">
        <v>35</v>
      </c>
      <c r="I465" s="194" t="s">
        <v>1906</v>
      </c>
    </row>
    <row r="466" spans="5:9">
      <c r="E466" s="186" t="s">
        <v>1638</v>
      </c>
      <c r="F466" s="187" t="s">
        <v>33</v>
      </c>
      <c r="G466" s="188" t="s">
        <v>34</v>
      </c>
      <c r="H466" s="187" t="s">
        <v>35</v>
      </c>
      <c r="I466" s="194" t="s">
        <v>1778</v>
      </c>
    </row>
    <row r="467" spans="5:9">
      <c r="E467" s="186" t="s">
        <v>45</v>
      </c>
      <c r="F467" s="187" t="s">
        <v>33</v>
      </c>
      <c r="G467" s="188" t="s">
        <v>43</v>
      </c>
      <c r="H467" s="187" t="s">
        <v>33</v>
      </c>
      <c r="I467" s="194" t="s">
        <v>1641</v>
      </c>
    </row>
    <row r="468" spans="5:9">
      <c r="E468" s="186" t="s">
        <v>49</v>
      </c>
      <c r="F468" s="187" t="s">
        <v>33</v>
      </c>
      <c r="G468" s="188" t="s">
        <v>43</v>
      </c>
      <c r="H468" s="187" t="s">
        <v>33</v>
      </c>
      <c r="I468" s="194" t="s">
        <v>2082</v>
      </c>
    </row>
    <row r="469" spans="5:9">
      <c r="E469" s="186" t="s">
        <v>42</v>
      </c>
      <c r="F469" s="187" t="s">
        <v>33</v>
      </c>
      <c r="G469" s="188" t="s">
        <v>43</v>
      </c>
      <c r="H469" s="187" t="s">
        <v>33</v>
      </c>
      <c r="I469" s="194" t="s">
        <v>1784</v>
      </c>
    </row>
    <row r="470" spans="5:9">
      <c r="E470" s="186" t="s">
        <v>1879</v>
      </c>
      <c r="F470" s="187" t="s">
        <v>33</v>
      </c>
      <c r="G470" s="188" t="s">
        <v>34</v>
      </c>
      <c r="H470" s="187" t="s">
        <v>35</v>
      </c>
      <c r="I470" s="194" t="s">
        <v>2073</v>
      </c>
    </row>
    <row r="471" spans="5:9">
      <c r="E471" s="186" t="s">
        <v>1972</v>
      </c>
      <c r="F471" s="187" t="s">
        <v>35</v>
      </c>
      <c r="G471" s="189" t="s">
        <v>52</v>
      </c>
      <c r="H471" s="187" t="s">
        <v>35</v>
      </c>
      <c r="I471" s="194" t="s">
        <v>1936</v>
      </c>
    </row>
    <row r="472" spans="5:9">
      <c r="E472" s="186" t="s">
        <v>1679</v>
      </c>
      <c r="F472" s="187" t="s">
        <v>35</v>
      </c>
      <c r="G472" s="189" t="s">
        <v>52</v>
      </c>
      <c r="H472" s="187" t="s">
        <v>35</v>
      </c>
      <c r="I472" s="194" t="s">
        <v>1922</v>
      </c>
    </row>
    <row r="473" spans="5:9">
      <c r="E473" s="186" t="s">
        <v>1958</v>
      </c>
      <c r="F473" s="187" t="s">
        <v>35</v>
      </c>
      <c r="G473" s="189" t="s">
        <v>52</v>
      </c>
      <c r="H473" s="187" t="s">
        <v>35</v>
      </c>
      <c r="I473" s="194" t="s">
        <v>2041</v>
      </c>
    </row>
    <row r="474" spans="5:9">
      <c r="E474" s="186" t="s">
        <v>1975</v>
      </c>
      <c r="F474" s="187" t="s">
        <v>35</v>
      </c>
      <c r="G474" s="189" t="s">
        <v>52</v>
      </c>
      <c r="H474" s="187" t="s">
        <v>35</v>
      </c>
      <c r="I474" s="194" t="s">
        <v>1826</v>
      </c>
    </row>
    <row r="475" spans="5:9">
      <c r="E475" s="186" t="s">
        <v>1475</v>
      </c>
      <c r="F475" s="187" t="s">
        <v>33</v>
      </c>
      <c r="G475" s="188" t="s">
        <v>34</v>
      </c>
      <c r="H475" s="187" t="s">
        <v>35</v>
      </c>
      <c r="I475" s="194" t="s">
        <v>1906</v>
      </c>
    </row>
    <row r="476" spans="5:9">
      <c r="E476" s="186" t="s">
        <v>1638</v>
      </c>
      <c r="F476" s="187" t="s">
        <v>33</v>
      </c>
      <c r="G476" s="188" t="s">
        <v>34</v>
      </c>
      <c r="H476" s="187" t="s">
        <v>35</v>
      </c>
      <c r="I476" s="194" t="s">
        <v>1778</v>
      </c>
    </row>
    <row r="477" spans="5:9">
      <c r="E477" s="186" t="s">
        <v>1553</v>
      </c>
      <c r="F477" s="187" t="s">
        <v>33</v>
      </c>
      <c r="G477" s="188" t="s">
        <v>43</v>
      </c>
      <c r="H477" s="187" t="s">
        <v>33</v>
      </c>
      <c r="I477" s="194" t="s">
        <v>1641</v>
      </c>
    </row>
    <row r="478" spans="5:9">
      <c r="E478" s="186" t="s">
        <v>42</v>
      </c>
      <c r="F478" s="187" t="s">
        <v>33</v>
      </c>
      <c r="G478" s="188" t="s">
        <v>43</v>
      </c>
      <c r="H478" s="187" t="s">
        <v>33</v>
      </c>
      <c r="I478" s="194" t="s">
        <v>1914</v>
      </c>
    </row>
    <row r="479" spans="5:9">
      <c r="E479" s="186" t="s">
        <v>2020</v>
      </c>
      <c r="F479" s="187" t="s">
        <v>33</v>
      </c>
      <c r="G479" s="188" t="s">
        <v>43</v>
      </c>
      <c r="H479" s="187" t="s">
        <v>33</v>
      </c>
      <c r="I479" s="194" t="s">
        <v>2021</v>
      </c>
    </row>
    <row r="480" spans="5:9">
      <c r="E480" s="186" t="s">
        <v>1972</v>
      </c>
      <c r="F480" s="187" t="s">
        <v>35</v>
      </c>
      <c r="G480" s="189" t="s">
        <v>52</v>
      </c>
      <c r="H480" s="187" t="s">
        <v>35</v>
      </c>
      <c r="I480" s="194" t="s">
        <v>1936</v>
      </c>
    </row>
    <row r="481" spans="5:9">
      <c r="E481" s="186" t="s">
        <v>924</v>
      </c>
      <c r="F481" s="187" t="s">
        <v>35</v>
      </c>
      <c r="G481" s="189" t="s">
        <v>52</v>
      </c>
      <c r="H481" s="187" t="s">
        <v>35</v>
      </c>
      <c r="I481" s="194" t="s">
        <v>1937</v>
      </c>
    </row>
    <row r="482" spans="5:9">
      <c r="E482" s="186" t="s">
        <v>1923</v>
      </c>
      <c r="F482" s="187" t="s">
        <v>35</v>
      </c>
      <c r="G482" s="189" t="s">
        <v>52</v>
      </c>
      <c r="H482" s="187" t="s">
        <v>35</v>
      </c>
      <c r="I482" s="194" t="s">
        <v>2028</v>
      </c>
    </row>
    <row r="483" spans="5:9">
      <c r="E483" s="186" t="s">
        <v>1855</v>
      </c>
      <c r="F483" s="187" t="s">
        <v>35</v>
      </c>
      <c r="G483" s="189" t="s">
        <v>52</v>
      </c>
      <c r="H483" s="187" t="s">
        <v>35</v>
      </c>
      <c r="I483" s="194" t="s">
        <v>1826</v>
      </c>
    </row>
    <row r="484" spans="5:9">
      <c r="E484" s="186" t="s">
        <v>1799</v>
      </c>
      <c r="F484" s="187" t="s">
        <v>35</v>
      </c>
      <c r="G484" s="189" t="s">
        <v>52</v>
      </c>
      <c r="H484" s="187" t="s">
        <v>35</v>
      </c>
      <c r="I484" s="194" t="s">
        <v>1976</v>
      </c>
    </row>
    <row r="485" spans="5:9">
      <c r="E485" s="186" t="s">
        <v>1684</v>
      </c>
      <c r="F485" s="187" t="s">
        <v>33</v>
      </c>
      <c r="G485" s="188" t="s">
        <v>34</v>
      </c>
      <c r="H485" s="187" t="s">
        <v>35</v>
      </c>
      <c r="I485" s="194" t="s">
        <v>1808</v>
      </c>
    </row>
    <row r="486" spans="5:9">
      <c r="E486" s="186" t="s">
        <v>1864</v>
      </c>
      <c r="F486" s="187" t="s">
        <v>33</v>
      </c>
      <c r="G486" s="188" t="s">
        <v>43</v>
      </c>
      <c r="H486" s="187" t="s">
        <v>33</v>
      </c>
      <c r="I486" s="194" t="s">
        <v>1609</v>
      </c>
    </row>
    <row r="487" spans="5:9">
      <c r="E487" s="186" t="s">
        <v>1037</v>
      </c>
      <c r="F487" s="187" t="s">
        <v>33</v>
      </c>
      <c r="G487" s="188" t="s">
        <v>34</v>
      </c>
      <c r="H487" s="187" t="s">
        <v>33</v>
      </c>
      <c r="I487" s="194" t="s">
        <v>2099</v>
      </c>
    </row>
    <row r="488" spans="5:9">
      <c r="E488" s="186" t="s">
        <v>49</v>
      </c>
      <c r="F488" s="187" t="s">
        <v>33</v>
      </c>
      <c r="G488" s="188" t="s">
        <v>43</v>
      </c>
      <c r="H488" s="187" t="s">
        <v>33</v>
      </c>
      <c r="I488" s="194" t="s">
        <v>2101</v>
      </c>
    </row>
    <row r="489" spans="5:9">
      <c r="E489" s="186" t="s">
        <v>42</v>
      </c>
      <c r="F489" s="187" t="s">
        <v>33</v>
      </c>
      <c r="G489" s="188" t="s">
        <v>43</v>
      </c>
      <c r="H489" s="187" t="s">
        <v>33</v>
      </c>
      <c r="I489" s="194" t="s">
        <v>1784</v>
      </c>
    </row>
    <row r="490" spans="5:9">
      <c r="E490" s="186" t="s">
        <v>1956</v>
      </c>
      <c r="F490" s="187" t="s">
        <v>33</v>
      </c>
      <c r="G490" s="188" t="s">
        <v>34</v>
      </c>
      <c r="H490" s="187" t="s">
        <v>35</v>
      </c>
      <c r="I490" s="194" t="s">
        <v>2073</v>
      </c>
    </row>
    <row r="491" spans="5:9">
      <c r="E491" s="186" t="s">
        <v>2106</v>
      </c>
      <c r="F491" s="187" t="s">
        <v>35</v>
      </c>
      <c r="G491" s="189" t="s">
        <v>52</v>
      </c>
      <c r="H491" s="187" t="s">
        <v>35</v>
      </c>
      <c r="I491" s="194" t="s">
        <v>1936</v>
      </c>
    </row>
    <row r="492" spans="5:9">
      <c r="E492" s="186" t="s">
        <v>1794</v>
      </c>
      <c r="F492" s="187" t="s">
        <v>35</v>
      </c>
      <c r="G492" s="189" t="s">
        <v>52</v>
      </c>
      <c r="H492" s="187" t="s">
        <v>35</v>
      </c>
      <c r="I492" s="194" t="s">
        <v>1922</v>
      </c>
    </row>
    <row r="493" spans="5:9">
      <c r="E493" s="186" t="s">
        <v>1958</v>
      </c>
      <c r="F493" s="187" t="s">
        <v>35</v>
      </c>
      <c r="G493" s="189" t="s">
        <v>52</v>
      </c>
      <c r="H493" s="187" t="s">
        <v>35</v>
      </c>
      <c r="I493" s="194" t="s">
        <v>2041</v>
      </c>
    </row>
    <row r="494" spans="5:9">
      <c r="E494" s="186" t="s">
        <v>2108</v>
      </c>
      <c r="F494" s="187" t="s">
        <v>33</v>
      </c>
      <c r="G494" s="188" t="s">
        <v>34</v>
      </c>
      <c r="H494" s="187" t="s">
        <v>35</v>
      </c>
      <c r="I494" s="194" t="s">
        <v>2109</v>
      </c>
    </row>
    <row r="495" spans="5:9">
      <c r="E495" s="186" t="s">
        <v>32</v>
      </c>
      <c r="F495" s="187" t="s">
        <v>33</v>
      </c>
      <c r="G495" s="188" t="s">
        <v>34</v>
      </c>
      <c r="H495" s="187" t="s">
        <v>35</v>
      </c>
      <c r="I495" s="194" t="s">
        <v>1906</v>
      </c>
    </row>
    <row r="496" spans="5:9">
      <c r="E496" s="186" t="s">
        <v>1638</v>
      </c>
      <c r="F496" s="187" t="s">
        <v>33</v>
      </c>
      <c r="G496" s="188" t="s">
        <v>34</v>
      </c>
      <c r="H496" s="187" t="s">
        <v>35</v>
      </c>
      <c r="I496" s="194" t="s">
        <v>1778</v>
      </c>
    </row>
    <row r="497" spans="5:9">
      <c r="E497" s="186" t="s">
        <v>49</v>
      </c>
      <c r="F497" s="187" t="s">
        <v>33</v>
      </c>
      <c r="G497" s="188" t="s">
        <v>43</v>
      </c>
      <c r="H497" s="187" t="s">
        <v>33</v>
      </c>
      <c r="I497" s="194" t="s">
        <v>2116</v>
      </c>
    </row>
    <row r="498" spans="5:9">
      <c r="E498" s="186" t="s">
        <v>1626</v>
      </c>
      <c r="F498" s="187" t="s">
        <v>35</v>
      </c>
      <c r="G498" s="189" t="s">
        <v>52</v>
      </c>
      <c r="H498" s="187" t="s">
        <v>35</v>
      </c>
      <c r="I498" s="194" t="s">
        <v>2118</v>
      </c>
    </row>
    <row r="499" spans="5:9">
      <c r="E499" s="186" t="s">
        <v>924</v>
      </c>
      <c r="F499" s="187" t="s">
        <v>35</v>
      </c>
      <c r="G499" s="189" t="s">
        <v>52</v>
      </c>
      <c r="H499" s="187" t="s">
        <v>35</v>
      </c>
      <c r="I499" s="194" t="s">
        <v>1922</v>
      </c>
    </row>
    <row r="500" spans="5:9">
      <c r="E500" s="186" t="s">
        <v>1958</v>
      </c>
      <c r="F500" s="187" t="s">
        <v>35</v>
      </c>
      <c r="G500" s="189" t="s">
        <v>52</v>
      </c>
      <c r="H500" s="187" t="s">
        <v>35</v>
      </c>
      <c r="I500" s="194" t="s">
        <v>2122</v>
      </c>
    </row>
    <row r="501" spans="5:9">
      <c r="E501" s="186" t="s">
        <v>1182</v>
      </c>
      <c r="F501" s="187" t="s">
        <v>35</v>
      </c>
      <c r="G501" s="189" t="s">
        <v>52</v>
      </c>
      <c r="H501" s="187" t="s">
        <v>35</v>
      </c>
      <c r="I501" s="194" t="s">
        <v>1826</v>
      </c>
    </row>
    <row r="502" spans="5:9">
      <c r="E502" s="186" t="s">
        <v>2123</v>
      </c>
      <c r="F502" s="187" t="s">
        <v>35</v>
      </c>
      <c r="G502" s="189" t="s">
        <v>52</v>
      </c>
      <c r="H502" s="187" t="s">
        <v>35</v>
      </c>
      <c r="I502" s="194" t="s">
        <v>1976</v>
      </c>
    </row>
    <row r="503" spans="5:9">
      <c r="E503" s="186" t="s">
        <v>2125</v>
      </c>
      <c r="F503" s="187" t="s">
        <v>33</v>
      </c>
      <c r="G503" s="188" t="s">
        <v>43</v>
      </c>
      <c r="H503" s="187" t="s">
        <v>33</v>
      </c>
      <c r="I503" s="194" t="s">
        <v>1805</v>
      </c>
    </row>
    <row r="504" spans="5:9">
      <c r="E504" s="186" t="s">
        <v>32</v>
      </c>
      <c r="F504" s="187" t="s">
        <v>33</v>
      </c>
      <c r="G504" s="188" t="s">
        <v>34</v>
      </c>
      <c r="H504" s="187" t="s">
        <v>35</v>
      </c>
      <c r="I504" s="194" t="s">
        <v>1906</v>
      </c>
    </row>
    <row r="505" spans="5:9">
      <c r="E505" s="186" t="s">
        <v>1638</v>
      </c>
      <c r="F505" s="187" t="s">
        <v>33</v>
      </c>
      <c r="G505" s="188" t="s">
        <v>34</v>
      </c>
      <c r="H505" s="187" t="s">
        <v>35</v>
      </c>
      <c r="I505" s="194" t="s">
        <v>1778</v>
      </c>
    </row>
    <row r="506" spans="5:9">
      <c r="E506" s="186" t="s">
        <v>1553</v>
      </c>
      <c r="F506" s="187" t="s">
        <v>33</v>
      </c>
      <c r="G506" s="188" t="s">
        <v>43</v>
      </c>
      <c r="H506" s="187" t="s">
        <v>33</v>
      </c>
      <c r="I506" s="194" t="s">
        <v>1811</v>
      </c>
    </row>
    <row r="507" spans="5:9">
      <c r="E507" s="186" t="s">
        <v>49</v>
      </c>
      <c r="F507" s="187" t="s">
        <v>33</v>
      </c>
      <c r="G507" s="188" t="s">
        <v>43</v>
      </c>
      <c r="H507" s="187" t="s">
        <v>33</v>
      </c>
      <c r="I507" s="194" t="s">
        <v>2132</v>
      </c>
    </row>
    <row r="508" spans="5:9">
      <c r="E508" s="186" t="s">
        <v>42</v>
      </c>
      <c r="F508" s="187" t="s">
        <v>33</v>
      </c>
      <c r="G508" s="188" t="s">
        <v>43</v>
      </c>
      <c r="H508" s="187" t="s">
        <v>33</v>
      </c>
      <c r="I508" s="194" t="s">
        <v>1914</v>
      </c>
    </row>
    <row r="509" spans="5:9">
      <c r="E509" s="186" t="s">
        <v>2136</v>
      </c>
      <c r="F509" s="187" t="s">
        <v>35</v>
      </c>
      <c r="G509" s="189" t="s">
        <v>52</v>
      </c>
      <c r="H509" s="187" t="s">
        <v>35</v>
      </c>
      <c r="I509" s="194" t="s">
        <v>1792</v>
      </c>
    </row>
    <row r="510" spans="5:9">
      <c r="E510" s="186" t="s">
        <v>1679</v>
      </c>
      <c r="F510" s="187" t="s">
        <v>35</v>
      </c>
      <c r="G510" s="189" t="s">
        <v>52</v>
      </c>
      <c r="H510" s="187" t="s">
        <v>35</v>
      </c>
      <c r="I510" s="194" t="s">
        <v>1922</v>
      </c>
    </row>
    <row r="511" spans="5:9">
      <c r="E511" s="186" t="s">
        <v>1958</v>
      </c>
      <c r="F511" s="187" t="s">
        <v>35</v>
      </c>
      <c r="G511" s="189" t="s">
        <v>52</v>
      </c>
      <c r="H511" s="187" t="s">
        <v>35</v>
      </c>
      <c r="I511" s="194" t="s">
        <v>2041</v>
      </c>
    </row>
    <row r="512" spans="5:9">
      <c r="E512" s="186" t="s">
        <v>1975</v>
      </c>
      <c r="F512" s="187" t="s">
        <v>35</v>
      </c>
      <c r="G512" s="189" t="s">
        <v>52</v>
      </c>
      <c r="H512" s="187" t="s">
        <v>35</v>
      </c>
      <c r="I512" s="194" t="s">
        <v>1826</v>
      </c>
    </row>
    <row r="513" spans="5:9">
      <c r="E513" s="186" t="s">
        <v>1684</v>
      </c>
      <c r="F513" s="187" t="s">
        <v>33</v>
      </c>
      <c r="G513" s="188" t="s">
        <v>34</v>
      </c>
      <c r="H513" s="187" t="s">
        <v>35</v>
      </c>
      <c r="I513" s="194" t="s">
        <v>1867</v>
      </c>
    </row>
    <row r="514" spans="5:9">
      <c r="E514" s="186" t="s">
        <v>1841</v>
      </c>
      <c r="F514" s="187" t="s">
        <v>33</v>
      </c>
      <c r="G514" s="188" t="s">
        <v>43</v>
      </c>
      <c r="H514" s="187" t="s">
        <v>33</v>
      </c>
      <c r="I514" s="194" t="s">
        <v>1609</v>
      </c>
    </row>
    <row r="515" spans="5:9">
      <c r="E515" s="186" t="s">
        <v>1107</v>
      </c>
      <c r="F515" s="187" t="s">
        <v>33</v>
      </c>
      <c r="G515" s="188" t="s">
        <v>34</v>
      </c>
      <c r="H515" s="187" t="s">
        <v>33</v>
      </c>
      <c r="I515" s="194" t="s">
        <v>2099</v>
      </c>
    </row>
    <row r="516" spans="5:9">
      <c r="E516" s="186" t="s">
        <v>49</v>
      </c>
      <c r="F516" s="187" t="s">
        <v>33</v>
      </c>
      <c r="G516" s="188" t="s">
        <v>43</v>
      </c>
      <c r="H516" s="187" t="s">
        <v>33</v>
      </c>
      <c r="I516" s="194" t="s">
        <v>2142</v>
      </c>
    </row>
    <row r="517" spans="5:9">
      <c r="E517" s="186" t="s">
        <v>42</v>
      </c>
      <c r="F517" s="187" t="s">
        <v>33</v>
      </c>
      <c r="G517" s="188" t="s">
        <v>43</v>
      </c>
      <c r="H517" s="187" t="s">
        <v>33</v>
      </c>
      <c r="I517" s="194" t="s">
        <v>1784</v>
      </c>
    </row>
    <row r="518" spans="5:9">
      <c r="E518" s="186" t="s">
        <v>1956</v>
      </c>
      <c r="F518" s="187" t="s">
        <v>33</v>
      </c>
      <c r="G518" s="188" t="s">
        <v>34</v>
      </c>
      <c r="H518" s="187" t="s">
        <v>35</v>
      </c>
      <c r="I518" s="194" t="s">
        <v>2073</v>
      </c>
    </row>
    <row r="519" spans="5:9">
      <c r="E519" s="186" t="s">
        <v>1553</v>
      </c>
      <c r="F519" s="187" t="s">
        <v>33</v>
      </c>
      <c r="G519" s="188" t="s">
        <v>43</v>
      </c>
      <c r="H519" s="187" t="s">
        <v>33</v>
      </c>
      <c r="I519" s="194" t="s">
        <v>1811</v>
      </c>
    </row>
    <row r="520" spans="5:9">
      <c r="E520" s="186" t="s">
        <v>1972</v>
      </c>
      <c r="F520" s="187" t="s">
        <v>35</v>
      </c>
      <c r="G520" s="189" t="s">
        <v>52</v>
      </c>
      <c r="H520" s="187" t="s">
        <v>35</v>
      </c>
      <c r="I520" s="194" t="s">
        <v>1936</v>
      </c>
    </row>
    <row r="521" spans="5:9">
      <c r="E521" s="186" t="s">
        <v>924</v>
      </c>
      <c r="F521" s="187" t="s">
        <v>35</v>
      </c>
      <c r="G521" s="189" t="s">
        <v>52</v>
      </c>
      <c r="H521" s="187" t="s">
        <v>35</v>
      </c>
      <c r="I521" s="194" t="s">
        <v>1922</v>
      </c>
    </row>
    <row r="522" spans="5:9">
      <c r="E522" s="186" t="s">
        <v>1958</v>
      </c>
      <c r="F522" s="187" t="s">
        <v>35</v>
      </c>
      <c r="G522" s="189" t="s">
        <v>52</v>
      </c>
      <c r="H522" s="187" t="s">
        <v>35</v>
      </c>
      <c r="I522" s="194" t="s">
        <v>2041</v>
      </c>
    </row>
    <row r="523" spans="5:9">
      <c r="E523" s="186" t="s">
        <v>1802</v>
      </c>
      <c r="F523" s="187" t="s">
        <v>33</v>
      </c>
      <c r="G523" s="188" t="s">
        <v>34</v>
      </c>
      <c r="H523" s="187" t="s">
        <v>35</v>
      </c>
      <c r="I523" s="194" t="s">
        <v>908</v>
      </c>
    </row>
    <row r="524" spans="5:9">
      <c r="E524" s="186" t="s">
        <v>2076</v>
      </c>
      <c r="F524" s="187" t="s">
        <v>33</v>
      </c>
      <c r="G524" s="188" t="s">
        <v>43</v>
      </c>
      <c r="H524" s="187" t="s">
        <v>33</v>
      </c>
      <c r="I524" s="194" t="s">
        <v>1805</v>
      </c>
    </row>
    <row r="525" spans="5:9">
      <c r="E525" s="186" t="s">
        <v>1638</v>
      </c>
      <c r="F525" s="187" t="s">
        <v>33</v>
      </c>
      <c r="G525" s="188" t="s">
        <v>34</v>
      </c>
      <c r="H525" s="187" t="s">
        <v>35</v>
      </c>
      <c r="I525" s="194" t="s">
        <v>1778</v>
      </c>
    </row>
    <row r="526" spans="5:9">
      <c r="E526" s="186" t="s">
        <v>1553</v>
      </c>
      <c r="F526" s="187" t="s">
        <v>33</v>
      </c>
      <c r="G526" s="188" t="s">
        <v>43</v>
      </c>
      <c r="H526" s="187" t="s">
        <v>33</v>
      </c>
      <c r="I526" s="194" t="s">
        <v>1811</v>
      </c>
    </row>
    <row r="527" spans="5:9">
      <c r="E527" s="186" t="s">
        <v>49</v>
      </c>
      <c r="F527" s="187" t="s">
        <v>33</v>
      </c>
      <c r="G527" s="188" t="s">
        <v>43</v>
      </c>
      <c r="H527" s="187" t="s">
        <v>33</v>
      </c>
      <c r="I527" s="194" t="s">
        <v>1818</v>
      </c>
    </row>
    <row r="528" spans="5:9">
      <c r="E528" s="186" t="s">
        <v>42</v>
      </c>
      <c r="F528" s="187" t="s">
        <v>33</v>
      </c>
      <c r="G528" s="188" t="s">
        <v>43</v>
      </c>
      <c r="H528" s="187" t="s">
        <v>33</v>
      </c>
      <c r="I528" s="194" t="s">
        <v>1784</v>
      </c>
    </row>
    <row r="529" spans="5:9">
      <c r="E529" s="186" t="s">
        <v>1972</v>
      </c>
      <c r="F529" s="187" t="s">
        <v>35</v>
      </c>
      <c r="G529" s="189" t="s">
        <v>52</v>
      </c>
      <c r="H529" s="187" t="s">
        <v>35</v>
      </c>
      <c r="I529" s="194" t="s">
        <v>1936</v>
      </c>
    </row>
    <row r="530" spans="5:9">
      <c r="E530" s="186" t="s">
        <v>924</v>
      </c>
      <c r="F530" s="187" t="s">
        <v>35</v>
      </c>
      <c r="G530" s="189" t="s">
        <v>52</v>
      </c>
      <c r="H530" s="187" t="s">
        <v>35</v>
      </c>
      <c r="I530" s="194" t="s">
        <v>1822</v>
      </c>
    </row>
    <row r="531" spans="5:9">
      <c r="E531" s="186" t="s">
        <v>1938</v>
      </c>
      <c r="F531" s="187" t="s">
        <v>35</v>
      </c>
      <c r="G531" s="189" t="s">
        <v>52</v>
      </c>
      <c r="H531" s="187" t="s">
        <v>35</v>
      </c>
      <c r="I531" s="194" t="s">
        <v>1939</v>
      </c>
    </row>
    <row r="532" spans="5:9">
      <c r="E532" s="186" t="s">
        <v>1975</v>
      </c>
      <c r="F532" s="187" t="s">
        <v>35</v>
      </c>
      <c r="G532" s="189" t="s">
        <v>52</v>
      </c>
      <c r="H532" s="187" t="s">
        <v>35</v>
      </c>
      <c r="I532" s="194" t="s">
        <v>1826</v>
      </c>
    </row>
    <row r="533" spans="5:9">
      <c r="E533" s="186" t="s">
        <v>2155</v>
      </c>
      <c r="F533" s="187" t="s">
        <v>33</v>
      </c>
      <c r="G533" s="188" t="s">
        <v>43</v>
      </c>
      <c r="H533" s="187" t="s">
        <v>33</v>
      </c>
      <c r="I533" s="194" t="s">
        <v>1805</v>
      </c>
    </row>
    <row r="534" spans="5:9">
      <c r="E534" s="186" t="s">
        <v>1638</v>
      </c>
      <c r="F534" s="187" t="s">
        <v>33</v>
      </c>
      <c r="G534" s="188" t="s">
        <v>34</v>
      </c>
      <c r="H534" s="187" t="s">
        <v>35</v>
      </c>
      <c r="I534" s="194" t="s">
        <v>1778</v>
      </c>
    </row>
    <row r="535" spans="5:9">
      <c r="E535" s="186" t="s">
        <v>1037</v>
      </c>
      <c r="F535" s="187" t="s">
        <v>33</v>
      </c>
      <c r="G535" s="188" t="s">
        <v>34</v>
      </c>
      <c r="H535" s="187" t="s">
        <v>35</v>
      </c>
      <c r="I535" s="194" t="s">
        <v>1906</v>
      </c>
    </row>
    <row r="536" spans="5:9">
      <c r="E536" s="186" t="s">
        <v>1553</v>
      </c>
      <c r="F536" s="187" t="s">
        <v>33</v>
      </c>
      <c r="G536" s="188" t="s">
        <v>43</v>
      </c>
      <c r="H536" s="187" t="s">
        <v>33</v>
      </c>
      <c r="I536" s="194" t="s">
        <v>1811</v>
      </c>
    </row>
    <row r="537" spans="5:9">
      <c r="E537" s="186" t="s">
        <v>49</v>
      </c>
      <c r="F537" s="187" t="s">
        <v>33</v>
      </c>
      <c r="G537" s="188" t="s">
        <v>43</v>
      </c>
      <c r="H537" s="187" t="s">
        <v>33</v>
      </c>
      <c r="I537" s="194" t="s">
        <v>2159</v>
      </c>
    </row>
    <row r="538" spans="5:9">
      <c r="E538" s="186" t="s">
        <v>1972</v>
      </c>
      <c r="F538" s="187" t="s">
        <v>35</v>
      </c>
      <c r="G538" s="189" t="s">
        <v>52</v>
      </c>
      <c r="H538" s="187" t="s">
        <v>35</v>
      </c>
      <c r="I538" s="194" t="s">
        <v>2162</v>
      </c>
    </row>
    <row r="539" spans="5:9">
      <c r="E539" s="186" t="s">
        <v>924</v>
      </c>
      <c r="F539" s="187" t="s">
        <v>35</v>
      </c>
      <c r="G539" s="189" t="s">
        <v>52</v>
      </c>
      <c r="H539" s="187" t="s">
        <v>35</v>
      </c>
      <c r="I539" s="194" t="s">
        <v>1922</v>
      </c>
    </row>
    <row r="540" spans="5:9">
      <c r="E540" s="186" t="s">
        <v>1958</v>
      </c>
      <c r="F540" s="187" t="s">
        <v>35</v>
      </c>
      <c r="G540" s="189" t="s">
        <v>52</v>
      </c>
      <c r="H540" s="187" t="s">
        <v>35</v>
      </c>
      <c r="I540" s="194" t="s">
        <v>2041</v>
      </c>
    </row>
    <row r="541" spans="5:9">
      <c r="E541" s="186" t="s">
        <v>1182</v>
      </c>
      <c r="F541" s="187" t="s">
        <v>35</v>
      </c>
      <c r="G541" s="189" t="s">
        <v>52</v>
      </c>
      <c r="H541" s="187" t="s">
        <v>35</v>
      </c>
      <c r="I541" s="194" t="s">
        <v>1826</v>
      </c>
    </row>
    <row r="542" spans="5:9">
      <c r="E542" s="186" t="s">
        <v>1799</v>
      </c>
      <c r="F542" s="187" t="s">
        <v>35</v>
      </c>
      <c r="G542" s="189" t="s">
        <v>52</v>
      </c>
      <c r="H542" s="187" t="s">
        <v>35</v>
      </c>
      <c r="I542" s="194" t="s">
        <v>1976</v>
      </c>
    </row>
    <row r="543" spans="5:9">
      <c r="E543" s="186" t="s">
        <v>1886</v>
      </c>
      <c r="F543" s="187" t="s">
        <v>33</v>
      </c>
      <c r="G543" s="188" t="s">
        <v>34</v>
      </c>
      <c r="H543" s="187" t="s">
        <v>35</v>
      </c>
      <c r="I543" s="194" t="s">
        <v>1861</v>
      </c>
    </row>
    <row r="544" spans="5:9">
      <c r="E544" s="186" t="s">
        <v>1723</v>
      </c>
      <c r="F544" s="187" t="s">
        <v>33</v>
      </c>
      <c r="G544" s="188" t="s">
        <v>43</v>
      </c>
      <c r="H544" s="187" t="s">
        <v>33</v>
      </c>
      <c r="I544" s="194" t="s">
        <v>1871</v>
      </c>
    </row>
    <row r="545" spans="5:9">
      <c r="E545" s="186" t="s">
        <v>1638</v>
      </c>
      <c r="F545" s="187" t="s">
        <v>33</v>
      </c>
      <c r="G545" s="188" t="s">
        <v>34</v>
      </c>
      <c r="H545" s="187" t="s">
        <v>35</v>
      </c>
      <c r="I545" s="194" t="s">
        <v>1778</v>
      </c>
    </row>
    <row r="546" spans="5:9">
      <c r="E546" s="186" t="s">
        <v>1553</v>
      </c>
      <c r="F546" s="187" t="s">
        <v>33</v>
      </c>
      <c r="G546" s="188" t="s">
        <v>43</v>
      </c>
      <c r="H546" s="187" t="s">
        <v>33</v>
      </c>
      <c r="I546" s="194" t="s">
        <v>1811</v>
      </c>
    </row>
    <row r="547" spans="5:9">
      <c r="E547" s="186" t="s">
        <v>49</v>
      </c>
      <c r="F547" s="187" t="s">
        <v>33</v>
      </c>
      <c r="G547" s="188" t="s">
        <v>43</v>
      </c>
      <c r="H547" s="187" t="s">
        <v>33</v>
      </c>
      <c r="I547" s="194" t="s">
        <v>2170</v>
      </c>
    </row>
    <row r="548" spans="5:9">
      <c r="E548" s="186" t="s">
        <v>1898</v>
      </c>
      <c r="F548" s="187" t="s">
        <v>33</v>
      </c>
      <c r="G548" s="188" t="s">
        <v>43</v>
      </c>
      <c r="H548" s="187" t="s">
        <v>33</v>
      </c>
      <c r="I548" s="194" t="s">
        <v>1899</v>
      </c>
    </row>
    <row r="549" spans="5:9">
      <c r="E549" s="186" t="s">
        <v>1879</v>
      </c>
      <c r="F549" s="187" t="s">
        <v>33</v>
      </c>
      <c r="G549" s="188" t="s">
        <v>34</v>
      </c>
      <c r="H549" s="187" t="s">
        <v>35</v>
      </c>
      <c r="I549" s="194" t="s">
        <v>2073</v>
      </c>
    </row>
    <row r="550" spans="5:9">
      <c r="E550" s="186" t="s">
        <v>1972</v>
      </c>
      <c r="F550" s="187" t="s">
        <v>35</v>
      </c>
      <c r="G550" s="189" t="s">
        <v>52</v>
      </c>
      <c r="H550" s="187" t="s">
        <v>35</v>
      </c>
      <c r="I550" s="194" t="s">
        <v>1936</v>
      </c>
    </row>
    <row r="551" spans="5:9">
      <c r="E551" s="186" t="s">
        <v>924</v>
      </c>
      <c r="F551" s="187" t="s">
        <v>35</v>
      </c>
      <c r="G551" s="189" t="s">
        <v>52</v>
      </c>
      <c r="H551" s="187" t="s">
        <v>35</v>
      </c>
      <c r="I551" s="194" t="s">
        <v>1922</v>
      </c>
    </row>
    <row r="552" spans="5:9">
      <c r="E552" s="186" t="s">
        <v>1904</v>
      </c>
      <c r="F552" s="187" t="s">
        <v>35</v>
      </c>
      <c r="G552" s="189" t="s">
        <v>52</v>
      </c>
      <c r="H552" s="187" t="s">
        <v>35</v>
      </c>
      <c r="I552" s="194" t="s">
        <v>2041</v>
      </c>
    </row>
    <row r="553" spans="5:9">
      <c r="E553" s="186" t="s">
        <v>2176</v>
      </c>
      <c r="F553" s="187" t="s">
        <v>33</v>
      </c>
      <c r="G553" s="188" t="s">
        <v>34</v>
      </c>
      <c r="H553" s="187" t="s">
        <v>35</v>
      </c>
      <c r="I553" s="194" t="s">
        <v>1906</v>
      </c>
    </row>
    <row r="554" spans="5:9">
      <c r="E554" s="186" t="s">
        <v>1638</v>
      </c>
      <c r="F554" s="187" t="s">
        <v>33</v>
      </c>
      <c r="G554" s="188" t="s">
        <v>34</v>
      </c>
      <c r="H554" s="187" t="s">
        <v>35</v>
      </c>
      <c r="I554" s="194" t="s">
        <v>1778</v>
      </c>
    </row>
    <row r="555" spans="5:9">
      <c r="E555" s="186" t="s">
        <v>1553</v>
      </c>
      <c r="F555" s="187" t="s">
        <v>33</v>
      </c>
      <c r="G555" s="188" t="s">
        <v>43</v>
      </c>
      <c r="H555" s="187" t="s">
        <v>33</v>
      </c>
      <c r="I555" s="194" t="s">
        <v>1811</v>
      </c>
    </row>
    <row r="556" spans="5:9">
      <c r="E556" s="186" t="s">
        <v>49</v>
      </c>
      <c r="F556" s="187" t="s">
        <v>33</v>
      </c>
      <c r="G556" s="188" t="s">
        <v>43</v>
      </c>
      <c r="H556" s="187" t="s">
        <v>33</v>
      </c>
      <c r="I556" s="194" t="s">
        <v>2181</v>
      </c>
    </row>
    <row r="557" spans="5:9">
      <c r="E557" s="186" t="s">
        <v>42</v>
      </c>
      <c r="F557" s="187" t="s">
        <v>33</v>
      </c>
      <c r="G557" s="188" t="s">
        <v>43</v>
      </c>
      <c r="H557" s="187" t="s">
        <v>33</v>
      </c>
      <c r="I557" s="194" t="s">
        <v>1784</v>
      </c>
    </row>
    <row r="558" spans="5:9">
      <c r="E558" s="186" t="s">
        <v>1879</v>
      </c>
      <c r="F558" s="187" t="s">
        <v>33</v>
      </c>
      <c r="G558" s="188" t="s">
        <v>34</v>
      </c>
      <c r="H558" s="187" t="s">
        <v>35</v>
      </c>
      <c r="I558" s="194" t="s">
        <v>2073</v>
      </c>
    </row>
    <row r="559" spans="5:9">
      <c r="E559" s="186" t="s">
        <v>1972</v>
      </c>
      <c r="F559" s="187" t="s">
        <v>35</v>
      </c>
      <c r="G559" s="189" t="s">
        <v>52</v>
      </c>
      <c r="H559" s="187" t="s">
        <v>35</v>
      </c>
      <c r="I559" s="194" t="s">
        <v>2162</v>
      </c>
    </row>
    <row r="560" spans="5:9">
      <c r="E560" s="186" t="s">
        <v>924</v>
      </c>
      <c r="F560" s="187" t="s">
        <v>35</v>
      </c>
      <c r="G560" s="189" t="s">
        <v>52</v>
      </c>
      <c r="H560" s="187" t="s">
        <v>35</v>
      </c>
      <c r="I560" s="194" t="s">
        <v>1922</v>
      </c>
    </row>
    <row r="561" spans="5:9">
      <c r="E561" s="186" t="s">
        <v>1958</v>
      </c>
      <c r="F561" s="187" t="s">
        <v>35</v>
      </c>
      <c r="G561" s="189" t="s">
        <v>52</v>
      </c>
      <c r="H561" s="187" t="s">
        <v>35</v>
      </c>
      <c r="I561" s="194" t="s">
        <v>2041</v>
      </c>
    </row>
    <row r="562" spans="5:9">
      <c r="E562" s="186" t="s">
        <v>1975</v>
      </c>
      <c r="F562" s="187" t="s">
        <v>35</v>
      </c>
      <c r="G562" s="189" t="s">
        <v>52</v>
      </c>
      <c r="H562" s="187" t="s">
        <v>35</v>
      </c>
      <c r="I562" s="194" t="s">
        <v>1826</v>
      </c>
    </row>
    <row r="563" spans="5:9">
      <c r="E563" s="186" t="s">
        <v>2188</v>
      </c>
      <c r="F563" s="187" t="s">
        <v>33</v>
      </c>
      <c r="G563" s="188" t="s">
        <v>43</v>
      </c>
      <c r="H563" s="187" t="s">
        <v>33</v>
      </c>
      <c r="I563" s="194" t="s">
        <v>2070</v>
      </c>
    </row>
    <row r="564" spans="5:9">
      <c r="E564" s="186" t="s">
        <v>1037</v>
      </c>
      <c r="F564" s="187" t="s">
        <v>33</v>
      </c>
      <c r="G564" s="188" t="s">
        <v>34</v>
      </c>
      <c r="H564" s="187" t="s">
        <v>35</v>
      </c>
      <c r="I564" s="194" t="s">
        <v>1906</v>
      </c>
    </row>
    <row r="565" spans="5:9">
      <c r="E565" s="186" t="s">
        <v>1638</v>
      </c>
      <c r="F565" s="187" t="s">
        <v>33</v>
      </c>
      <c r="G565" s="188" t="s">
        <v>34</v>
      </c>
      <c r="H565" s="187" t="s">
        <v>35</v>
      </c>
      <c r="I565" s="194" t="s">
        <v>1778</v>
      </c>
    </row>
    <row r="566" spans="5:9">
      <c r="E566" s="186" t="s">
        <v>1553</v>
      </c>
      <c r="F566" s="187" t="s">
        <v>33</v>
      </c>
      <c r="G566" s="188" t="s">
        <v>43</v>
      </c>
      <c r="H566" s="187" t="s">
        <v>33</v>
      </c>
      <c r="I566" s="194" t="s">
        <v>1811</v>
      </c>
    </row>
    <row r="567" spans="5:9">
      <c r="E567" s="186" t="s">
        <v>49</v>
      </c>
      <c r="F567" s="187" t="s">
        <v>33</v>
      </c>
      <c r="G567" s="188" t="s">
        <v>43</v>
      </c>
      <c r="H567" s="187" t="s">
        <v>33</v>
      </c>
      <c r="I567" s="194" t="s">
        <v>2193</v>
      </c>
    </row>
    <row r="568" spans="5:9">
      <c r="E568" s="186" t="s">
        <v>42</v>
      </c>
      <c r="F568" s="187" t="s">
        <v>33</v>
      </c>
      <c r="G568" s="188" t="s">
        <v>43</v>
      </c>
      <c r="H568" s="187" t="s">
        <v>33</v>
      </c>
      <c r="I568" s="194" t="s">
        <v>1784</v>
      </c>
    </row>
    <row r="569" spans="5:9">
      <c r="E569" s="186" t="s">
        <v>1956</v>
      </c>
      <c r="F569" s="187" t="s">
        <v>33</v>
      </c>
      <c r="G569" s="188" t="s">
        <v>34</v>
      </c>
      <c r="H569" s="187" t="s">
        <v>35</v>
      </c>
      <c r="I569" s="194" t="s">
        <v>2073</v>
      </c>
    </row>
    <row r="570" spans="5:9">
      <c r="E570" s="186" t="s">
        <v>2197</v>
      </c>
      <c r="F570" s="187" t="s">
        <v>33</v>
      </c>
      <c r="G570" s="188" t="s">
        <v>43</v>
      </c>
      <c r="H570" s="187" t="s">
        <v>33</v>
      </c>
      <c r="I570" s="194" t="s">
        <v>2198</v>
      </c>
    </row>
    <row r="571" spans="5:9">
      <c r="E571" s="186" t="s">
        <v>1972</v>
      </c>
      <c r="F571" s="187" t="s">
        <v>35</v>
      </c>
      <c r="G571" s="189" t="s">
        <v>52</v>
      </c>
      <c r="H571" s="187" t="s">
        <v>35</v>
      </c>
      <c r="I571" s="194" t="s">
        <v>1936</v>
      </c>
    </row>
    <row r="572" spans="5:9">
      <c r="E572" s="186" t="s">
        <v>924</v>
      </c>
      <c r="F572" s="187" t="s">
        <v>35</v>
      </c>
      <c r="G572" s="189" t="s">
        <v>52</v>
      </c>
      <c r="H572" s="187" t="s">
        <v>35</v>
      </c>
      <c r="I572" s="194" t="s">
        <v>1922</v>
      </c>
    </row>
    <row r="573" spans="5:9">
      <c r="E573" s="186" t="s">
        <v>2200</v>
      </c>
      <c r="F573" s="187" t="s">
        <v>33</v>
      </c>
      <c r="G573" s="188" t="s">
        <v>43</v>
      </c>
      <c r="H573" s="187" t="s">
        <v>33</v>
      </c>
      <c r="I573" s="194" t="s">
        <v>2201</v>
      </c>
    </row>
    <row r="574" spans="5:9">
      <c r="E574" s="186" t="s">
        <v>1037</v>
      </c>
      <c r="F574" s="187" t="s">
        <v>33</v>
      </c>
      <c r="G574" s="188" t="s">
        <v>34</v>
      </c>
      <c r="H574" s="187" t="s">
        <v>35</v>
      </c>
      <c r="I574" s="194" t="s">
        <v>1906</v>
      </c>
    </row>
    <row r="575" spans="5:9">
      <c r="E575" s="186" t="s">
        <v>1638</v>
      </c>
      <c r="F575" s="187" t="s">
        <v>33</v>
      </c>
      <c r="G575" s="188" t="s">
        <v>34</v>
      </c>
      <c r="H575" s="187" t="s">
        <v>35</v>
      </c>
      <c r="I575" s="194" t="s">
        <v>1778</v>
      </c>
    </row>
    <row r="576" spans="5:9">
      <c r="E576" s="186" t="s">
        <v>1553</v>
      </c>
      <c r="F576" s="187" t="s">
        <v>33</v>
      </c>
      <c r="G576" s="188" t="s">
        <v>43</v>
      </c>
      <c r="H576" s="187" t="s">
        <v>33</v>
      </c>
      <c r="I576" s="194" t="s">
        <v>1811</v>
      </c>
    </row>
    <row r="577" spans="5:9">
      <c r="E577" s="186" t="s">
        <v>49</v>
      </c>
      <c r="F577" s="187" t="s">
        <v>33</v>
      </c>
      <c r="G577" s="188" t="s">
        <v>43</v>
      </c>
      <c r="H577" s="187" t="s">
        <v>33</v>
      </c>
      <c r="I577" s="194" t="s">
        <v>2210</v>
      </c>
    </row>
    <row r="578" spans="5:9">
      <c r="E578" s="186" t="s">
        <v>42</v>
      </c>
      <c r="F578" s="187" t="s">
        <v>33</v>
      </c>
      <c r="G578" s="188" t="s">
        <v>43</v>
      </c>
      <c r="H578" s="187" t="s">
        <v>33</v>
      </c>
      <c r="I578" s="194" t="s">
        <v>1784</v>
      </c>
    </row>
    <row r="579" spans="5:9">
      <c r="E579" s="186" t="s">
        <v>1879</v>
      </c>
      <c r="F579" s="187" t="s">
        <v>33</v>
      </c>
      <c r="G579" s="188" t="s">
        <v>34</v>
      </c>
      <c r="H579" s="187" t="s">
        <v>35</v>
      </c>
      <c r="I579" s="194" t="s">
        <v>2073</v>
      </c>
    </row>
    <row r="580" spans="5:9">
      <c r="E580" s="186" t="s">
        <v>1972</v>
      </c>
      <c r="F580" s="187" t="s">
        <v>35</v>
      </c>
      <c r="G580" s="189" t="s">
        <v>52</v>
      </c>
      <c r="H580" s="187" t="s">
        <v>35</v>
      </c>
      <c r="I580" s="194" t="s">
        <v>1936</v>
      </c>
    </row>
    <row r="581" spans="5:9">
      <c r="E581" s="186" t="s">
        <v>924</v>
      </c>
      <c r="F581" s="187" t="s">
        <v>35</v>
      </c>
      <c r="G581" s="189" t="s">
        <v>52</v>
      </c>
      <c r="H581" s="187" t="s">
        <v>35</v>
      </c>
      <c r="I581" s="194" t="s">
        <v>1922</v>
      </c>
    </row>
    <row r="582" spans="5:9">
      <c r="E582" s="186" t="s">
        <v>1958</v>
      </c>
      <c r="F582" s="187" t="s">
        <v>35</v>
      </c>
      <c r="G582" s="189" t="s">
        <v>52</v>
      </c>
      <c r="H582" s="187" t="s">
        <v>35</v>
      </c>
      <c r="I582" s="194" t="s">
        <v>2041</v>
      </c>
    </row>
    <row r="583" spans="5:9">
      <c r="E583" s="186" t="s">
        <v>2216</v>
      </c>
      <c r="F583" s="187" t="s">
        <v>33</v>
      </c>
      <c r="G583" s="188" t="s">
        <v>34</v>
      </c>
      <c r="H583" s="187" t="s">
        <v>35</v>
      </c>
      <c r="I583" s="194" t="s">
        <v>1906</v>
      </c>
    </row>
    <row r="584" spans="5:9">
      <c r="E584" s="186" t="s">
        <v>1638</v>
      </c>
      <c r="F584" s="187" t="s">
        <v>33</v>
      </c>
      <c r="G584" s="188" t="s">
        <v>34</v>
      </c>
      <c r="H584" s="187" t="s">
        <v>35</v>
      </c>
      <c r="I584" s="194" t="s">
        <v>1778</v>
      </c>
    </row>
    <row r="585" spans="5:9">
      <c r="E585" s="186" t="s">
        <v>1877</v>
      </c>
      <c r="F585" s="187" t="s">
        <v>33</v>
      </c>
      <c r="G585" s="188" t="s">
        <v>43</v>
      </c>
      <c r="H585" s="187" t="s">
        <v>33</v>
      </c>
      <c r="I585" s="194" t="s">
        <v>1641</v>
      </c>
    </row>
    <row r="586" spans="5:9">
      <c r="E586" s="186" t="s">
        <v>49</v>
      </c>
      <c r="F586" s="187" t="s">
        <v>33</v>
      </c>
      <c r="G586" s="188" t="s">
        <v>43</v>
      </c>
      <c r="H586" s="187" t="s">
        <v>33</v>
      </c>
      <c r="I586" s="194" t="s">
        <v>2101</v>
      </c>
    </row>
    <row r="587" spans="5:9">
      <c r="E587" s="186" t="s">
        <v>1972</v>
      </c>
      <c r="F587" s="187" t="s">
        <v>35</v>
      </c>
      <c r="G587" s="189" t="s">
        <v>52</v>
      </c>
      <c r="H587" s="187" t="s">
        <v>35</v>
      </c>
      <c r="I587" s="194" t="s">
        <v>1936</v>
      </c>
    </row>
    <row r="588" spans="5:9">
      <c r="E588" s="186" t="s">
        <v>924</v>
      </c>
      <c r="F588" s="187" t="s">
        <v>35</v>
      </c>
      <c r="G588" s="189" t="s">
        <v>52</v>
      </c>
      <c r="H588" s="187" t="s">
        <v>35</v>
      </c>
      <c r="I588" s="194" t="s">
        <v>1922</v>
      </c>
    </row>
    <row r="589" spans="5:9">
      <c r="E589" s="186" t="s">
        <v>1923</v>
      </c>
      <c r="F589" s="187" t="s">
        <v>35</v>
      </c>
      <c r="G589" s="189" t="s">
        <v>52</v>
      </c>
      <c r="H589" s="187" t="s">
        <v>35</v>
      </c>
      <c r="I589" s="194" t="s">
        <v>2224</v>
      </c>
    </row>
    <row r="590" spans="5:9">
      <c r="E590" s="186" t="s">
        <v>1958</v>
      </c>
      <c r="F590" s="187" t="s">
        <v>35</v>
      </c>
      <c r="G590" s="189" t="s">
        <v>52</v>
      </c>
      <c r="H590" s="187" t="s">
        <v>35</v>
      </c>
      <c r="I590" s="194" t="s">
        <v>2041</v>
      </c>
    </row>
    <row r="591" spans="5:9">
      <c r="E591" s="186" t="s">
        <v>1975</v>
      </c>
      <c r="F591" s="187" t="s">
        <v>35</v>
      </c>
      <c r="G591" s="189" t="s">
        <v>52</v>
      </c>
      <c r="H591" s="187" t="s">
        <v>35</v>
      </c>
      <c r="I591" s="194" t="s">
        <v>1826</v>
      </c>
    </row>
    <row r="592" spans="5:9">
      <c r="E592" s="186" t="s">
        <v>1799</v>
      </c>
      <c r="F592" s="187" t="s">
        <v>35</v>
      </c>
      <c r="G592" s="189" t="s">
        <v>52</v>
      </c>
      <c r="H592" s="187" t="s">
        <v>35</v>
      </c>
      <c r="I592" s="194" t="s">
        <v>1976</v>
      </c>
    </row>
    <row r="593" spans="5:9">
      <c r="E593" s="186" t="s">
        <v>1860</v>
      </c>
      <c r="F593" s="187" t="s">
        <v>33</v>
      </c>
      <c r="G593" s="188" t="s">
        <v>34</v>
      </c>
      <c r="H593" s="187" t="s">
        <v>35</v>
      </c>
      <c r="I593" s="194" t="s">
        <v>2226</v>
      </c>
    </row>
    <row r="594" spans="5:9">
      <c r="E594" s="186" t="s">
        <v>1723</v>
      </c>
      <c r="F594" s="187" t="s">
        <v>33</v>
      </c>
      <c r="G594" s="188" t="s">
        <v>43</v>
      </c>
      <c r="H594" s="187" t="s">
        <v>33</v>
      </c>
      <c r="I594" s="194" t="s">
        <v>1984</v>
      </c>
    </row>
    <row r="595" spans="5:9">
      <c r="E595" s="186" t="s">
        <v>1638</v>
      </c>
      <c r="F595" s="187" t="s">
        <v>33</v>
      </c>
      <c r="G595" s="188" t="s">
        <v>34</v>
      </c>
      <c r="H595" s="187" t="s">
        <v>35</v>
      </c>
      <c r="I595" s="194" t="s">
        <v>1778</v>
      </c>
    </row>
    <row r="596" spans="5:9">
      <c r="E596" s="186" t="s">
        <v>1553</v>
      </c>
      <c r="F596" s="187" t="s">
        <v>33</v>
      </c>
      <c r="G596" s="188" t="s">
        <v>43</v>
      </c>
      <c r="H596" s="187" t="s">
        <v>33</v>
      </c>
      <c r="I596" s="194" t="s">
        <v>1811</v>
      </c>
    </row>
    <row r="597" spans="5:9">
      <c r="E597" s="186" t="s">
        <v>2234</v>
      </c>
      <c r="F597" s="187" t="s">
        <v>33</v>
      </c>
      <c r="G597" s="188" t="s">
        <v>43</v>
      </c>
      <c r="H597" s="187" t="s">
        <v>33</v>
      </c>
      <c r="I597" s="194" t="s">
        <v>2235</v>
      </c>
    </row>
    <row r="598" spans="5:9">
      <c r="E598" s="186" t="s">
        <v>1990</v>
      </c>
      <c r="F598" s="187" t="s">
        <v>33</v>
      </c>
      <c r="G598" s="188" t="s">
        <v>43</v>
      </c>
      <c r="H598" s="187" t="s">
        <v>33</v>
      </c>
      <c r="I598" s="194" t="s">
        <v>1899</v>
      </c>
    </row>
    <row r="599" spans="5:9">
      <c r="E599" s="186" t="s">
        <v>1972</v>
      </c>
      <c r="F599" s="187" t="s">
        <v>35</v>
      </c>
      <c r="G599" s="189" t="s">
        <v>52</v>
      </c>
      <c r="H599" s="187" t="s">
        <v>35</v>
      </c>
      <c r="I599" s="194" t="s">
        <v>2238</v>
      </c>
    </row>
    <row r="600" spans="5:9">
      <c r="E600" s="186" t="s">
        <v>924</v>
      </c>
      <c r="F600" s="187" t="s">
        <v>35</v>
      </c>
      <c r="G600" s="189" t="s">
        <v>52</v>
      </c>
      <c r="H600" s="187" t="s">
        <v>35</v>
      </c>
      <c r="I600" s="194" t="s">
        <v>1922</v>
      </c>
    </row>
    <row r="601" spans="5:9">
      <c r="E601" s="186" t="s">
        <v>1904</v>
      </c>
      <c r="F601" s="187" t="s">
        <v>35</v>
      </c>
      <c r="G601" s="189" t="s">
        <v>52</v>
      </c>
      <c r="H601" s="187" t="s">
        <v>35</v>
      </c>
      <c r="I601" s="194" t="s">
        <v>2041</v>
      </c>
    </row>
    <row r="602" spans="5:9">
      <c r="E602" s="186" t="s">
        <v>2240</v>
      </c>
      <c r="F602" s="187" t="s">
        <v>33</v>
      </c>
      <c r="G602" s="188" t="s">
        <v>43</v>
      </c>
      <c r="H602" s="187" t="s">
        <v>33</v>
      </c>
      <c r="I602" s="194" t="s">
        <v>2241</v>
      </c>
    </row>
    <row r="603" spans="5:9">
      <c r="E603" s="186" t="s">
        <v>32</v>
      </c>
      <c r="F603" s="187" t="s">
        <v>33</v>
      </c>
      <c r="G603" s="188" t="s">
        <v>34</v>
      </c>
      <c r="H603" s="187" t="s">
        <v>35</v>
      </c>
      <c r="I603" s="194" t="s">
        <v>1906</v>
      </c>
    </row>
    <row r="604" spans="5:9">
      <c r="E604" s="186" t="s">
        <v>1684</v>
      </c>
      <c r="F604" s="187" t="s">
        <v>33</v>
      </c>
      <c r="G604" s="188" t="s">
        <v>34</v>
      </c>
      <c r="H604" s="187" t="s">
        <v>35</v>
      </c>
      <c r="I604" s="194" t="s">
        <v>2245</v>
      </c>
    </row>
    <row r="605" spans="5:9">
      <c r="E605" s="186" t="s">
        <v>1864</v>
      </c>
      <c r="F605" s="187" t="s">
        <v>33</v>
      </c>
      <c r="G605" s="188" t="s">
        <v>43</v>
      </c>
      <c r="H605" s="187" t="s">
        <v>33</v>
      </c>
      <c r="I605" s="194" t="s">
        <v>1609</v>
      </c>
    </row>
    <row r="606" spans="5:9">
      <c r="E606" s="186" t="s">
        <v>49</v>
      </c>
      <c r="F606" s="187" t="s">
        <v>33</v>
      </c>
      <c r="G606" s="188" t="s">
        <v>43</v>
      </c>
      <c r="H606" s="187" t="s">
        <v>33</v>
      </c>
      <c r="I606" s="194" t="s">
        <v>2249</v>
      </c>
    </row>
    <row r="607" spans="5:9">
      <c r="E607" s="186" t="s">
        <v>42</v>
      </c>
      <c r="F607" s="187" t="s">
        <v>33</v>
      </c>
      <c r="G607" s="188" t="s">
        <v>43</v>
      </c>
      <c r="H607" s="187" t="s">
        <v>33</v>
      </c>
      <c r="I607" s="194" t="s">
        <v>1784</v>
      </c>
    </row>
    <row r="608" spans="5:9">
      <c r="E608" s="186" t="s">
        <v>1956</v>
      </c>
      <c r="F608" s="187" t="s">
        <v>33</v>
      </c>
      <c r="G608" s="188" t="s">
        <v>34</v>
      </c>
      <c r="H608" s="187" t="s">
        <v>35</v>
      </c>
      <c r="I608" s="194" t="s">
        <v>2073</v>
      </c>
    </row>
    <row r="609" spans="5:9">
      <c r="E609" s="186" t="s">
        <v>1553</v>
      </c>
      <c r="F609" s="187" t="s">
        <v>33</v>
      </c>
      <c r="G609" s="188" t="s">
        <v>43</v>
      </c>
      <c r="H609" s="187" t="s">
        <v>33</v>
      </c>
      <c r="I609" s="194" t="s">
        <v>1811</v>
      </c>
    </row>
    <row r="610" spans="5:9">
      <c r="E610" s="186" t="s">
        <v>1972</v>
      </c>
      <c r="F610" s="187" t="s">
        <v>35</v>
      </c>
      <c r="G610" s="189" t="s">
        <v>52</v>
      </c>
      <c r="H610" s="187" t="s">
        <v>35</v>
      </c>
      <c r="I610" s="194" t="s">
        <v>1936</v>
      </c>
    </row>
    <row r="611" spans="5:9">
      <c r="E611" s="186" t="s">
        <v>924</v>
      </c>
      <c r="F611" s="187" t="s">
        <v>35</v>
      </c>
      <c r="G611" s="189" t="s">
        <v>52</v>
      </c>
      <c r="H611" s="187" t="s">
        <v>35</v>
      </c>
      <c r="I611" s="194" t="s">
        <v>1922</v>
      </c>
    </row>
    <row r="612" spans="5:9">
      <c r="E612" s="186" t="s">
        <v>1102</v>
      </c>
      <c r="F612" s="187" t="s">
        <v>33</v>
      </c>
      <c r="G612" s="188" t="s">
        <v>34</v>
      </c>
      <c r="H612" s="187" t="s">
        <v>35</v>
      </c>
      <c r="I612" s="194" t="s">
        <v>2255</v>
      </c>
    </row>
    <row r="613" spans="5:9">
      <c r="E613" s="186" t="s">
        <v>1638</v>
      </c>
      <c r="F613" s="187" t="s">
        <v>33</v>
      </c>
      <c r="G613" s="188" t="s">
        <v>34</v>
      </c>
      <c r="H613" s="187" t="s">
        <v>35</v>
      </c>
      <c r="I613" s="194" t="s">
        <v>1778</v>
      </c>
    </row>
    <row r="614" spans="5:9">
      <c r="E614" s="186" t="s">
        <v>1553</v>
      </c>
      <c r="F614" s="187" t="s">
        <v>33</v>
      </c>
      <c r="G614" s="188" t="s">
        <v>43</v>
      </c>
      <c r="H614" s="187" t="s">
        <v>33</v>
      </c>
      <c r="I614" s="194" t="s">
        <v>1811</v>
      </c>
    </row>
    <row r="615" spans="5:9">
      <c r="E615" s="186" t="s">
        <v>49</v>
      </c>
      <c r="F615" s="187" t="s">
        <v>33</v>
      </c>
      <c r="G615" s="188" t="s">
        <v>43</v>
      </c>
      <c r="H615" s="187" t="s">
        <v>33</v>
      </c>
      <c r="I615" s="194" t="s">
        <v>2262</v>
      </c>
    </row>
    <row r="616" spans="5:9">
      <c r="E616" s="186" t="s">
        <v>42</v>
      </c>
      <c r="F616" s="187" t="s">
        <v>33</v>
      </c>
      <c r="G616" s="188" t="s">
        <v>43</v>
      </c>
      <c r="H616" s="187" t="s">
        <v>33</v>
      </c>
      <c r="I616" s="194" t="s">
        <v>1784</v>
      </c>
    </row>
    <row r="617" spans="5:9">
      <c r="E617" s="186" t="s">
        <v>2266</v>
      </c>
      <c r="F617" s="187" t="s">
        <v>35</v>
      </c>
      <c r="G617" s="189" t="s">
        <v>52</v>
      </c>
      <c r="H617" s="187" t="s">
        <v>35</v>
      </c>
      <c r="I617" s="194" t="s">
        <v>1769</v>
      </c>
    </row>
    <row r="618" spans="5:9">
      <c r="E618" s="186" t="s">
        <v>1648</v>
      </c>
      <c r="F618" s="187" t="s">
        <v>35</v>
      </c>
      <c r="G618" s="189" t="s">
        <v>52</v>
      </c>
      <c r="H618" s="187" t="s">
        <v>35</v>
      </c>
      <c r="I618" s="194" t="s">
        <v>2162</v>
      </c>
    </row>
    <row r="619" spans="5:9">
      <c r="E619" s="186" t="s">
        <v>924</v>
      </c>
      <c r="F619" s="187" t="s">
        <v>35</v>
      </c>
      <c r="G619" s="189" t="s">
        <v>52</v>
      </c>
      <c r="H619" s="187" t="s">
        <v>35</v>
      </c>
      <c r="I619" s="194" t="s">
        <v>1922</v>
      </c>
    </row>
    <row r="620" spans="5:9">
      <c r="E620" s="186" t="s">
        <v>1958</v>
      </c>
      <c r="F620" s="187" t="s">
        <v>35</v>
      </c>
      <c r="G620" s="189" t="s">
        <v>52</v>
      </c>
      <c r="H620" s="187" t="s">
        <v>35</v>
      </c>
      <c r="I620" s="194" t="s">
        <v>2041</v>
      </c>
    </row>
    <row r="621" spans="5:9">
      <c r="E621" s="186" t="s">
        <v>1975</v>
      </c>
      <c r="F621" s="187" t="s">
        <v>35</v>
      </c>
      <c r="G621" s="189" t="s">
        <v>52</v>
      </c>
      <c r="H621" s="187" t="s">
        <v>35</v>
      </c>
      <c r="I621" s="194" t="s">
        <v>1826</v>
      </c>
    </row>
    <row r="622" spans="5:9">
      <c r="E622" s="186" t="s">
        <v>2269</v>
      </c>
      <c r="F622" s="187" t="s">
        <v>33</v>
      </c>
      <c r="G622" s="188" t="s">
        <v>34</v>
      </c>
      <c r="H622" s="187" t="s">
        <v>35</v>
      </c>
      <c r="I622" s="194" t="s">
        <v>2270</v>
      </c>
    </row>
    <row r="623" spans="5:9">
      <c r="E623" s="186" t="s">
        <v>2273</v>
      </c>
      <c r="F623" s="187" t="s">
        <v>33</v>
      </c>
      <c r="G623" s="188" t="s">
        <v>43</v>
      </c>
      <c r="H623" s="187" t="s">
        <v>33</v>
      </c>
      <c r="I623" s="194" t="s">
        <v>2274</v>
      </c>
    </row>
    <row r="624" spans="5:9">
      <c r="E624" s="186" t="s">
        <v>1430</v>
      </c>
      <c r="F624" s="187" t="s">
        <v>33</v>
      </c>
      <c r="G624" s="188" t="s">
        <v>34</v>
      </c>
      <c r="H624" s="187" t="s">
        <v>35</v>
      </c>
      <c r="I624" s="194" t="s">
        <v>2277</v>
      </c>
    </row>
    <row r="625" spans="5:9">
      <c r="E625" s="186" t="s">
        <v>1668</v>
      </c>
      <c r="F625" s="187" t="s">
        <v>33</v>
      </c>
      <c r="G625" s="188" t="s">
        <v>43</v>
      </c>
      <c r="H625" s="187" t="s">
        <v>33</v>
      </c>
      <c r="I625" s="194" t="s">
        <v>2281</v>
      </c>
    </row>
    <row r="626" spans="5:9">
      <c r="E626" s="186" t="s">
        <v>1700</v>
      </c>
      <c r="F626" s="187" t="s">
        <v>33</v>
      </c>
      <c r="G626" s="188" t="s">
        <v>43</v>
      </c>
      <c r="H626" s="187" t="s">
        <v>33</v>
      </c>
      <c r="I626" s="194" t="s">
        <v>1818</v>
      </c>
    </row>
    <row r="627" spans="5:9">
      <c r="E627" s="186" t="s">
        <v>1728</v>
      </c>
      <c r="F627" s="187" t="s">
        <v>33</v>
      </c>
      <c r="G627" s="188" t="s">
        <v>43</v>
      </c>
      <c r="H627" s="187" t="s">
        <v>33</v>
      </c>
      <c r="I627" s="194" t="s">
        <v>2284</v>
      </c>
    </row>
    <row r="628" spans="5:9">
      <c r="E628" s="186" t="s">
        <v>1972</v>
      </c>
      <c r="F628" s="187" t="s">
        <v>35</v>
      </c>
      <c r="G628" s="189" t="s">
        <v>52</v>
      </c>
      <c r="H628" s="187" t="s">
        <v>35</v>
      </c>
      <c r="I628" s="194" t="s">
        <v>1936</v>
      </c>
    </row>
    <row r="629" spans="5:9">
      <c r="E629" s="186" t="s">
        <v>1794</v>
      </c>
      <c r="F629" s="187" t="s">
        <v>35</v>
      </c>
      <c r="G629" s="189" t="s">
        <v>52</v>
      </c>
      <c r="H629" s="187" t="s">
        <v>35</v>
      </c>
      <c r="I629" s="194" t="s">
        <v>2286</v>
      </c>
    </row>
    <row r="630" spans="5:9">
      <c r="E630" s="186" t="s">
        <v>1938</v>
      </c>
      <c r="F630" s="187" t="s">
        <v>35</v>
      </c>
      <c r="G630" s="189" t="s">
        <v>52</v>
      </c>
      <c r="H630" s="187" t="s">
        <v>35</v>
      </c>
      <c r="I630" s="194" t="s">
        <v>1974</v>
      </c>
    </row>
    <row r="631" spans="5:9">
      <c r="E631" s="186" t="s">
        <v>1958</v>
      </c>
      <c r="F631" s="187" t="s">
        <v>35</v>
      </c>
      <c r="G631" s="189" t="s">
        <v>52</v>
      </c>
      <c r="H631" s="187" t="s">
        <v>35</v>
      </c>
      <c r="I631" s="194" t="s">
        <v>2041</v>
      </c>
    </row>
    <row r="632" spans="5:9">
      <c r="E632" s="186" t="s">
        <v>2288</v>
      </c>
      <c r="F632" s="187" t="s">
        <v>33</v>
      </c>
      <c r="G632" s="188" t="s">
        <v>34</v>
      </c>
      <c r="H632" s="187" t="s">
        <v>35</v>
      </c>
      <c r="I632" s="194" t="s">
        <v>2289</v>
      </c>
    </row>
    <row r="633" spans="5:9">
      <c r="E633" s="186" t="s">
        <v>1107</v>
      </c>
      <c r="F633" s="187" t="s">
        <v>33</v>
      </c>
      <c r="G633" s="188" t="s">
        <v>43</v>
      </c>
      <c r="H633" s="187" t="s">
        <v>33</v>
      </c>
      <c r="I633" s="194" t="s">
        <v>1805</v>
      </c>
    </row>
    <row r="634" spans="5:9">
      <c r="E634" s="186" t="s">
        <v>1638</v>
      </c>
      <c r="F634" s="187" t="s">
        <v>33</v>
      </c>
      <c r="G634" s="188" t="s">
        <v>34</v>
      </c>
      <c r="H634" s="187" t="s">
        <v>35</v>
      </c>
      <c r="I634" s="194" t="s">
        <v>1778</v>
      </c>
    </row>
    <row r="635" spans="5:9">
      <c r="E635" s="186" t="s">
        <v>1135</v>
      </c>
      <c r="F635" s="187" t="s">
        <v>33</v>
      </c>
      <c r="G635" s="188" t="s">
        <v>43</v>
      </c>
      <c r="H635" s="187" t="s">
        <v>33</v>
      </c>
      <c r="I635" s="194" t="s">
        <v>1811</v>
      </c>
    </row>
    <row r="636" spans="5:9">
      <c r="E636" s="186" t="s">
        <v>2297</v>
      </c>
      <c r="F636" s="187" t="s">
        <v>33</v>
      </c>
      <c r="G636" s="188" t="s">
        <v>43</v>
      </c>
      <c r="H636" s="187" t="s">
        <v>33</v>
      </c>
      <c r="I636" s="194" t="s">
        <v>2069</v>
      </c>
    </row>
    <row r="637" spans="5:9">
      <c r="E637" s="186" t="s">
        <v>42</v>
      </c>
      <c r="F637" s="187" t="s">
        <v>33</v>
      </c>
      <c r="G637" s="188" t="s">
        <v>43</v>
      </c>
      <c r="H637" s="187" t="s">
        <v>33</v>
      </c>
      <c r="I637" s="194" t="s">
        <v>1784</v>
      </c>
    </row>
    <row r="638" spans="5:9">
      <c r="E638" s="186" t="s">
        <v>1879</v>
      </c>
      <c r="F638" s="187" t="s">
        <v>33</v>
      </c>
      <c r="G638" s="188" t="s">
        <v>34</v>
      </c>
      <c r="H638" s="187" t="s">
        <v>35</v>
      </c>
      <c r="I638" s="194" t="s">
        <v>2073</v>
      </c>
    </row>
    <row r="639" spans="5:9">
      <c r="E639" s="186" t="s">
        <v>1972</v>
      </c>
      <c r="F639" s="187" t="s">
        <v>35</v>
      </c>
      <c r="G639" s="189" t="s">
        <v>52</v>
      </c>
      <c r="H639" s="187" t="s">
        <v>35</v>
      </c>
      <c r="I639" s="194" t="s">
        <v>2162</v>
      </c>
    </row>
    <row r="640" spans="5:9">
      <c r="E640" s="186" t="s">
        <v>924</v>
      </c>
      <c r="F640" s="187" t="s">
        <v>35</v>
      </c>
      <c r="G640" s="189" t="s">
        <v>52</v>
      </c>
      <c r="H640" s="187" t="s">
        <v>35</v>
      </c>
      <c r="I640" s="194" t="s">
        <v>1922</v>
      </c>
    </row>
    <row r="641" spans="5:9">
      <c r="E641" s="186" t="s">
        <v>2300</v>
      </c>
      <c r="F641" s="187" t="s">
        <v>35</v>
      </c>
      <c r="G641" s="189" t="s">
        <v>52</v>
      </c>
      <c r="H641" s="187" t="s">
        <v>35</v>
      </c>
      <c r="I641" s="194" t="s">
        <v>2301</v>
      </c>
    </row>
    <row r="642" spans="5:9">
      <c r="E642" s="186" t="s">
        <v>2303</v>
      </c>
      <c r="F642" s="187" t="s">
        <v>33</v>
      </c>
      <c r="G642" s="188" t="s">
        <v>34</v>
      </c>
      <c r="H642" s="187" t="s">
        <v>35</v>
      </c>
      <c r="I642" s="194" t="s">
        <v>2304</v>
      </c>
    </row>
    <row r="643" spans="5:9">
      <c r="E643" s="186" t="s">
        <v>1684</v>
      </c>
      <c r="F643" s="187" t="s">
        <v>33</v>
      </c>
      <c r="G643" s="188" t="s">
        <v>34</v>
      </c>
      <c r="H643" s="187" t="s">
        <v>35</v>
      </c>
      <c r="I643" s="194" t="s">
        <v>2245</v>
      </c>
    </row>
    <row r="644" spans="5:9">
      <c r="E644" s="186" t="s">
        <v>1864</v>
      </c>
      <c r="F644" s="187" t="s">
        <v>33</v>
      </c>
      <c r="G644" s="188" t="s">
        <v>43</v>
      </c>
      <c r="H644" s="187" t="s">
        <v>33</v>
      </c>
      <c r="I644" s="194" t="s">
        <v>1609</v>
      </c>
    </row>
    <row r="645" spans="5:9">
      <c r="E645" s="186" t="s">
        <v>2310</v>
      </c>
      <c r="F645" s="187" t="s">
        <v>33</v>
      </c>
      <c r="G645" s="188" t="s">
        <v>43</v>
      </c>
      <c r="H645" s="187" t="s">
        <v>33</v>
      </c>
      <c r="I645" s="194" t="s">
        <v>2142</v>
      </c>
    </row>
    <row r="646" spans="5:9">
      <c r="E646" s="186" t="s">
        <v>42</v>
      </c>
      <c r="F646" s="187" t="s">
        <v>33</v>
      </c>
      <c r="G646" s="188" t="s">
        <v>43</v>
      </c>
      <c r="H646" s="187" t="s">
        <v>33</v>
      </c>
      <c r="I646" s="194" t="s">
        <v>1914</v>
      </c>
    </row>
    <row r="647" spans="5:9">
      <c r="E647" s="186" t="s">
        <v>1972</v>
      </c>
      <c r="F647" s="187" t="s">
        <v>35</v>
      </c>
      <c r="G647" s="189" t="s">
        <v>52</v>
      </c>
      <c r="H647" s="187" t="s">
        <v>35</v>
      </c>
      <c r="I647" s="194" t="s">
        <v>1936</v>
      </c>
    </row>
    <row r="648" spans="5:9">
      <c r="E648" s="186" t="s">
        <v>924</v>
      </c>
      <c r="F648" s="187" t="s">
        <v>35</v>
      </c>
      <c r="G648" s="189" t="s">
        <v>52</v>
      </c>
      <c r="H648" s="187" t="s">
        <v>35</v>
      </c>
      <c r="I648" s="194" t="s">
        <v>1922</v>
      </c>
    </row>
    <row r="649" spans="5:9">
      <c r="E649" s="186" t="s">
        <v>1958</v>
      </c>
      <c r="F649" s="187" t="s">
        <v>35</v>
      </c>
      <c r="G649" s="189" t="s">
        <v>52</v>
      </c>
      <c r="H649" s="187" t="s">
        <v>35</v>
      </c>
      <c r="I649" s="194" t="s">
        <v>2041</v>
      </c>
    </row>
    <row r="650" spans="5:9">
      <c r="E650" s="186" t="s">
        <v>1799</v>
      </c>
      <c r="F650" s="187" t="s">
        <v>35</v>
      </c>
      <c r="G650" s="189" t="s">
        <v>52</v>
      </c>
      <c r="H650" s="187" t="s">
        <v>35</v>
      </c>
      <c r="I650" s="194" t="s">
        <v>1976</v>
      </c>
    </row>
    <row r="651" spans="5:9">
      <c r="E651" s="186" t="s">
        <v>1975</v>
      </c>
      <c r="F651" s="187" t="s">
        <v>35</v>
      </c>
      <c r="G651" s="189" t="s">
        <v>52</v>
      </c>
      <c r="H651" s="187" t="s">
        <v>35</v>
      </c>
      <c r="I651" s="194" t="s">
        <v>1826</v>
      </c>
    </row>
    <row r="652" spans="5:9">
      <c r="E652" s="186" t="s">
        <v>2316</v>
      </c>
      <c r="F652" s="187" t="s">
        <v>33</v>
      </c>
      <c r="G652" s="188" t="s">
        <v>43</v>
      </c>
      <c r="H652" s="187" t="s">
        <v>33</v>
      </c>
      <c r="I652" s="194" t="s">
        <v>1805</v>
      </c>
    </row>
    <row r="653" spans="5:9">
      <c r="E653" s="186" t="s">
        <v>1037</v>
      </c>
      <c r="F653" s="187" t="s">
        <v>33</v>
      </c>
      <c r="G653" s="188" t="s">
        <v>34</v>
      </c>
      <c r="H653" s="187" t="s">
        <v>35</v>
      </c>
      <c r="I653" s="194" t="s">
        <v>1906</v>
      </c>
    </row>
    <row r="654" spans="5:9">
      <c r="E654" s="186" t="s">
        <v>1638</v>
      </c>
      <c r="F654" s="187" t="s">
        <v>33</v>
      </c>
      <c r="G654" s="188" t="s">
        <v>34</v>
      </c>
      <c r="H654" s="187" t="s">
        <v>35</v>
      </c>
      <c r="I654" s="194" t="s">
        <v>1778</v>
      </c>
    </row>
    <row r="655" spans="5:9">
      <c r="E655" s="186" t="s">
        <v>1553</v>
      </c>
      <c r="F655" s="187" t="s">
        <v>33</v>
      </c>
      <c r="G655" s="188" t="s">
        <v>43</v>
      </c>
      <c r="H655" s="187" t="s">
        <v>33</v>
      </c>
      <c r="I655" s="194" t="s">
        <v>1811</v>
      </c>
    </row>
    <row r="656" spans="5:9">
      <c r="E656" s="186" t="s">
        <v>49</v>
      </c>
      <c r="F656" s="187" t="s">
        <v>33</v>
      </c>
      <c r="G656" s="188" t="s">
        <v>43</v>
      </c>
      <c r="H656" s="187" t="s">
        <v>33</v>
      </c>
      <c r="I656" s="194" t="s">
        <v>2249</v>
      </c>
    </row>
    <row r="657" spans="5:9">
      <c r="E657" s="186" t="s">
        <v>42</v>
      </c>
      <c r="F657" s="187" t="s">
        <v>33</v>
      </c>
      <c r="G657" s="188" t="s">
        <v>43</v>
      </c>
      <c r="H657" s="187" t="s">
        <v>33</v>
      </c>
      <c r="I657" s="194" t="s">
        <v>1784</v>
      </c>
    </row>
    <row r="658" spans="5:9">
      <c r="E658" s="186" t="s">
        <v>1879</v>
      </c>
      <c r="F658" s="187" t="s">
        <v>33</v>
      </c>
      <c r="G658" s="188" t="s">
        <v>34</v>
      </c>
      <c r="H658" s="187" t="s">
        <v>35</v>
      </c>
      <c r="I658" s="194" t="s">
        <v>2073</v>
      </c>
    </row>
    <row r="659" spans="5:9">
      <c r="E659" s="186" t="s">
        <v>2197</v>
      </c>
      <c r="F659" s="187" t="s">
        <v>33</v>
      </c>
      <c r="G659" s="188" t="s">
        <v>43</v>
      </c>
      <c r="H659" s="187" t="s">
        <v>33</v>
      </c>
      <c r="I659" s="194" t="s">
        <v>2325</v>
      </c>
    </row>
    <row r="660" spans="5:9">
      <c r="E660" s="186" t="s">
        <v>1972</v>
      </c>
      <c r="F660" s="187" t="s">
        <v>35</v>
      </c>
      <c r="G660" s="189" t="s">
        <v>52</v>
      </c>
      <c r="H660" s="187" t="s">
        <v>35</v>
      </c>
      <c r="I660" s="194" t="s">
        <v>1936</v>
      </c>
    </row>
    <row r="661" spans="5:9">
      <c r="E661" s="186" t="s">
        <v>924</v>
      </c>
      <c r="F661" s="187" t="s">
        <v>35</v>
      </c>
      <c r="G661" s="189" t="s">
        <v>52</v>
      </c>
      <c r="H661" s="187" t="s">
        <v>35</v>
      </c>
      <c r="I661" s="194" t="s">
        <v>1922</v>
      </c>
    </row>
    <row r="662" spans="5:9">
      <c r="E662" s="186" t="s">
        <v>2327</v>
      </c>
      <c r="F662" s="187" t="s">
        <v>33</v>
      </c>
      <c r="G662" s="188" t="s">
        <v>43</v>
      </c>
      <c r="H662" s="187" t="s">
        <v>33</v>
      </c>
      <c r="I662" s="194" t="s">
        <v>1805</v>
      </c>
    </row>
    <row r="663" spans="5:9">
      <c r="E663" s="186" t="s">
        <v>1107</v>
      </c>
      <c r="F663" s="187" t="s">
        <v>33</v>
      </c>
      <c r="G663" s="188" t="s">
        <v>34</v>
      </c>
      <c r="H663" s="187" t="s">
        <v>35</v>
      </c>
      <c r="I663" s="194" t="s">
        <v>1906</v>
      </c>
    </row>
    <row r="664" spans="5:9">
      <c r="E664" s="186" t="s">
        <v>1638</v>
      </c>
      <c r="F664" s="187" t="s">
        <v>33</v>
      </c>
      <c r="G664" s="188" t="s">
        <v>34</v>
      </c>
      <c r="H664" s="187" t="s">
        <v>35</v>
      </c>
      <c r="I664" s="194" t="s">
        <v>1778</v>
      </c>
    </row>
    <row r="665" spans="5:9">
      <c r="E665" s="186" t="s">
        <v>1553</v>
      </c>
      <c r="F665" s="187" t="s">
        <v>33</v>
      </c>
      <c r="G665" s="188" t="s">
        <v>43</v>
      </c>
      <c r="H665" s="187" t="s">
        <v>33</v>
      </c>
      <c r="I665" s="194" t="s">
        <v>1811</v>
      </c>
    </row>
    <row r="666" spans="5:9">
      <c r="E666" s="186" t="s">
        <v>49</v>
      </c>
      <c r="F666" s="187" t="s">
        <v>33</v>
      </c>
      <c r="G666" s="188" t="s">
        <v>43</v>
      </c>
      <c r="H666" s="187" t="s">
        <v>33</v>
      </c>
      <c r="I666" s="194" t="s">
        <v>2142</v>
      </c>
    </row>
    <row r="667" spans="5:9">
      <c r="E667" s="186" t="s">
        <v>2333</v>
      </c>
      <c r="F667" s="187" t="s">
        <v>33</v>
      </c>
      <c r="G667" s="188" t="s">
        <v>34</v>
      </c>
      <c r="H667" s="187" t="s">
        <v>35</v>
      </c>
      <c r="I667" s="194" t="s">
        <v>2073</v>
      </c>
    </row>
    <row r="668" spans="5:9">
      <c r="E668" s="186" t="s">
        <v>1972</v>
      </c>
      <c r="F668" s="187" t="s">
        <v>35</v>
      </c>
      <c r="G668" s="189" t="s">
        <v>52</v>
      </c>
      <c r="H668" s="187" t="s">
        <v>35</v>
      </c>
      <c r="I668" s="194" t="s">
        <v>2162</v>
      </c>
    </row>
    <row r="669" spans="5:9">
      <c r="E669" s="186" t="s">
        <v>924</v>
      </c>
      <c r="F669" s="187" t="s">
        <v>35</v>
      </c>
      <c r="G669" s="189" t="s">
        <v>52</v>
      </c>
      <c r="H669" s="187" t="s">
        <v>35</v>
      </c>
      <c r="I669" s="194" t="s">
        <v>1922</v>
      </c>
    </row>
    <row r="670" spans="5:9">
      <c r="E670" s="186" t="s">
        <v>1958</v>
      </c>
      <c r="F670" s="187" t="s">
        <v>35</v>
      </c>
      <c r="G670" s="189" t="s">
        <v>52</v>
      </c>
      <c r="H670" s="187" t="s">
        <v>35</v>
      </c>
      <c r="I670" s="194" t="s">
        <v>2041</v>
      </c>
    </row>
    <row r="671" spans="5:9">
      <c r="E671" s="186" t="s">
        <v>1975</v>
      </c>
      <c r="F671" s="187" t="s">
        <v>35</v>
      </c>
      <c r="G671" s="189" t="s">
        <v>52</v>
      </c>
      <c r="H671" s="187" t="s">
        <v>35</v>
      </c>
      <c r="I671" s="194" t="s">
        <v>1826</v>
      </c>
    </row>
    <row r="672" spans="5:9">
      <c r="E672" s="186" t="s">
        <v>2336</v>
      </c>
      <c r="F672" s="187" t="s">
        <v>33</v>
      </c>
      <c r="G672" s="188" t="s">
        <v>34</v>
      </c>
      <c r="H672" s="187" t="s">
        <v>35</v>
      </c>
      <c r="I672" s="194" t="s">
        <v>2337</v>
      </c>
    </row>
    <row r="673" spans="5:9">
      <c r="E673" s="186" t="s">
        <v>1340</v>
      </c>
      <c r="F673" s="187" t="s">
        <v>33</v>
      </c>
      <c r="G673" s="188" t="s">
        <v>43</v>
      </c>
      <c r="H673" s="187" t="s">
        <v>33</v>
      </c>
      <c r="I673" s="194" t="s">
        <v>1984</v>
      </c>
    </row>
    <row r="674" spans="5:9">
      <c r="E674" s="186" t="s">
        <v>1638</v>
      </c>
      <c r="F674" s="187" t="s">
        <v>33</v>
      </c>
      <c r="G674" s="188" t="s">
        <v>34</v>
      </c>
      <c r="H674" s="187" t="s">
        <v>35</v>
      </c>
      <c r="I674" s="194" t="s">
        <v>1833</v>
      </c>
    </row>
    <row r="675" spans="5:9">
      <c r="E675" s="186" t="s">
        <v>1553</v>
      </c>
      <c r="F675" s="187" t="s">
        <v>33</v>
      </c>
      <c r="G675" s="188" t="s">
        <v>43</v>
      </c>
      <c r="H675" s="187" t="s">
        <v>33</v>
      </c>
      <c r="I675" s="194" t="s">
        <v>1811</v>
      </c>
    </row>
    <row r="676" spans="5:9">
      <c r="E676" s="186" t="s">
        <v>49</v>
      </c>
      <c r="F676" s="187" t="s">
        <v>33</v>
      </c>
      <c r="G676" s="188" t="s">
        <v>43</v>
      </c>
      <c r="H676" s="187" t="s">
        <v>33</v>
      </c>
      <c r="I676" s="194" t="s">
        <v>2343</v>
      </c>
    </row>
    <row r="677" spans="5:9">
      <c r="E677" s="186" t="s">
        <v>1972</v>
      </c>
      <c r="F677" s="187" t="s">
        <v>35</v>
      </c>
      <c r="G677" s="189" t="s">
        <v>52</v>
      </c>
      <c r="H677" s="187" t="s">
        <v>35</v>
      </c>
      <c r="I677" s="194" t="s">
        <v>1936</v>
      </c>
    </row>
    <row r="678" spans="5:9">
      <c r="E678" s="186" t="s">
        <v>924</v>
      </c>
      <c r="F678" s="187" t="s">
        <v>35</v>
      </c>
      <c r="G678" s="189" t="s">
        <v>52</v>
      </c>
      <c r="H678" s="187" t="s">
        <v>35</v>
      </c>
      <c r="I678" s="194" t="s">
        <v>1922</v>
      </c>
    </row>
    <row r="679" spans="5:9">
      <c r="E679" s="186" t="s">
        <v>1958</v>
      </c>
      <c r="F679" s="187" t="s">
        <v>35</v>
      </c>
      <c r="G679" s="189" t="s">
        <v>52</v>
      </c>
      <c r="H679" s="187" t="s">
        <v>35</v>
      </c>
      <c r="I679" s="194" t="s">
        <v>2041</v>
      </c>
    </row>
    <row r="680" spans="5:9">
      <c r="E680" s="186" t="s">
        <v>1857</v>
      </c>
      <c r="F680" s="187" t="s">
        <v>35</v>
      </c>
      <c r="G680" s="189" t="s">
        <v>52</v>
      </c>
      <c r="H680" s="187" t="s">
        <v>35</v>
      </c>
      <c r="I680" s="194" t="s">
        <v>1858</v>
      </c>
    </row>
    <row r="681" spans="5:9">
      <c r="E681" s="186" t="s">
        <v>1975</v>
      </c>
      <c r="F681" s="187" t="s">
        <v>35</v>
      </c>
      <c r="G681" s="189" t="s">
        <v>52</v>
      </c>
      <c r="H681" s="187" t="s">
        <v>35</v>
      </c>
      <c r="I681" s="194" t="s">
        <v>1826</v>
      </c>
    </row>
    <row r="682" spans="5:9">
      <c r="E682" s="186" t="s">
        <v>2349</v>
      </c>
      <c r="F682" s="187" t="s">
        <v>33</v>
      </c>
      <c r="G682" s="188" t="s">
        <v>43</v>
      </c>
      <c r="H682" s="187" t="s">
        <v>33</v>
      </c>
      <c r="I682" s="194" t="s">
        <v>2350</v>
      </c>
    </row>
    <row r="683" spans="5:9">
      <c r="E683" s="186" t="s">
        <v>1430</v>
      </c>
      <c r="F683" s="187" t="s">
        <v>33</v>
      </c>
      <c r="G683" s="188" t="s">
        <v>34</v>
      </c>
      <c r="H683" s="187" t="s">
        <v>35</v>
      </c>
      <c r="I683" s="194" t="s">
        <v>2352</v>
      </c>
    </row>
    <row r="684" spans="5:9">
      <c r="E684" s="186" t="s">
        <v>1864</v>
      </c>
      <c r="F684" s="187" t="s">
        <v>33</v>
      </c>
      <c r="G684" s="188" t="s">
        <v>43</v>
      </c>
      <c r="H684" s="187" t="s">
        <v>33</v>
      </c>
      <c r="I684" s="194" t="s">
        <v>1609</v>
      </c>
    </row>
    <row r="685" spans="5:9">
      <c r="E685" s="186" t="s">
        <v>1638</v>
      </c>
      <c r="F685" s="187" t="s">
        <v>33</v>
      </c>
      <c r="G685" s="188" t="s">
        <v>34</v>
      </c>
      <c r="H685" s="187" t="s">
        <v>35</v>
      </c>
      <c r="I685" s="194" t="s">
        <v>1967</v>
      </c>
    </row>
    <row r="686" spans="5:9">
      <c r="E686" s="186" t="s">
        <v>1786</v>
      </c>
      <c r="F686" s="187" t="s">
        <v>33</v>
      </c>
      <c r="G686" s="188" t="s">
        <v>43</v>
      </c>
      <c r="H686" s="187" t="s">
        <v>33</v>
      </c>
      <c r="I686" s="194" t="s">
        <v>2357</v>
      </c>
    </row>
    <row r="687" spans="5:9">
      <c r="E687" s="186" t="s">
        <v>42</v>
      </c>
      <c r="F687" s="187" t="s">
        <v>33</v>
      </c>
      <c r="G687" s="188" t="s">
        <v>43</v>
      </c>
      <c r="H687" s="187" t="s">
        <v>33</v>
      </c>
      <c r="I687" s="194" t="s">
        <v>1784</v>
      </c>
    </row>
    <row r="688" spans="5:9">
      <c r="E688" s="186" t="s">
        <v>2333</v>
      </c>
      <c r="F688" s="187" t="s">
        <v>33</v>
      </c>
      <c r="G688" s="188" t="s">
        <v>34</v>
      </c>
      <c r="H688" s="187" t="s">
        <v>35</v>
      </c>
      <c r="I688" s="194" t="s">
        <v>2073</v>
      </c>
    </row>
    <row r="689" spans="5:9">
      <c r="E689" s="186" t="s">
        <v>1972</v>
      </c>
      <c r="F689" s="187" t="s">
        <v>35</v>
      </c>
      <c r="G689" s="189" t="s">
        <v>52</v>
      </c>
      <c r="H689" s="187" t="s">
        <v>35</v>
      </c>
      <c r="I689" s="194" t="s">
        <v>2162</v>
      </c>
    </row>
    <row r="690" spans="5:9">
      <c r="E690" s="186" t="s">
        <v>924</v>
      </c>
      <c r="F690" s="187" t="s">
        <v>35</v>
      </c>
      <c r="G690" s="189" t="s">
        <v>52</v>
      </c>
      <c r="H690" s="187" t="s">
        <v>35</v>
      </c>
      <c r="I690" s="194" t="s">
        <v>1922</v>
      </c>
    </row>
    <row r="691" spans="5:9">
      <c r="E691" s="186" t="s">
        <v>2362</v>
      </c>
      <c r="F691" s="187" t="s">
        <v>33</v>
      </c>
      <c r="G691" s="188" t="s">
        <v>34</v>
      </c>
      <c r="H691" s="187" t="s">
        <v>35</v>
      </c>
      <c r="I691" s="194" t="s">
        <v>2255</v>
      </c>
    </row>
    <row r="692" spans="5:9">
      <c r="E692" s="186" t="s">
        <v>1638</v>
      </c>
      <c r="F692" s="187" t="s">
        <v>33</v>
      </c>
      <c r="G692" s="188" t="s">
        <v>34</v>
      </c>
      <c r="H692" s="187" t="s">
        <v>35</v>
      </c>
      <c r="I692" s="194" t="s">
        <v>1778</v>
      </c>
    </row>
    <row r="693" spans="5:9">
      <c r="E693" s="186" t="s">
        <v>1877</v>
      </c>
      <c r="F693" s="187" t="s">
        <v>33</v>
      </c>
      <c r="G693" s="188" t="s">
        <v>43</v>
      </c>
      <c r="H693" s="187" t="s">
        <v>33</v>
      </c>
      <c r="I693" s="194" t="s">
        <v>1641</v>
      </c>
    </row>
    <row r="694" spans="5:9">
      <c r="E694" s="186" t="s">
        <v>2368</v>
      </c>
      <c r="F694" s="187" t="s">
        <v>33</v>
      </c>
      <c r="G694" s="188" t="s">
        <v>43</v>
      </c>
      <c r="H694" s="187" t="s">
        <v>33</v>
      </c>
      <c r="I694" s="194" t="s">
        <v>2369</v>
      </c>
    </row>
    <row r="695" spans="5:9">
      <c r="E695" s="186" t="s">
        <v>42</v>
      </c>
      <c r="F695" s="187" t="s">
        <v>33</v>
      </c>
      <c r="G695" s="188" t="s">
        <v>43</v>
      </c>
      <c r="H695" s="187" t="s">
        <v>33</v>
      </c>
      <c r="I695" s="194" t="s">
        <v>1914</v>
      </c>
    </row>
    <row r="696" spans="5:9">
      <c r="E696" s="186" t="s">
        <v>1879</v>
      </c>
      <c r="F696" s="187" t="s">
        <v>33</v>
      </c>
      <c r="G696" s="188" t="s">
        <v>34</v>
      </c>
      <c r="H696" s="187" t="s">
        <v>35</v>
      </c>
      <c r="I696" s="194" t="s">
        <v>2073</v>
      </c>
    </row>
    <row r="697" spans="5:9">
      <c r="E697" s="186" t="s">
        <v>2266</v>
      </c>
      <c r="F697" s="187" t="s">
        <v>35</v>
      </c>
      <c r="G697" s="189" t="s">
        <v>52</v>
      </c>
      <c r="H697" s="187" t="s">
        <v>35</v>
      </c>
      <c r="I697" s="194" t="s">
        <v>2374</v>
      </c>
    </row>
    <row r="698" spans="5:9">
      <c r="E698" s="186" t="s">
        <v>1972</v>
      </c>
      <c r="F698" s="187" t="s">
        <v>35</v>
      </c>
      <c r="G698" s="189" t="s">
        <v>52</v>
      </c>
      <c r="H698" s="187" t="s">
        <v>35</v>
      </c>
      <c r="I698" s="194" t="s">
        <v>1936</v>
      </c>
    </row>
    <row r="699" spans="5:9">
      <c r="E699" s="186" t="s">
        <v>924</v>
      </c>
      <c r="F699" s="187" t="s">
        <v>35</v>
      </c>
      <c r="G699" s="189" t="s">
        <v>52</v>
      </c>
      <c r="H699" s="187" t="s">
        <v>35</v>
      </c>
      <c r="I699" s="194" t="s">
        <v>1922</v>
      </c>
    </row>
    <row r="700" spans="5:9">
      <c r="E700" s="186" t="s">
        <v>1958</v>
      </c>
      <c r="F700" s="187" t="s">
        <v>35</v>
      </c>
      <c r="G700" s="189" t="s">
        <v>52</v>
      </c>
      <c r="H700" s="187" t="s">
        <v>35</v>
      </c>
      <c r="I700" s="194" t="s">
        <v>2041</v>
      </c>
    </row>
    <row r="701" spans="5:9">
      <c r="E701" s="186" t="s">
        <v>2376</v>
      </c>
      <c r="F701" s="187" t="s">
        <v>33</v>
      </c>
      <c r="G701" s="188" t="s">
        <v>34</v>
      </c>
      <c r="H701" s="187" t="s">
        <v>35</v>
      </c>
      <c r="I701" s="194" t="s">
        <v>2255</v>
      </c>
    </row>
    <row r="702" spans="5:9">
      <c r="E702" s="186" t="s">
        <v>1638</v>
      </c>
      <c r="F702" s="187" t="s">
        <v>33</v>
      </c>
      <c r="G702" s="188" t="s">
        <v>34</v>
      </c>
      <c r="H702" s="187" t="s">
        <v>35</v>
      </c>
      <c r="I702" s="194" t="s">
        <v>1778</v>
      </c>
    </row>
    <row r="703" spans="5:9">
      <c r="E703" s="186" t="s">
        <v>1553</v>
      </c>
      <c r="F703" s="187" t="s">
        <v>33</v>
      </c>
      <c r="G703" s="188" t="s">
        <v>43</v>
      </c>
      <c r="H703" s="187" t="s">
        <v>33</v>
      </c>
      <c r="I703" s="194" t="s">
        <v>1811</v>
      </c>
    </row>
    <row r="704" spans="5:9">
      <c r="E704" s="186" t="s">
        <v>49</v>
      </c>
      <c r="F704" s="187" t="s">
        <v>33</v>
      </c>
      <c r="G704" s="188" t="s">
        <v>43</v>
      </c>
      <c r="H704" s="187" t="s">
        <v>33</v>
      </c>
      <c r="I704" s="194" t="s">
        <v>2069</v>
      </c>
    </row>
    <row r="705" spans="5:9">
      <c r="E705" s="186" t="s">
        <v>2266</v>
      </c>
      <c r="F705" s="187" t="s">
        <v>35</v>
      </c>
      <c r="G705" s="189" t="s">
        <v>52</v>
      </c>
      <c r="H705" s="187" t="s">
        <v>35</v>
      </c>
      <c r="I705" s="194" t="s">
        <v>1769</v>
      </c>
    </row>
    <row r="706" spans="5:9">
      <c r="E706" s="186" t="s">
        <v>1972</v>
      </c>
      <c r="F706" s="187" t="s">
        <v>35</v>
      </c>
      <c r="G706" s="189" t="s">
        <v>52</v>
      </c>
      <c r="H706" s="187" t="s">
        <v>35</v>
      </c>
      <c r="I706" s="194" t="s">
        <v>2162</v>
      </c>
    </row>
    <row r="707" spans="5:9">
      <c r="E707" s="186" t="s">
        <v>924</v>
      </c>
      <c r="F707" s="187" t="s">
        <v>35</v>
      </c>
      <c r="G707" s="189" t="s">
        <v>52</v>
      </c>
      <c r="H707" s="187" t="s">
        <v>35</v>
      </c>
      <c r="I707" s="194" t="s">
        <v>1922</v>
      </c>
    </row>
    <row r="708" spans="5:9">
      <c r="E708" s="186" t="s">
        <v>1958</v>
      </c>
      <c r="F708" s="187" t="s">
        <v>35</v>
      </c>
      <c r="G708" s="189" t="s">
        <v>52</v>
      </c>
      <c r="H708" s="187" t="s">
        <v>35</v>
      </c>
      <c r="I708" s="194" t="s">
        <v>2041</v>
      </c>
    </row>
    <row r="709" spans="5:9">
      <c r="E709" s="186" t="s">
        <v>1975</v>
      </c>
      <c r="F709" s="187" t="s">
        <v>35</v>
      </c>
      <c r="G709" s="189" t="s">
        <v>52</v>
      </c>
      <c r="H709" s="187" t="s">
        <v>35</v>
      </c>
      <c r="I709" s="194" t="s">
        <v>1826</v>
      </c>
    </row>
    <row r="710" spans="5:9">
      <c r="E710" s="186" t="s">
        <v>1799</v>
      </c>
      <c r="F710" s="187" t="s">
        <v>35</v>
      </c>
      <c r="G710" s="189" t="s">
        <v>52</v>
      </c>
      <c r="H710" s="187" t="s">
        <v>35</v>
      </c>
      <c r="I710" s="194" t="s">
        <v>1976</v>
      </c>
    </row>
    <row r="711" spans="5:9">
      <c r="E711" s="186" t="s">
        <v>2061</v>
      </c>
      <c r="F711" s="187" t="s">
        <v>33</v>
      </c>
      <c r="G711" s="188" t="s">
        <v>43</v>
      </c>
      <c r="H711" s="187" t="s">
        <v>33</v>
      </c>
      <c r="I711" s="194" t="s">
        <v>1805</v>
      </c>
    </row>
    <row r="712" spans="5:9">
      <c r="E712" s="186" t="s">
        <v>32</v>
      </c>
      <c r="F712" s="187" t="s">
        <v>33</v>
      </c>
      <c r="G712" s="188" t="s">
        <v>34</v>
      </c>
      <c r="H712" s="187" t="s">
        <v>35</v>
      </c>
      <c r="I712" s="194" t="s">
        <v>1906</v>
      </c>
    </row>
    <row r="713" spans="5:9">
      <c r="E713" s="186" t="s">
        <v>1638</v>
      </c>
      <c r="F713" s="187" t="s">
        <v>33</v>
      </c>
      <c r="G713" s="188" t="s">
        <v>34</v>
      </c>
      <c r="H713" s="187" t="s">
        <v>35</v>
      </c>
      <c r="I713" s="194" t="s">
        <v>1778</v>
      </c>
    </row>
    <row r="714" spans="5:9">
      <c r="E714" s="186" t="s">
        <v>1553</v>
      </c>
      <c r="F714" s="187" t="s">
        <v>33</v>
      </c>
      <c r="G714" s="188" t="s">
        <v>43</v>
      </c>
      <c r="H714" s="187" t="s">
        <v>33</v>
      </c>
      <c r="I714" s="194" t="s">
        <v>1811</v>
      </c>
    </row>
    <row r="715" spans="5:9">
      <c r="E715" s="186" t="s">
        <v>49</v>
      </c>
      <c r="F715" s="187" t="s">
        <v>33</v>
      </c>
      <c r="G715" s="188" t="s">
        <v>43</v>
      </c>
      <c r="H715" s="187" t="s">
        <v>33</v>
      </c>
      <c r="I715" s="194" t="s">
        <v>2389</v>
      </c>
    </row>
    <row r="716" spans="5:9">
      <c r="E716" s="186" t="s">
        <v>1879</v>
      </c>
      <c r="F716" s="187" t="s">
        <v>33</v>
      </c>
      <c r="G716" s="188" t="s">
        <v>34</v>
      </c>
      <c r="H716" s="187" t="s">
        <v>35</v>
      </c>
      <c r="I716" s="194" t="s">
        <v>2073</v>
      </c>
    </row>
    <row r="717" spans="5:9">
      <c r="E717" s="186" t="s">
        <v>2074</v>
      </c>
      <c r="F717" s="187" t="s">
        <v>35</v>
      </c>
      <c r="G717" s="189" t="s">
        <v>52</v>
      </c>
      <c r="H717" s="187" t="s">
        <v>35</v>
      </c>
      <c r="I717" s="194" t="s">
        <v>2393</v>
      </c>
    </row>
    <row r="718" spans="5:9">
      <c r="E718" s="186" t="s">
        <v>924</v>
      </c>
      <c r="F718" s="187" t="s">
        <v>35</v>
      </c>
      <c r="G718" s="189" t="s">
        <v>52</v>
      </c>
      <c r="H718" s="187" t="s">
        <v>35</v>
      </c>
      <c r="I718" s="194" t="s">
        <v>1922</v>
      </c>
    </row>
    <row r="719" spans="5:9">
      <c r="E719" s="186" t="s">
        <v>1958</v>
      </c>
      <c r="F719" s="187" t="s">
        <v>35</v>
      </c>
      <c r="G719" s="189" t="s">
        <v>52</v>
      </c>
      <c r="H719" s="187" t="s">
        <v>35</v>
      </c>
      <c r="I719" s="194" t="s">
        <v>2041</v>
      </c>
    </row>
    <row r="720" spans="5:9">
      <c r="E720" s="186" t="s">
        <v>1430</v>
      </c>
      <c r="F720" s="187" t="s">
        <v>33</v>
      </c>
      <c r="G720" s="188" t="s">
        <v>34</v>
      </c>
      <c r="H720" s="187" t="s">
        <v>35</v>
      </c>
      <c r="I720" s="194" t="s">
        <v>2395</v>
      </c>
    </row>
    <row r="721" spans="5:9">
      <c r="E721" s="186" t="s">
        <v>1841</v>
      </c>
      <c r="F721" s="187" t="s">
        <v>33</v>
      </c>
      <c r="G721" s="188" t="s">
        <v>43</v>
      </c>
      <c r="H721" s="187" t="s">
        <v>33</v>
      </c>
      <c r="I721" s="194" t="s">
        <v>1609</v>
      </c>
    </row>
    <row r="722" spans="5:9">
      <c r="E722" s="186" t="s">
        <v>2397</v>
      </c>
      <c r="F722" s="187" t="s">
        <v>33</v>
      </c>
      <c r="G722" s="188" t="s">
        <v>43</v>
      </c>
      <c r="H722" s="187" t="s">
        <v>33</v>
      </c>
      <c r="I722" s="194" t="s">
        <v>1871</v>
      </c>
    </row>
    <row r="723" spans="5:9">
      <c r="E723" s="186" t="s">
        <v>1777</v>
      </c>
      <c r="F723" s="187" t="s">
        <v>33</v>
      </c>
      <c r="G723" s="188" t="s">
        <v>34</v>
      </c>
      <c r="H723" s="187" t="s">
        <v>35</v>
      </c>
      <c r="I723" s="194" t="s">
        <v>1778</v>
      </c>
    </row>
    <row r="724" spans="5:9">
      <c r="E724" s="186" t="s">
        <v>2400</v>
      </c>
      <c r="F724" s="187" t="s">
        <v>33</v>
      </c>
      <c r="G724" s="188" t="s">
        <v>43</v>
      </c>
      <c r="H724" s="187" t="s">
        <v>33</v>
      </c>
      <c r="I724" s="194" t="s">
        <v>2142</v>
      </c>
    </row>
    <row r="725" spans="5:9">
      <c r="E725" s="186" t="s">
        <v>42</v>
      </c>
      <c r="F725" s="187" t="s">
        <v>33</v>
      </c>
      <c r="G725" s="188" t="s">
        <v>43</v>
      </c>
      <c r="H725" s="187" t="s">
        <v>33</v>
      </c>
      <c r="I725" s="194" t="s">
        <v>1784</v>
      </c>
    </row>
    <row r="726" spans="5:9">
      <c r="E726" s="186" t="s">
        <v>2333</v>
      </c>
      <c r="F726" s="187" t="s">
        <v>33</v>
      </c>
      <c r="G726" s="188" t="s">
        <v>34</v>
      </c>
      <c r="H726" s="187" t="s">
        <v>35</v>
      </c>
      <c r="I726" s="194" t="s">
        <v>2404</v>
      </c>
    </row>
    <row r="727" spans="5:9">
      <c r="E727" s="186" t="s">
        <v>1972</v>
      </c>
      <c r="F727" s="187" t="s">
        <v>35</v>
      </c>
      <c r="G727" s="189" t="s">
        <v>52</v>
      </c>
      <c r="H727" s="187" t="s">
        <v>35</v>
      </c>
      <c r="I727" s="194" t="s">
        <v>2162</v>
      </c>
    </row>
    <row r="728" spans="5:9">
      <c r="E728" s="186" t="s">
        <v>2405</v>
      </c>
      <c r="F728" s="187" t="s">
        <v>35</v>
      </c>
      <c r="G728" s="189" t="s">
        <v>52</v>
      </c>
      <c r="H728" s="187" t="s">
        <v>35</v>
      </c>
      <c r="I728" s="194" t="s">
        <v>1922</v>
      </c>
    </row>
    <row r="729" spans="5:9">
      <c r="E729" s="186" t="s">
        <v>1904</v>
      </c>
      <c r="F729" s="187" t="s">
        <v>35</v>
      </c>
      <c r="G729" s="189" t="s">
        <v>52</v>
      </c>
      <c r="H729" s="187" t="s">
        <v>35</v>
      </c>
      <c r="I729" s="194" t="s">
        <v>2041</v>
      </c>
    </row>
    <row r="730" spans="5:9">
      <c r="E730" s="186" t="s">
        <v>2061</v>
      </c>
      <c r="F730" s="187" t="s">
        <v>33</v>
      </c>
      <c r="G730" s="188" t="s">
        <v>43</v>
      </c>
      <c r="H730" s="187" t="s">
        <v>33</v>
      </c>
      <c r="I730" s="194" t="s">
        <v>2407</v>
      </c>
    </row>
    <row r="731" spans="5:9">
      <c r="E731" s="186" t="s">
        <v>32</v>
      </c>
      <c r="F731" s="187" t="s">
        <v>33</v>
      </c>
      <c r="G731" s="188" t="s">
        <v>34</v>
      </c>
      <c r="H731" s="187" t="s">
        <v>35</v>
      </c>
      <c r="I731" s="194" t="s">
        <v>1906</v>
      </c>
    </row>
    <row r="732" spans="5:9">
      <c r="E732" s="186" t="s">
        <v>1638</v>
      </c>
      <c r="F732" s="187" t="s">
        <v>33</v>
      </c>
      <c r="G732" s="188" t="s">
        <v>34</v>
      </c>
      <c r="H732" s="187" t="s">
        <v>35</v>
      </c>
      <c r="I732" s="194" t="s">
        <v>1967</v>
      </c>
    </row>
    <row r="733" spans="5:9">
      <c r="E733" s="186" t="s">
        <v>1553</v>
      </c>
      <c r="F733" s="187" t="s">
        <v>33</v>
      </c>
      <c r="G733" s="188" t="s">
        <v>43</v>
      </c>
      <c r="H733" s="187" t="s">
        <v>33</v>
      </c>
      <c r="I733" s="194" t="s">
        <v>1811</v>
      </c>
    </row>
    <row r="734" spans="5:9">
      <c r="E734" s="186" t="s">
        <v>49</v>
      </c>
      <c r="F734" s="187" t="s">
        <v>33</v>
      </c>
      <c r="G734" s="188" t="s">
        <v>43</v>
      </c>
      <c r="H734" s="187" t="s">
        <v>33</v>
      </c>
      <c r="I734" s="194" t="s">
        <v>2411</v>
      </c>
    </row>
    <row r="735" spans="5:9">
      <c r="E735" s="186" t="s">
        <v>2074</v>
      </c>
      <c r="F735" s="187" t="s">
        <v>35</v>
      </c>
      <c r="G735" s="189" t="s">
        <v>52</v>
      </c>
      <c r="H735" s="187" t="s">
        <v>35</v>
      </c>
      <c r="I735" s="194" t="s">
        <v>2393</v>
      </c>
    </row>
    <row r="736" spans="5:9">
      <c r="E736" s="186" t="s">
        <v>2405</v>
      </c>
      <c r="F736" s="187" t="s">
        <v>35</v>
      </c>
      <c r="G736" s="189" t="s">
        <v>52</v>
      </c>
      <c r="H736" s="187" t="s">
        <v>35</v>
      </c>
      <c r="I736" s="194" t="s">
        <v>1903</v>
      </c>
    </row>
    <row r="737" spans="5:9">
      <c r="E737" s="186" t="s">
        <v>1958</v>
      </c>
      <c r="F737" s="187" t="s">
        <v>35</v>
      </c>
      <c r="G737" s="189" t="s">
        <v>52</v>
      </c>
      <c r="H737" s="187" t="s">
        <v>35</v>
      </c>
      <c r="I737" s="194" t="s">
        <v>2041</v>
      </c>
    </row>
    <row r="738" spans="5:9">
      <c r="E738" s="186" t="s">
        <v>1975</v>
      </c>
      <c r="F738" s="187" t="s">
        <v>35</v>
      </c>
      <c r="G738" s="189" t="s">
        <v>52</v>
      </c>
      <c r="H738" s="187" t="s">
        <v>35</v>
      </c>
      <c r="I738" s="194" t="s">
        <v>1826</v>
      </c>
    </row>
    <row r="739" spans="5:9">
      <c r="E739" s="186" t="s">
        <v>2416</v>
      </c>
      <c r="F739" s="187" t="s">
        <v>33</v>
      </c>
      <c r="G739" s="188" t="s">
        <v>43</v>
      </c>
      <c r="H739" s="187" t="s">
        <v>33</v>
      </c>
      <c r="I739" s="194" t="s">
        <v>2417</v>
      </c>
    </row>
    <row r="740" spans="5:9">
      <c r="E740" s="186" t="s">
        <v>32</v>
      </c>
      <c r="F740" s="187" t="s">
        <v>33</v>
      </c>
      <c r="G740" s="188" t="s">
        <v>34</v>
      </c>
      <c r="H740" s="187" t="s">
        <v>35</v>
      </c>
      <c r="I740" s="194" t="s">
        <v>1906</v>
      </c>
    </row>
    <row r="741" spans="5:9">
      <c r="E741" s="186" t="s">
        <v>1638</v>
      </c>
      <c r="F741" s="187" t="s">
        <v>33</v>
      </c>
      <c r="G741" s="188" t="s">
        <v>34</v>
      </c>
      <c r="H741" s="187" t="s">
        <v>35</v>
      </c>
      <c r="I741" s="194" t="s">
        <v>1778</v>
      </c>
    </row>
    <row r="742" spans="5:9">
      <c r="E742" s="186" t="s">
        <v>1553</v>
      </c>
      <c r="F742" s="187" t="s">
        <v>33</v>
      </c>
      <c r="G742" s="188" t="s">
        <v>43</v>
      </c>
      <c r="H742" s="187" t="s">
        <v>33</v>
      </c>
      <c r="I742" s="194" t="s">
        <v>1811</v>
      </c>
    </row>
    <row r="743" spans="5:9">
      <c r="E743" s="186" t="s">
        <v>49</v>
      </c>
      <c r="F743" s="187" t="s">
        <v>33</v>
      </c>
      <c r="G743" s="188" t="s">
        <v>43</v>
      </c>
      <c r="H743" s="187" t="s">
        <v>33</v>
      </c>
      <c r="I743" s="194" t="s">
        <v>2423</v>
      </c>
    </row>
    <row r="744" spans="5:9">
      <c r="E744" s="186" t="s">
        <v>1879</v>
      </c>
      <c r="F744" s="187" t="s">
        <v>33</v>
      </c>
      <c r="G744" s="188" t="s">
        <v>34</v>
      </c>
      <c r="H744" s="187" t="s">
        <v>35</v>
      </c>
      <c r="I744" s="194" t="s">
        <v>2073</v>
      </c>
    </row>
    <row r="745" spans="5:9">
      <c r="E745" s="186" t="s">
        <v>1972</v>
      </c>
      <c r="F745" s="187" t="s">
        <v>35</v>
      </c>
      <c r="G745" s="189" t="s">
        <v>52</v>
      </c>
      <c r="H745" s="187" t="s">
        <v>35</v>
      </c>
      <c r="I745" s="194" t="s">
        <v>2162</v>
      </c>
    </row>
    <row r="746" spans="5:9">
      <c r="E746" s="186" t="s">
        <v>2405</v>
      </c>
      <c r="F746" s="187" t="s">
        <v>35</v>
      </c>
      <c r="G746" s="189" t="s">
        <v>52</v>
      </c>
      <c r="H746" s="187" t="s">
        <v>35</v>
      </c>
      <c r="I746" s="194" t="s">
        <v>1922</v>
      </c>
    </row>
    <row r="747" spans="5:9">
      <c r="E747" s="186" t="s">
        <v>1904</v>
      </c>
      <c r="F747" s="187" t="s">
        <v>35</v>
      </c>
      <c r="G747" s="189" t="s">
        <v>52</v>
      </c>
      <c r="H747" s="187" t="s">
        <v>35</v>
      </c>
      <c r="I747" s="194" t="s">
        <v>2041</v>
      </c>
    </row>
    <row r="748" spans="5:9">
      <c r="E748" s="186" t="s">
        <v>1975</v>
      </c>
      <c r="F748" s="187" t="s">
        <v>35</v>
      </c>
      <c r="G748" s="189" t="s">
        <v>52</v>
      </c>
      <c r="H748" s="187" t="s">
        <v>35</v>
      </c>
      <c r="I748" s="194" t="s">
        <v>1826</v>
      </c>
    </row>
    <row r="749" spans="5:9">
      <c r="E749" s="186" t="s">
        <v>2428</v>
      </c>
      <c r="F749" s="187" t="s">
        <v>35</v>
      </c>
      <c r="G749" s="189" t="s">
        <v>52</v>
      </c>
      <c r="H749" s="187" t="s">
        <v>35</v>
      </c>
      <c r="I749" s="194" t="s">
        <v>1976</v>
      </c>
    </row>
    <row r="750" spans="5:9">
      <c r="E750" s="186" t="s">
        <v>2430</v>
      </c>
      <c r="F750" s="187" t="s">
        <v>33</v>
      </c>
      <c r="G750" s="188" t="s">
        <v>34</v>
      </c>
      <c r="H750" s="187" t="s">
        <v>35</v>
      </c>
      <c r="I750" s="194" t="s">
        <v>1861</v>
      </c>
    </row>
    <row r="751" spans="5:9">
      <c r="E751" s="186" t="s">
        <v>1723</v>
      </c>
      <c r="F751" s="187" t="s">
        <v>33</v>
      </c>
      <c r="G751" s="188" t="s">
        <v>43</v>
      </c>
      <c r="H751" s="187" t="s">
        <v>33</v>
      </c>
      <c r="I751" s="194" t="s">
        <v>1871</v>
      </c>
    </row>
    <row r="752" spans="5:9">
      <c r="E752" s="186" t="s">
        <v>1638</v>
      </c>
      <c r="F752" s="187" t="s">
        <v>33</v>
      </c>
      <c r="G752" s="188" t="s">
        <v>34</v>
      </c>
      <c r="H752" s="187" t="s">
        <v>35</v>
      </c>
      <c r="I752" s="194" t="s">
        <v>1967</v>
      </c>
    </row>
    <row r="753" spans="5:9">
      <c r="E753" s="186" t="s">
        <v>2234</v>
      </c>
      <c r="F753" s="187" t="s">
        <v>33</v>
      </c>
      <c r="G753" s="188" t="s">
        <v>43</v>
      </c>
      <c r="H753" s="187" t="s">
        <v>33</v>
      </c>
      <c r="I753" s="194" t="s">
        <v>2235</v>
      </c>
    </row>
    <row r="754" spans="5:9">
      <c r="E754" s="186" t="s">
        <v>1990</v>
      </c>
      <c r="F754" s="187" t="s">
        <v>33</v>
      </c>
      <c r="G754" s="188" t="s">
        <v>43</v>
      </c>
      <c r="H754" s="187" t="s">
        <v>33</v>
      </c>
      <c r="I754" s="194" t="s">
        <v>1899</v>
      </c>
    </row>
    <row r="755" spans="5:9">
      <c r="E755" s="186" t="s">
        <v>1879</v>
      </c>
      <c r="F755" s="187" t="s">
        <v>33</v>
      </c>
      <c r="G755" s="188" t="s">
        <v>34</v>
      </c>
      <c r="H755" s="187" t="s">
        <v>35</v>
      </c>
      <c r="I755" s="194" t="s">
        <v>2073</v>
      </c>
    </row>
    <row r="756" spans="5:9">
      <c r="E756" s="186" t="s">
        <v>1972</v>
      </c>
      <c r="F756" s="187" t="s">
        <v>35</v>
      </c>
      <c r="G756" s="189" t="s">
        <v>52</v>
      </c>
      <c r="H756" s="187" t="s">
        <v>35</v>
      </c>
      <c r="I756" s="194" t="s">
        <v>2162</v>
      </c>
    </row>
    <row r="757" spans="5:9">
      <c r="E757" s="186" t="s">
        <v>2405</v>
      </c>
      <c r="F757" s="187" t="s">
        <v>35</v>
      </c>
      <c r="G757" s="189" t="s">
        <v>52</v>
      </c>
      <c r="H757" s="187" t="s">
        <v>35</v>
      </c>
      <c r="I757" s="194" t="s">
        <v>1922</v>
      </c>
    </row>
    <row r="758" spans="5:9">
      <c r="E758" s="186" t="s">
        <v>1904</v>
      </c>
      <c r="F758" s="187" t="s">
        <v>35</v>
      </c>
      <c r="G758" s="189" t="s">
        <v>52</v>
      </c>
      <c r="H758" s="187" t="s">
        <v>35</v>
      </c>
      <c r="I758" s="194" t="s">
        <v>2041</v>
      </c>
    </row>
    <row r="759" spans="5:9">
      <c r="E759" s="186" t="s">
        <v>2440</v>
      </c>
      <c r="F759" s="187" t="s">
        <v>33</v>
      </c>
      <c r="G759" s="188" t="s">
        <v>34</v>
      </c>
      <c r="H759" s="187" t="s">
        <v>35</v>
      </c>
      <c r="I759" s="194" t="s">
        <v>2255</v>
      </c>
    </row>
    <row r="760" spans="5:9">
      <c r="E760" s="186" t="s">
        <v>1638</v>
      </c>
      <c r="F760" s="187" t="s">
        <v>33</v>
      </c>
      <c r="G760" s="188" t="s">
        <v>34</v>
      </c>
      <c r="H760" s="187" t="s">
        <v>35</v>
      </c>
      <c r="I760" s="194" t="s">
        <v>1967</v>
      </c>
    </row>
    <row r="761" spans="5:9">
      <c r="E761" s="186" t="s">
        <v>1553</v>
      </c>
      <c r="F761" s="187" t="s">
        <v>33</v>
      </c>
      <c r="G761" s="188" t="s">
        <v>43</v>
      </c>
      <c r="H761" s="187" t="s">
        <v>33</v>
      </c>
      <c r="I761" s="194" t="s">
        <v>1811</v>
      </c>
    </row>
    <row r="762" spans="5:9">
      <c r="E762" s="186" t="s">
        <v>49</v>
      </c>
      <c r="F762" s="187" t="s">
        <v>33</v>
      </c>
      <c r="G762" s="188" t="s">
        <v>43</v>
      </c>
      <c r="H762" s="187" t="s">
        <v>33</v>
      </c>
      <c r="I762" s="194" t="s">
        <v>2444</v>
      </c>
    </row>
    <row r="763" spans="5:9">
      <c r="E763" s="186" t="s">
        <v>2266</v>
      </c>
      <c r="F763" s="187" t="s">
        <v>35</v>
      </c>
      <c r="G763" s="189" t="s">
        <v>52</v>
      </c>
      <c r="H763" s="187" t="s">
        <v>35</v>
      </c>
      <c r="I763" s="194" t="s">
        <v>2374</v>
      </c>
    </row>
    <row r="764" spans="5:9">
      <c r="E764" s="186" t="s">
        <v>1972</v>
      </c>
      <c r="F764" s="187" t="s">
        <v>35</v>
      </c>
      <c r="G764" s="189" t="s">
        <v>52</v>
      </c>
      <c r="H764" s="187" t="s">
        <v>35</v>
      </c>
      <c r="I764" s="194" t="s">
        <v>2162</v>
      </c>
    </row>
    <row r="765" spans="5:9">
      <c r="E765" s="186" t="s">
        <v>2405</v>
      </c>
      <c r="F765" s="187" t="s">
        <v>35</v>
      </c>
      <c r="G765" s="189" t="s">
        <v>52</v>
      </c>
      <c r="H765" s="187" t="s">
        <v>35</v>
      </c>
      <c r="I765" s="194" t="s">
        <v>1922</v>
      </c>
    </row>
    <row r="766" spans="5:9">
      <c r="E766" s="186" t="s">
        <v>1958</v>
      </c>
      <c r="F766" s="187" t="s">
        <v>35</v>
      </c>
      <c r="G766" s="189" t="s">
        <v>52</v>
      </c>
      <c r="H766" s="187" t="s">
        <v>35</v>
      </c>
      <c r="I766" s="194" t="s">
        <v>2041</v>
      </c>
    </row>
    <row r="767" spans="5:9">
      <c r="E767" s="186" t="s">
        <v>1975</v>
      </c>
      <c r="F767" s="187" t="s">
        <v>35</v>
      </c>
      <c r="G767" s="189" t="s">
        <v>52</v>
      </c>
      <c r="H767" s="187" t="s">
        <v>35</v>
      </c>
      <c r="I767" s="194" t="s">
        <v>1826</v>
      </c>
    </row>
    <row r="768" spans="5:9">
      <c r="E768" s="186" t="s">
        <v>2428</v>
      </c>
      <c r="F768" s="187" t="s">
        <v>35</v>
      </c>
      <c r="G768" s="189" t="s">
        <v>52</v>
      </c>
      <c r="H768" s="187" t="s">
        <v>35</v>
      </c>
      <c r="I768" s="194" t="s">
        <v>1976</v>
      </c>
    </row>
    <row r="769" spans="5:9">
      <c r="E769" s="186" t="s">
        <v>2449</v>
      </c>
      <c r="F769" s="187" t="s">
        <v>33</v>
      </c>
      <c r="G769" s="188" t="s">
        <v>43</v>
      </c>
      <c r="H769" s="187" t="s">
        <v>33</v>
      </c>
      <c r="I769" s="194" t="s">
        <v>1964</v>
      </c>
    </row>
    <row r="770" spans="5:9">
      <c r="E770" s="186" t="s">
        <v>2430</v>
      </c>
      <c r="F770" s="187" t="s">
        <v>33</v>
      </c>
      <c r="G770" s="188" t="s">
        <v>34</v>
      </c>
      <c r="H770" s="187" t="s">
        <v>35</v>
      </c>
      <c r="I770" s="194" t="s">
        <v>2451</v>
      </c>
    </row>
    <row r="771" spans="5:9">
      <c r="E771" s="186" t="s">
        <v>1638</v>
      </c>
      <c r="F771" s="187" t="s">
        <v>33</v>
      </c>
      <c r="G771" s="188" t="s">
        <v>34</v>
      </c>
      <c r="H771" s="187" t="s">
        <v>35</v>
      </c>
      <c r="I771" s="194" t="s">
        <v>1967</v>
      </c>
    </row>
    <row r="772" spans="5:9">
      <c r="E772" s="186" t="s">
        <v>2234</v>
      </c>
      <c r="F772" s="187" t="s">
        <v>33</v>
      </c>
      <c r="G772" s="188" t="s">
        <v>43</v>
      </c>
      <c r="H772" s="187" t="s">
        <v>33</v>
      </c>
      <c r="I772" s="194" t="s">
        <v>2235</v>
      </c>
    </row>
    <row r="773" spans="5:9">
      <c r="E773" s="186" t="s">
        <v>1990</v>
      </c>
      <c r="F773" s="187" t="s">
        <v>33</v>
      </c>
      <c r="G773" s="188" t="s">
        <v>43</v>
      </c>
      <c r="H773" s="187" t="s">
        <v>33</v>
      </c>
      <c r="I773" s="194" t="s">
        <v>1899</v>
      </c>
    </row>
    <row r="774" spans="5:9">
      <c r="E774" s="186" t="s">
        <v>1879</v>
      </c>
      <c r="F774" s="187" t="s">
        <v>33</v>
      </c>
      <c r="G774" s="188" t="s">
        <v>34</v>
      </c>
      <c r="H774" s="187" t="s">
        <v>35</v>
      </c>
      <c r="I774" s="194" t="s">
        <v>2452</v>
      </c>
    </row>
    <row r="775" spans="5:9">
      <c r="E775" s="186" t="s">
        <v>1972</v>
      </c>
      <c r="F775" s="187" t="s">
        <v>35</v>
      </c>
      <c r="G775" s="189" t="s">
        <v>52</v>
      </c>
      <c r="H775" s="187" t="s">
        <v>35</v>
      </c>
      <c r="I775" s="194" t="s">
        <v>2458</v>
      </c>
    </row>
    <row r="776" spans="5:9">
      <c r="E776" s="186" t="s">
        <v>2405</v>
      </c>
      <c r="F776" s="187" t="s">
        <v>35</v>
      </c>
      <c r="G776" s="189" t="s">
        <v>52</v>
      </c>
      <c r="H776" s="187" t="s">
        <v>35</v>
      </c>
      <c r="I776" s="194" t="s">
        <v>2459</v>
      </c>
    </row>
    <row r="777" spans="5:9">
      <c r="E777" s="186" t="s">
        <v>1904</v>
      </c>
      <c r="F777" s="187" t="s">
        <v>35</v>
      </c>
      <c r="G777" s="189" t="s">
        <v>52</v>
      </c>
      <c r="H777" s="187" t="s">
        <v>35</v>
      </c>
      <c r="I777" s="194" t="s">
        <v>2460</v>
      </c>
    </row>
    <row r="778" spans="5:9">
      <c r="E778" s="186" t="s">
        <v>2461</v>
      </c>
      <c r="F778" s="187" t="s">
        <v>33</v>
      </c>
      <c r="G778" s="188" t="s">
        <v>43</v>
      </c>
      <c r="H778" s="187" t="s">
        <v>33</v>
      </c>
      <c r="I778" s="194" t="s">
        <v>1964</v>
      </c>
    </row>
    <row r="779" spans="5:9">
      <c r="E779" s="186" t="s">
        <v>32</v>
      </c>
      <c r="F779" s="187" t="s">
        <v>33</v>
      </c>
      <c r="G779" s="188" t="s">
        <v>34</v>
      </c>
      <c r="H779" s="187" t="s">
        <v>35</v>
      </c>
      <c r="I779" s="194" t="s">
        <v>2462</v>
      </c>
    </row>
    <row r="780" spans="5:9">
      <c r="E780" s="186" t="s">
        <v>1638</v>
      </c>
      <c r="F780" s="187" t="s">
        <v>33</v>
      </c>
      <c r="G780" s="188" t="s">
        <v>34</v>
      </c>
      <c r="H780" s="187" t="s">
        <v>35</v>
      </c>
      <c r="I780" s="194" t="s">
        <v>1967</v>
      </c>
    </row>
    <row r="781" spans="5:9">
      <c r="E781" s="186" t="s">
        <v>1553</v>
      </c>
      <c r="F781" s="187" t="s">
        <v>33</v>
      </c>
      <c r="G781" s="188" t="s">
        <v>43</v>
      </c>
      <c r="H781" s="187" t="s">
        <v>33</v>
      </c>
      <c r="I781" s="194" t="s">
        <v>2467</v>
      </c>
    </row>
    <row r="782" spans="5:9">
      <c r="E782" s="186" t="s">
        <v>49</v>
      </c>
      <c r="F782" s="187" t="s">
        <v>33</v>
      </c>
      <c r="G782" s="188" t="s">
        <v>43</v>
      </c>
      <c r="H782" s="187" t="s">
        <v>33</v>
      </c>
      <c r="I782" s="194" t="s">
        <v>2423</v>
      </c>
    </row>
    <row r="783" spans="5:9">
      <c r="E783" s="186" t="s">
        <v>2333</v>
      </c>
      <c r="F783" s="187" t="s">
        <v>33</v>
      </c>
      <c r="G783" s="188" t="s">
        <v>34</v>
      </c>
      <c r="H783" s="187" t="s">
        <v>35</v>
      </c>
      <c r="I783" s="194" t="s">
        <v>2452</v>
      </c>
    </row>
    <row r="784" spans="5:9">
      <c r="E784" s="186" t="s">
        <v>1728</v>
      </c>
      <c r="F784" s="187" t="s">
        <v>33</v>
      </c>
      <c r="G784" s="188" t="s">
        <v>43</v>
      </c>
      <c r="H784" s="187" t="s">
        <v>33</v>
      </c>
      <c r="I784" s="194" t="s">
        <v>1781</v>
      </c>
    </row>
    <row r="785" spans="5:9">
      <c r="E785" s="186" t="s">
        <v>1972</v>
      </c>
      <c r="F785" s="187" t="s">
        <v>35</v>
      </c>
      <c r="G785" s="189" t="s">
        <v>52</v>
      </c>
      <c r="H785" s="187" t="s">
        <v>35</v>
      </c>
      <c r="I785" s="194" t="s">
        <v>2458</v>
      </c>
    </row>
    <row r="786" spans="5:9">
      <c r="E786" s="186" t="s">
        <v>2405</v>
      </c>
      <c r="F786" s="187" t="s">
        <v>35</v>
      </c>
      <c r="G786" s="189" t="s">
        <v>52</v>
      </c>
      <c r="H786" s="187" t="s">
        <v>35</v>
      </c>
      <c r="I786" s="194" t="s">
        <v>2459</v>
      </c>
    </row>
    <row r="787" spans="5:9">
      <c r="E787" s="186" t="s">
        <v>2469</v>
      </c>
      <c r="F787" s="187" t="s">
        <v>33</v>
      </c>
      <c r="G787" s="188" t="s">
        <v>34</v>
      </c>
      <c r="H787" s="187" t="s">
        <v>35</v>
      </c>
      <c r="I787" s="194" t="s">
        <v>2470</v>
      </c>
    </row>
    <row r="788" spans="5:9">
      <c r="E788" s="186" t="s">
        <v>32</v>
      </c>
      <c r="F788" s="187" t="s">
        <v>33</v>
      </c>
      <c r="G788" s="188" t="s">
        <v>34</v>
      </c>
      <c r="H788" s="187" t="s">
        <v>35</v>
      </c>
      <c r="I788" s="194" t="s">
        <v>2462</v>
      </c>
    </row>
    <row r="789" spans="5:9">
      <c r="E789" s="186" t="s">
        <v>1638</v>
      </c>
      <c r="F789" s="187" t="s">
        <v>33</v>
      </c>
      <c r="G789" s="188" t="s">
        <v>34</v>
      </c>
      <c r="H789" s="187" t="s">
        <v>35</v>
      </c>
      <c r="I789" s="194" t="s">
        <v>1967</v>
      </c>
    </row>
    <row r="790" spans="5:9">
      <c r="E790" s="186" t="s">
        <v>1553</v>
      </c>
      <c r="F790" s="187" t="s">
        <v>33</v>
      </c>
      <c r="G790" s="188" t="s">
        <v>43</v>
      </c>
      <c r="H790" s="187" t="s">
        <v>33</v>
      </c>
      <c r="I790" s="194" t="s">
        <v>2467</v>
      </c>
    </row>
    <row r="791" spans="5:9">
      <c r="E791" s="186" t="s">
        <v>49</v>
      </c>
      <c r="F791" s="187" t="s">
        <v>33</v>
      </c>
      <c r="G791" s="188" t="s">
        <v>43</v>
      </c>
      <c r="H791" s="187" t="s">
        <v>33</v>
      </c>
      <c r="I791" s="194" t="s">
        <v>2475</v>
      </c>
    </row>
    <row r="792" spans="5:9">
      <c r="E792" s="186" t="s">
        <v>1972</v>
      </c>
      <c r="F792" s="187" t="s">
        <v>35</v>
      </c>
      <c r="G792" s="189" t="s">
        <v>52</v>
      </c>
      <c r="H792" s="187" t="s">
        <v>35</v>
      </c>
      <c r="I792" s="194" t="s">
        <v>2458</v>
      </c>
    </row>
    <row r="793" spans="5:9">
      <c r="E793" s="186" t="s">
        <v>2405</v>
      </c>
      <c r="F793" s="187" t="s">
        <v>35</v>
      </c>
      <c r="G793" s="189" t="s">
        <v>52</v>
      </c>
      <c r="H793" s="187" t="s">
        <v>35</v>
      </c>
      <c r="I793" s="194" t="s">
        <v>2459</v>
      </c>
    </row>
    <row r="794" spans="5:9">
      <c r="E794" s="186" t="s">
        <v>1904</v>
      </c>
      <c r="F794" s="187" t="s">
        <v>35</v>
      </c>
      <c r="G794" s="189" t="s">
        <v>52</v>
      </c>
      <c r="H794" s="187" t="s">
        <v>35</v>
      </c>
      <c r="I794" s="194" t="s">
        <v>2460</v>
      </c>
    </row>
    <row r="795" spans="5:9">
      <c r="E795" s="186" t="s">
        <v>1975</v>
      </c>
      <c r="F795" s="187" t="s">
        <v>35</v>
      </c>
      <c r="G795" s="189" t="s">
        <v>52</v>
      </c>
      <c r="H795" s="187" t="s">
        <v>35</v>
      </c>
      <c r="I795" s="194" t="s">
        <v>2479</v>
      </c>
    </row>
    <row r="796" spans="5:9">
      <c r="E796" s="186" t="s">
        <v>2428</v>
      </c>
      <c r="F796" s="187" t="s">
        <v>35</v>
      </c>
      <c r="G796" s="189" t="s">
        <v>52</v>
      </c>
      <c r="H796" s="187" t="s">
        <v>35</v>
      </c>
      <c r="I796" s="194" t="s">
        <v>2480</v>
      </c>
    </row>
    <row r="797" spans="5:9">
      <c r="E797" s="186" t="s">
        <v>2482</v>
      </c>
      <c r="F797" s="187" t="s">
        <v>33</v>
      </c>
      <c r="G797" s="188" t="s">
        <v>43</v>
      </c>
      <c r="H797" s="187" t="s">
        <v>33</v>
      </c>
      <c r="I797" s="194" t="s">
        <v>1964</v>
      </c>
    </row>
    <row r="798" spans="5:9">
      <c r="E798" s="186" t="s">
        <v>32</v>
      </c>
      <c r="F798" s="187" t="s">
        <v>33</v>
      </c>
      <c r="G798" s="188" t="s">
        <v>34</v>
      </c>
      <c r="H798" s="187" t="s">
        <v>35</v>
      </c>
      <c r="I798" s="194" t="s">
        <v>2462</v>
      </c>
    </row>
    <row r="799" spans="5:9">
      <c r="E799" s="186" t="s">
        <v>1638</v>
      </c>
      <c r="F799" s="187" t="s">
        <v>33</v>
      </c>
      <c r="G799" s="188" t="s">
        <v>34</v>
      </c>
      <c r="H799" s="187" t="s">
        <v>35</v>
      </c>
      <c r="I799" s="194" t="s">
        <v>1967</v>
      </c>
    </row>
    <row r="800" spans="5:9">
      <c r="E800" s="186" t="s">
        <v>1553</v>
      </c>
      <c r="F800" s="187" t="s">
        <v>33</v>
      </c>
      <c r="G800" s="188" t="s">
        <v>43</v>
      </c>
      <c r="H800" s="187" t="s">
        <v>33</v>
      </c>
      <c r="I800" s="194" t="s">
        <v>2467</v>
      </c>
    </row>
    <row r="801" spans="5:9">
      <c r="E801" s="186" t="s">
        <v>49</v>
      </c>
      <c r="F801" s="187" t="s">
        <v>33</v>
      </c>
      <c r="G801" s="188" t="s">
        <v>43</v>
      </c>
      <c r="H801" s="187" t="s">
        <v>33</v>
      </c>
      <c r="I801" s="194" t="s">
        <v>2486</v>
      </c>
    </row>
    <row r="802" spans="5:9">
      <c r="E802" s="186" t="s">
        <v>1879</v>
      </c>
      <c r="F802" s="187" t="s">
        <v>33</v>
      </c>
      <c r="G802" s="188" t="s">
        <v>34</v>
      </c>
      <c r="H802" s="187" t="s">
        <v>35</v>
      </c>
      <c r="I802" s="194" t="s">
        <v>2452</v>
      </c>
    </row>
    <row r="803" spans="5:9">
      <c r="E803" s="186" t="s">
        <v>1972</v>
      </c>
      <c r="F803" s="187" t="s">
        <v>35</v>
      </c>
      <c r="G803" s="189" t="s">
        <v>52</v>
      </c>
      <c r="H803" s="187" t="s">
        <v>35</v>
      </c>
      <c r="I803" s="194" t="s">
        <v>2458</v>
      </c>
    </row>
    <row r="804" spans="5:9">
      <c r="E804" s="186" t="s">
        <v>2405</v>
      </c>
      <c r="F804" s="187" t="s">
        <v>35</v>
      </c>
      <c r="G804" s="189" t="s">
        <v>52</v>
      </c>
      <c r="H804" s="187" t="s">
        <v>35</v>
      </c>
      <c r="I804" s="194" t="s">
        <v>2459</v>
      </c>
    </row>
    <row r="805" spans="5:9">
      <c r="E805" s="186" t="s">
        <v>1958</v>
      </c>
      <c r="F805" s="187" t="s">
        <v>35</v>
      </c>
      <c r="G805" s="189" t="s">
        <v>52</v>
      </c>
      <c r="H805" s="187" t="s">
        <v>35</v>
      </c>
      <c r="I805" s="194" t="s">
        <v>2460</v>
      </c>
    </row>
    <row r="806" spans="5:9">
      <c r="E806" s="186" t="s">
        <v>1975</v>
      </c>
      <c r="F806" s="187" t="s">
        <v>35</v>
      </c>
      <c r="G806" s="189" t="s">
        <v>52</v>
      </c>
      <c r="H806" s="187" t="s">
        <v>35</v>
      </c>
      <c r="I806" s="194" t="s">
        <v>2479</v>
      </c>
    </row>
    <row r="807" spans="5:9">
      <c r="E807" s="186" t="s">
        <v>2490</v>
      </c>
      <c r="F807" s="187" t="s">
        <v>33</v>
      </c>
      <c r="G807" s="188" t="s">
        <v>43</v>
      </c>
      <c r="H807" s="187" t="s">
        <v>33</v>
      </c>
      <c r="I807" s="194" t="s">
        <v>1805</v>
      </c>
    </row>
    <row r="808" spans="5:9">
      <c r="E808" s="186" t="s">
        <v>32</v>
      </c>
      <c r="F808" s="187" t="s">
        <v>33</v>
      </c>
      <c r="G808" s="188" t="s">
        <v>34</v>
      </c>
      <c r="H808" s="187" t="s">
        <v>35</v>
      </c>
      <c r="I808" s="194" t="s">
        <v>1906</v>
      </c>
    </row>
    <row r="809" spans="5:9">
      <c r="E809" s="186" t="s">
        <v>1638</v>
      </c>
      <c r="F809" s="187" t="s">
        <v>33</v>
      </c>
      <c r="G809" s="188" t="s">
        <v>34</v>
      </c>
      <c r="H809" s="187" t="s">
        <v>35</v>
      </c>
      <c r="I809" s="194" t="s">
        <v>1778</v>
      </c>
    </row>
    <row r="810" spans="5:9">
      <c r="E810" s="186" t="s">
        <v>1553</v>
      </c>
      <c r="F810" s="187" t="s">
        <v>33</v>
      </c>
      <c r="G810" s="188" t="s">
        <v>43</v>
      </c>
      <c r="H810" s="187" t="s">
        <v>33</v>
      </c>
      <c r="I810" s="194" t="s">
        <v>1811</v>
      </c>
    </row>
    <row r="811" spans="5:9">
      <c r="E811" s="186" t="s">
        <v>49</v>
      </c>
      <c r="F811" s="187" t="s">
        <v>33</v>
      </c>
      <c r="G811" s="188" t="s">
        <v>43</v>
      </c>
      <c r="H811" s="187" t="s">
        <v>33</v>
      </c>
      <c r="I811" s="194" t="s">
        <v>2495</v>
      </c>
    </row>
    <row r="812" spans="5:9">
      <c r="E812" s="186" t="s">
        <v>2333</v>
      </c>
      <c r="F812" s="187" t="s">
        <v>33</v>
      </c>
      <c r="G812" s="188" t="s">
        <v>34</v>
      </c>
      <c r="H812" s="187" t="s">
        <v>35</v>
      </c>
      <c r="I812" s="194" t="s">
        <v>2404</v>
      </c>
    </row>
    <row r="813" spans="5:9">
      <c r="E813" s="186" t="s">
        <v>1972</v>
      </c>
      <c r="F813" s="187" t="s">
        <v>35</v>
      </c>
      <c r="G813" s="189" t="s">
        <v>52</v>
      </c>
      <c r="H813" s="187" t="s">
        <v>35</v>
      </c>
      <c r="I813" s="194" t="s">
        <v>2162</v>
      </c>
    </row>
    <row r="814" spans="5:9">
      <c r="E814" s="186" t="s">
        <v>2405</v>
      </c>
      <c r="F814" s="187" t="s">
        <v>35</v>
      </c>
      <c r="G814" s="189" t="s">
        <v>52</v>
      </c>
      <c r="H814" s="187" t="s">
        <v>35</v>
      </c>
      <c r="I814" s="194" t="s">
        <v>1922</v>
      </c>
    </row>
    <row r="815" spans="5:9">
      <c r="E815" s="186" t="s">
        <v>1958</v>
      </c>
      <c r="F815" s="187" t="s">
        <v>35</v>
      </c>
      <c r="G815" s="189" t="s">
        <v>52</v>
      </c>
      <c r="H815" s="187" t="s">
        <v>35</v>
      </c>
      <c r="I815" s="194" t="s">
        <v>2041</v>
      </c>
    </row>
    <row r="816" spans="5:9">
      <c r="E816" s="191" t="s">
        <v>1975</v>
      </c>
      <c r="F816" s="192" t="s">
        <v>35</v>
      </c>
      <c r="G816" s="193" t="s">
        <v>52</v>
      </c>
      <c r="H816" s="192" t="s">
        <v>35</v>
      </c>
      <c r="I816" s="195" t="s">
        <v>1826</v>
      </c>
    </row>
  </sheetData>
  <autoFilter ref="E7:I816" xr:uid="{8593DF65-AC2E-4345-BDFE-43D6FBCC1B4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76C7-231A-4EC0-9AA4-5AE0766D7F9F}">
  <dimension ref="E6:M45"/>
  <sheetViews>
    <sheetView workbookViewId="0">
      <selection activeCell="C4" sqref="C4"/>
    </sheetView>
  </sheetViews>
  <sheetFormatPr defaultRowHeight="15"/>
  <cols>
    <col min="4" max="4" width="9.140625" customWidth="1"/>
    <col min="5" max="5" width="9.7109375" customWidth="1"/>
    <col min="6" max="6" width="44.42578125" customWidth="1"/>
    <col min="7" max="7" width="22.85546875" customWidth="1"/>
    <col min="8" max="13" width="9.7109375" customWidth="1"/>
  </cols>
  <sheetData>
    <row r="6" spans="5:13">
      <c r="E6" s="6" t="s">
        <v>688</v>
      </c>
      <c r="F6" s="7" t="s">
        <v>689</v>
      </c>
      <c r="G6" s="7" t="s">
        <v>646</v>
      </c>
      <c r="H6" s="31">
        <v>1.01</v>
      </c>
      <c r="I6" s="8">
        <f>60/H6</f>
        <v>59.405940594059409</v>
      </c>
      <c r="J6" s="31" t="s">
        <v>110</v>
      </c>
      <c r="K6" s="32" t="s">
        <v>111</v>
      </c>
      <c r="L6" s="177"/>
      <c r="M6" t="s">
        <v>888</v>
      </c>
    </row>
    <row r="7" spans="5:13">
      <c r="E7" s="6" t="s">
        <v>690</v>
      </c>
      <c r="F7" s="7" t="s">
        <v>691</v>
      </c>
      <c r="G7" s="7" t="s">
        <v>646</v>
      </c>
      <c r="H7" s="31">
        <v>0.8</v>
      </c>
      <c r="I7" s="8">
        <f>60/H7</f>
        <v>75</v>
      </c>
      <c r="J7" s="31" t="s">
        <v>110</v>
      </c>
      <c r="K7" s="32" t="s">
        <v>111</v>
      </c>
      <c r="L7" s="177"/>
      <c r="M7" t="s">
        <v>12</v>
      </c>
    </row>
    <row r="8" spans="5:13">
      <c r="E8" s="6" t="s">
        <v>692</v>
      </c>
      <c r="F8" s="7" t="s">
        <v>693</v>
      </c>
      <c r="G8" s="7" t="s">
        <v>646</v>
      </c>
      <c r="H8" s="31">
        <v>0.7</v>
      </c>
      <c r="I8" s="8">
        <f>60/H8</f>
        <v>85.714285714285722</v>
      </c>
      <c r="J8" s="31" t="s">
        <v>110</v>
      </c>
      <c r="K8" s="32" t="s">
        <v>111</v>
      </c>
      <c r="L8" s="177"/>
      <c r="M8" t="s">
        <v>883</v>
      </c>
    </row>
    <row r="9" spans="5:13">
      <c r="E9" s="6" t="s">
        <v>696</v>
      </c>
      <c r="F9" s="7" t="s">
        <v>697</v>
      </c>
      <c r="G9" s="7" t="s">
        <v>646</v>
      </c>
      <c r="H9" s="31">
        <v>0.75</v>
      </c>
      <c r="I9" s="8">
        <f>60/H9</f>
        <v>80</v>
      </c>
      <c r="J9" s="31" t="s">
        <v>110</v>
      </c>
      <c r="K9" s="32" t="s">
        <v>111</v>
      </c>
      <c r="L9" s="177"/>
      <c r="M9" t="s">
        <v>883</v>
      </c>
    </row>
    <row r="10" spans="5:13">
      <c r="E10" s="6" t="s">
        <v>700</v>
      </c>
      <c r="F10" s="7" t="s">
        <v>701</v>
      </c>
      <c r="G10" s="7" t="s">
        <v>646</v>
      </c>
      <c r="H10" s="31">
        <v>0.8</v>
      </c>
      <c r="I10" s="8">
        <f>60/H10</f>
        <v>75</v>
      </c>
      <c r="J10" s="31" t="s">
        <v>110</v>
      </c>
      <c r="K10" s="32" t="s">
        <v>111</v>
      </c>
      <c r="L10" s="177"/>
      <c r="M10" t="s">
        <v>883</v>
      </c>
    </row>
    <row r="11" spans="5:13">
      <c r="E11" s="6" t="s">
        <v>704</v>
      </c>
      <c r="F11" s="7" t="s">
        <v>705</v>
      </c>
      <c r="G11" s="7" t="s">
        <v>646</v>
      </c>
      <c r="H11" s="31">
        <v>0.4</v>
      </c>
      <c r="I11" s="8">
        <f>60/H11</f>
        <v>150</v>
      </c>
      <c r="J11" s="31" t="s">
        <v>110</v>
      </c>
      <c r="K11" s="32" t="s">
        <v>111</v>
      </c>
      <c r="L11" s="177"/>
      <c r="M11" t="s">
        <v>885</v>
      </c>
    </row>
    <row r="12" spans="5:13">
      <c r="E12" s="6" t="s">
        <v>708</v>
      </c>
      <c r="F12" s="7" t="s">
        <v>709</v>
      </c>
      <c r="G12" s="7" t="s">
        <v>646</v>
      </c>
      <c r="H12" s="31">
        <v>0.3</v>
      </c>
      <c r="I12" s="8">
        <f>60/H12</f>
        <v>200</v>
      </c>
      <c r="J12" s="31" t="s">
        <v>110</v>
      </c>
      <c r="K12" s="32" t="s">
        <v>111</v>
      </c>
      <c r="L12" s="177"/>
      <c r="M12" t="s">
        <v>885</v>
      </c>
    </row>
    <row r="13" spans="5:13">
      <c r="E13" s="6" t="s">
        <v>710</v>
      </c>
      <c r="F13" s="7" t="s">
        <v>711</v>
      </c>
      <c r="G13" s="7" t="s">
        <v>646</v>
      </c>
      <c r="H13" s="31">
        <v>0.5</v>
      </c>
      <c r="I13" s="8">
        <f>60/H13</f>
        <v>120</v>
      </c>
      <c r="J13" s="31" t="s">
        <v>110</v>
      </c>
      <c r="K13" s="32" t="s">
        <v>111</v>
      </c>
      <c r="L13" s="177"/>
      <c r="M13" t="s">
        <v>885</v>
      </c>
    </row>
    <row r="14" spans="5:13">
      <c r="E14" s="6" t="s">
        <v>712</v>
      </c>
      <c r="F14" s="7" t="s">
        <v>713</v>
      </c>
      <c r="G14" s="7" t="s">
        <v>646</v>
      </c>
      <c r="H14" s="31">
        <v>0.55000000000000004</v>
      </c>
      <c r="I14" s="8">
        <f>60/H14</f>
        <v>109.09090909090908</v>
      </c>
      <c r="J14" s="31" t="s">
        <v>110</v>
      </c>
      <c r="K14" s="32" t="s">
        <v>111</v>
      </c>
      <c r="L14" s="177"/>
      <c r="M14" t="s">
        <v>12</v>
      </c>
    </row>
    <row r="15" spans="5:13">
      <c r="E15" s="6" t="s">
        <v>714</v>
      </c>
      <c r="F15" s="7" t="s">
        <v>715</v>
      </c>
      <c r="G15" s="7" t="s">
        <v>646</v>
      </c>
      <c r="H15" s="31">
        <v>0.94</v>
      </c>
      <c r="I15" s="8">
        <f>60/H15</f>
        <v>63.829787234042556</v>
      </c>
      <c r="J15" s="31" t="s">
        <v>110</v>
      </c>
      <c r="K15" s="32" t="s">
        <v>111</v>
      </c>
      <c r="L15" s="177"/>
      <c r="M15" t="s">
        <v>12</v>
      </c>
    </row>
    <row r="16" spans="5:13">
      <c r="E16" s="6" t="s">
        <v>716</v>
      </c>
      <c r="F16" s="7" t="s">
        <v>717</v>
      </c>
      <c r="G16" s="7" t="s">
        <v>646</v>
      </c>
      <c r="H16" s="31">
        <v>0.85</v>
      </c>
      <c r="I16" s="8">
        <f>60/H16</f>
        <v>70.588235294117652</v>
      </c>
      <c r="J16" s="31" t="s">
        <v>110</v>
      </c>
      <c r="K16" s="32" t="s">
        <v>111</v>
      </c>
      <c r="L16" s="177"/>
      <c r="M16" t="s">
        <v>12</v>
      </c>
    </row>
    <row r="17" spans="5:13">
      <c r="E17" s="6" t="s">
        <v>718</v>
      </c>
      <c r="F17" s="7" t="s">
        <v>719</v>
      </c>
      <c r="G17" s="7" t="s">
        <v>646</v>
      </c>
      <c r="H17" s="31">
        <v>1.1000000000000001</v>
      </c>
      <c r="I17" s="8">
        <f>60/H17</f>
        <v>54.54545454545454</v>
      </c>
      <c r="J17" s="31" t="s">
        <v>110</v>
      </c>
      <c r="K17" s="32" t="s">
        <v>111</v>
      </c>
      <c r="L17" s="177"/>
      <c r="M17" t="s">
        <v>12</v>
      </c>
    </row>
    <row r="18" spans="5:13">
      <c r="E18" s="6" t="s">
        <v>720</v>
      </c>
      <c r="F18" s="7" t="s">
        <v>721</v>
      </c>
      <c r="G18" s="7" t="s">
        <v>646</v>
      </c>
      <c r="H18" s="31">
        <v>1.25</v>
      </c>
      <c r="I18" s="8">
        <f>60/H18</f>
        <v>48</v>
      </c>
      <c r="J18" s="31" t="s">
        <v>110</v>
      </c>
      <c r="K18" s="32" t="s">
        <v>111</v>
      </c>
      <c r="L18" s="177"/>
      <c r="M18" t="s">
        <v>12</v>
      </c>
    </row>
    <row r="19" spans="5:13">
      <c r="E19" s="6" t="s">
        <v>722</v>
      </c>
      <c r="F19" s="7" t="s">
        <v>723</v>
      </c>
      <c r="G19" s="7" t="s">
        <v>646</v>
      </c>
      <c r="H19" s="31">
        <v>0.85</v>
      </c>
      <c r="I19" s="8">
        <f>60/H19</f>
        <v>70.588235294117652</v>
      </c>
      <c r="J19" s="31" t="s">
        <v>110</v>
      </c>
      <c r="K19" s="32" t="s">
        <v>111</v>
      </c>
      <c r="L19" s="177"/>
      <c r="M19" t="s">
        <v>12</v>
      </c>
    </row>
    <row r="20" spans="5:13">
      <c r="E20" s="6" t="s">
        <v>724</v>
      </c>
      <c r="F20" s="7" t="s">
        <v>725</v>
      </c>
      <c r="G20" s="7" t="s">
        <v>646</v>
      </c>
      <c r="H20" s="31">
        <v>0.7</v>
      </c>
      <c r="I20" s="8">
        <f>60/H20</f>
        <v>85.714285714285722</v>
      </c>
      <c r="J20" s="31" t="s">
        <v>110</v>
      </c>
      <c r="K20" s="32" t="s">
        <v>111</v>
      </c>
      <c r="L20" s="177"/>
      <c r="M20" t="s">
        <v>12</v>
      </c>
    </row>
    <row r="21" spans="5:13">
      <c r="E21" s="6" t="s">
        <v>726</v>
      </c>
      <c r="F21" s="7" t="s">
        <v>727</v>
      </c>
      <c r="G21" s="7" t="s">
        <v>646</v>
      </c>
      <c r="H21" s="31">
        <v>0.65</v>
      </c>
      <c r="I21" s="8">
        <f>60/H21</f>
        <v>92.307692307692307</v>
      </c>
      <c r="J21" s="31" t="s">
        <v>110</v>
      </c>
      <c r="K21" s="32" t="s">
        <v>111</v>
      </c>
      <c r="L21" s="177"/>
      <c r="M21" t="s">
        <v>12</v>
      </c>
    </row>
    <row r="22" spans="5:13">
      <c r="E22" s="6" t="s">
        <v>728</v>
      </c>
      <c r="F22" s="7" t="s">
        <v>729</v>
      </c>
      <c r="G22" s="7" t="s">
        <v>646</v>
      </c>
      <c r="H22" s="31">
        <v>0.8</v>
      </c>
      <c r="I22" s="8">
        <f>60/H22</f>
        <v>75</v>
      </c>
      <c r="J22" s="31" t="s">
        <v>110</v>
      </c>
      <c r="K22" s="32" t="s">
        <v>111</v>
      </c>
      <c r="L22" s="177"/>
      <c r="M22" t="s">
        <v>12</v>
      </c>
    </row>
    <row r="23" spans="5:13">
      <c r="E23" s="6" t="s">
        <v>730</v>
      </c>
      <c r="F23" s="7" t="s">
        <v>731</v>
      </c>
      <c r="G23" s="7" t="s">
        <v>646</v>
      </c>
      <c r="H23" s="31">
        <v>0.85</v>
      </c>
      <c r="I23" s="8">
        <f>60/H23</f>
        <v>70.588235294117652</v>
      </c>
      <c r="J23" s="31" t="s">
        <v>110</v>
      </c>
      <c r="K23" s="32" t="s">
        <v>111</v>
      </c>
      <c r="L23" s="177"/>
      <c r="M23" t="s">
        <v>12</v>
      </c>
    </row>
    <row r="24" spans="5:13">
      <c r="E24" s="6" t="s">
        <v>732</v>
      </c>
      <c r="F24" s="7" t="s">
        <v>733</v>
      </c>
      <c r="G24" s="7" t="s">
        <v>646</v>
      </c>
      <c r="H24" s="31">
        <v>1</v>
      </c>
      <c r="I24" s="8">
        <f>60/H24</f>
        <v>60</v>
      </c>
      <c r="J24" s="31" t="s">
        <v>110</v>
      </c>
      <c r="K24" s="32" t="s">
        <v>111</v>
      </c>
      <c r="L24" s="177"/>
      <c r="M24" t="s">
        <v>12</v>
      </c>
    </row>
    <row r="25" spans="5:13">
      <c r="E25" s="6" t="s">
        <v>734</v>
      </c>
      <c r="F25" s="7" t="s">
        <v>735</v>
      </c>
      <c r="G25" s="7" t="s">
        <v>646</v>
      </c>
      <c r="H25" s="31">
        <v>0.9</v>
      </c>
      <c r="I25" s="8">
        <f>60/H25</f>
        <v>66.666666666666671</v>
      </c>
      <c r="J25" s="31" t="s">
        <v>110</v>
      </c>
      <c r="K25" s="32" t="s">
        <v>111</v>
      </c>
      <c r="L25" s="177"/>
      <c r="M25" t="s">
        <v>12</v>
      </c>
    </row>
    <row r="26" spans="5:13">
      <c r="E26" s="6" t="s">
        <v>738</v>
      </c>
      <c r="F26" s="7" t="s">
        <v>739</v>
      </c>
      <c r="G26" s="7" t="s">
        <v>646</v>
      </c>
      <c r="H26" s="31">
        <v>2</v>
      </c>
      <c r="I26" s="8">
        <f>60/H26</f>
        <v>30</v>
      </c>
      <c r="J26" s="31" t="s">
        <v>110</v>
      </c>
      <c r="K26" s="32" t="s">
        <v>111</v>
      </c>
      <c r="L26" s="177"/>
      <c r="M26" t="s">
        <v>12</v>
      </c>
    </row>
    <row r="27" spans="5:13">
      <c r="E27" s="6" t="s">
        <v>740</v>
      </c>
      <c r="F27" s="7" t="s">
        <v>741</v>
      </c>
      <c r="G27" s="7" t="s">
        <v>646</v>
      </c>
      <c r="H27" s="31">
        <v>0.4</v>
      </c>
      <c r="I27" s="8">
        <f>60/H27</f>
        <v>150</v>
      </c>
      <c r="J27" s="31" t="s">
        <v>110</v>
      </c>
      <c r="K27" s="32" t="s">
        <v>111</v>
      </c>
      <c r="L27" s="177"/>
      <c r="M27" t="s">
        <v>878</v>
      </c>
    </row>
    <row r="28" spans="5:13">
      <c r="E28" s="6" t="s">
        <v>742</v>
      </c>
      <c r="F28" s="7" t="s">
        <v>743</v>
      </c>
      <c r="G28" s="7" t="s">
        <v>646</v>
      </c>
      <c r="H28" s="31">
        <v>0.8</v>
      </c>
      <c r="I28" s="8">
        <f>60/H28</f>
        <v>75</v>
      </c>
      <c r="J28" s="31" t="s">
        <v>110</v>
      </c>
      <c r="K28" s="32" t="s">
        <v>111</v>
      </c>
      <c r="L28" s="177"/>
      <c r="M28" t="s">
        <v>12</v>
      </c>
    </row>
    <row r="29" spans="5:13">
      <c r="E29" s="6" t="s">
        <v>744</v>
      </c>
      <c r="F29" s="7" t="s">
        <v>745</v>
      </c>
      <c r="G29" s="7" t="s">
        <v>646</v>
      </c>
      <c r="H29" s="31">
        <v>0.8</v>
      </c>
      <c r="I29" s="8">
        <f>60/H29</f>
        <v>75</v>
      </c>
      <c r="J29" s="31" t="s">
        <v>110</v>
      </c>
      <c r="K29" s="32" t="s">
        <v>111</v>
      </c>
      <c r="L29" s="177"/>
      <c r="M29" t="s">
        <v>12</v>
      </c>
    </row>
    <row r="30" spans="5:13">
      <c r="E30" s="6" t="s">
        <v>756</v>
      </c>
      <c r="F30" s="7" t="s">
        <v>681</v>
      </c>
      <c r="G30" s="7" t="s">
        <v>646</v>
      </c>
      <c r="H30" s="31">
        <v>1.2</v>
      </c>
      <c r="I30" s="8">
        <f>60/H30</f>
        <v>50</v>
      </c>
      <c r="J30" s="31" t="s">
        <v>110</v>
      </c>
      <c r="K30" s="32" t="s">
        <v>111</v>
      </c>
      <c r="L30" s="177"/>
      <c r="M30" t="s">
        <v>878</v>
      </c>
    </row>
    <row r="31" spans="5:13">
      <c r="E31" s="6" t="s">
        <v>760</v>
      </c>
      <c r="F31" s="7" t="s">
        <v>677</v>
      </c>
      <c r="G31" s="7" t="s">
        <v>646</v>
      </c>
      <c r="H31" s="31">
        <v>1.1499999999999999</v>
      </c>
      <c r="I31" s="8">
        <f>60/H31</f>
        <v>52.173913043478265</v>
      </c>
      <c r="J31" s="31" t="s">
        <v>110</v>
      </c>
      <c r="K31" s="32" t="s">
        <v>111</v>
      </c>
      <c r="L31" s="177"/>
      <c r="M31" t="s">
        <v>12</v>
      </c>
    </row>
    <row r="32" spans="5:13">
      <c r="E32" s="6" t="s">
        <v>762</v>
      </c>
      <c r="F32" s="7" t="s">
        <v>668</v>
      </c>
      <c r="G32" s="7" t="s">
        <v>646</v>
      </c>
      <c r="H32" s="31">
        <v>1.2</v>
      </c>
      <c r="I32" s="8">
        <f>60/H32</f>
        <v>50</v>
      </c>
      <c r="J32" s="31" t="s">
        <v>110</v>
      </c>
      <c r="K32" s="32" t="s">
        <v>111</v>
      </c>
      <c r="L32" s="177"/>
      <c r="M32" t="s">
        <v>12</v>
      </c>
    </row>
    <row r="33" spans="5:13">
      <c r="E33" s="6" t="s">
        <v>847</v>
      </c>
      <c r="F33" s="7" t="s">
        <v>418</v>
      </c>
      <c r="G33" s="7" t="s">
        <v>399</v>
      </c>
      <c r="H33" s="31">
        <v>0.31900000000000001</v>
      </c>
      <c r="I33" s="8">
        <f>60/H33</f>
        <v>188.08777429467085</v>
      </c>
      <c r="J33" s="31" t="s">
        <v>110</v>
      </c>
      <c r="K33" s="32" t="s">
        <v>111</v>
      </c>
      <c r="L33" s="177"/>
      <c r="M33" t="s">
        <v>12</v>
      </c>
    </row>
    <row r="34" spans="5:13">
      <c r="E34" s="6" t="s">
        <v>848</v>
      </c>
      <c r="F34" s="7" t="s">
        <v>849</v>
      </c>
      <c r="G34" s="7" t="s">
        <v>399</v>
      </c>
      <c r="H34" s="31">
        <v>0.79200000000000004</v>
      </c>
      <c r="I34" s="8">
        <f>60/H34</f>
        <v>75.757575757575751</v>
      </c>
      <c r="J34" s="31" t="s">
        <v>110</v>
      </c>
      <c r="K34" s="32" t="s">
        <v>111</v>
      </c>
      <c r="L34" s="177"/>
      <c r="M34" t="s">
        <v>12</v>
      </c>
    </row>
    <row r="35" spans="5:13">
      <c r="E35" s="6" t="s">
        <v>449</v>
      </c>
      <c r="F35" s="7" t="s">
        <v>852</v>
      </c>
      <c r="G35" s="7" t="s">
        <v>399</v>
      </c>
      <c r="H35" s="31">
        <v>1.3</v>
      </c>
      <c r="I35" s="8">
        <f>60/H35</f>
        <v>46.153846153846153</v>
      </c>
      <c r="J35" s="31" t="s">
        <v>110</v>
      </c>
      <c r="K35" s="32" t="s">
        <v>111</v>
      </c>
      <c r="L35" s="177"/>
      <c r="M35" t="s">
        <v>12</v>
      </c>
    </row>
    <row r="36" spans="5:13">
      <c r="E36" s="6" t="s">
        <v>853</v>
      </c>
      <c r="F36" s="7" t="s">
        <v>412</v>
      </c>
      <c r="G36" s="7" t="s">
        <v>399</v>
      </c>
      <c r="H36" s="31">
        <v>0.33</v>
      </c>
      <c r="I36" s="8">
        <f>60/H36</f>
        <v>181.81818181818181</v>
      </c>
      <c r="J36" s="31" t="s">
        <v>110</v>
      </c>
      <c r="K36" s="32" t="s">
        <v>111</v>
      </c>
      <c r="L36" s="177"/>
      <c r="M36" t="s">
        <v>12</v>
      </c>
    </row>
    <row r="37" spans="5:13">
      <c r="E37" s="6" t="s">
        <v>856</v>
      </c>
      <c r="F37" s="7" t="s">
        <v>574</v>
      </c>
      <c r="G37" s="7" t="s">
        <v>570</v>
      </c>
      <c r="H37" s="31">
        <v>0.52800000000000002</v>
      </c>
      <c r="I37" s="8">
        <f>60/H37</f>
        <v>113.63636363636363</v>
      </c>
      <c r="J37" s="31" t="s">
        <v>110</v>
      </c>
      <c r="K37" s="32" t="s">
        <v>111</v>
      </c>
      <c r="L37" s="177"/>
      <c r="M37" t="s">
        <v>12</v>
      </c>
    </row>
    <row r="38" spans="5:13">
      <c r="E38" s="6" t="s">
        <v>629</v>
      </c>
      <c r="F38" s="7" t="s">
        <v>860</v>
      </c>
      <c r="G38" s="7" t="s">
        <v>570</v>
      </c>
      <c r="H38" s="31">
        <v>1.8</v>
      </c>
      <c r="I38" s="8">
        <f>60/H38</f>
        <v>33.333333333333336</v>
      </c>
      <c r="J38" s="31" t="s">
        <v>110</v>
      </c>
      <c r="K38" s="32" t="s">
        <v>111</v>
      </c>
      <c r="L38" s="177"/>
      <c r="M38" t="s">
        <v>12</v>
      </c>
    </row>
    <row r="39" spans="5:13">
      <c r="E39" s="6" t="s">
        <v>861</v>
      </c>
      <c r="F39" s="7" t="s">
        <v>713</v>
      </c>
      <c r="G39" s="7" t="s">
        <v>646</v>
      </c>
      <c r="H39" s="31">
        <v>0.60499999999999998</v>
      </c>
      <c r="I39" s="8">
        <f>60/H39</f>
        <v>99.173553719008268</v>
      </c>
      <c r="J39" s="31" t="s">
        <v>110</v>
      </c>
      <c r="K39" s="32" t="s">
        <v>111</v>
      </c>
      <c r="L39" s="177"/>
      <c r="M39" t="s">
        <v>12</v>
      </c>
    </row>
    <row r="40" spans="5:13">
      <c r="E40" s="6" t="s">
        <v>865</v>
      </c>
      <c r="F40" s="7" t="s">
        <v>715</v>
      </c>
      <c r="G40" s="7" t="s">
        <v>646</v>
      </c>
      <c r="H40" s="31">
        <v>1.034</v>
      </c>
      <c r="I40" s="8">
        <f>60/H40</f>
        <v>58.027079303675045</v>
      </c>
      <c r="J40" s="31" t="s">
        <v>110</v>
      </c>
      <c r="K40" s="32" t="s">
        <v>111</v>
      </c>
      <c r="L40" s="177"/>
      <c r="M40" t="s">
        <v>12</v>
      </c>
    </row>
    <row r="41" spans="5:13">
      <c r="E41" s="6" t="s">
        <v>866</v>
      </c>
      <c r="F41" s="7" t="s">
        <v>867</v>
      </c>
      <c r="G41" s="7" t="s">
        <v>646</v>
      </c>
      <c r="H41" s="31">
        <v>1.034</v>
      </c>
      <c r="I41" s="8">
        <f>60/H41</f>
        <v>58.027079303675045</v>
      </c>
      <c r="J41" s="31" t="s">
        <v>110</v>
      </c>
      <c r="K41" s="32" t="s">
        <v>111</v>
      </c>
      <c r="L41" s="177"/>
      <c r="M41" t="s">
        <v>12</v>
      </c>
    </row>
    <row r="42" spans="5:13">
      <c r="E42" s="6" t="s">
        <v>868</v>
      </c>
      <c r="F42" s="7" t="s">
        <v>717</v>
      </c>
      <c r="G42" s="7" t="s">
        <v>646</v>
      </c>
      <c r="H42" s="31">
        <v>0.93500000000000005</v>
      </c>
      <c r="I42" s="8">
        <f>60/H42</f>
        <v>64.171122994652407</v>
      </c>
      <c r="J42" s="31" t="s">
        <v>110</v>
      </c>
      <c r="K42" s="32" t="s">
        <v>111</v>
      </c>
      <c r="L42" s="177"/>
      <c r="M42" t="s">
        <v>12</v>
      </c>
    </row>
    <row r="43" spans="5:13">
      <c r="H43" s="11"/>
      <c r="I43" s="11"/>
      <c r="J43" s="11"/>
      <c r="K43" s="11"/>
      <c r="L43" s="11"/>
    </row>
    <row r="44" spans="5:13">
      <c r="H44" s="11"/>
      <c r="I44" s="11"/>
      <c r="J44" s="11"/>
      <c r="K44" s="11"/>
      <c r="L44" s="11"/>
    </row>
    <row r="45" spans="5:13">
      <c r="H45" s="11"/>
      <c r="I45" s="11"/>
      <c r="J45" s="11"/>
      <c r="K45" s="11"/>
      <c r="L4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2026-02-04T11:20:31Z</dcterms:created>
  <dcterms:modified xsi:type="dcterms:W3CDTF">2026-05-04T17:12:29Z</dcterms:modified>
  <cp:category/>
  <cp:contentStatus/>
</cp:coreProperties>
</file>