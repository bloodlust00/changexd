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Area" localSheetId="0">Sheet1!$A$1:$AA$92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4" i="1" l="1"/>
  <c r="R44" i="1"/>
  <c r="T36" i="1"/>
  <c r="X36" i="1"/>
  <c r="Y36" i="1" s="1"/>
  <c r="Z36" i="1" s="1"/>
  <c r="T35" i="1"/>
  <c r="X35" i="1"/>
  <c r="Y35" i="1" s="1"/>
  <c r="Z35" i="1" s="1"/>
  <c r="X31" i="1" l="1"/>
  <c r="Y31" i="1"/>
  <c r="Z31" i="1" s="1"/>
  <c r="X32" i="1"/>
  <c r="Y32" i="1" s="1"/>
  <c r="Z32" i="1" s="1"/>
  <c r="X33" i="1"/>
  <c r="Y33" i="1" s="1"/>
  <c r="Z33" i="1" s="1"/>
  <c r="X34" i="1"/>
  <c r="Y34" i="1" s="1"/>
  <c r="Z34" i="1" s="1"/>
  <c r="T34" i="1"/>
  <c r="T33" i="1"/>
  <c r="V32" i="1"/>
  <c r="V31" i="1"/>
  <c r="V30" i="1"/>
  <c r="V44" i="1" s="1"/>
  <c r="T29" i="1"/>
  <c r="AA82" i="1" l="1"/>
  <c r="R83" i="1"/>
  <c r="V85" i="1"/>
  <c r="T85" i="1"/>
  <c r="R27" i="1"/>
  <c r="R82" i="1"/>
  <c r="T68" i="1" l="1"/>
  <c r="T42" i="1"/>
  <c r="X42" i="1"/>
  <c r="Y42" i="1" s="1"/>
  <c r="Z42" i="1" s="1"/>
  <c r="T37" i="1"/>
  <c r="T44" i="1" s="1"/>
  <c r="T73" i="1"/>
  <c r="X81" i="1"/>
  <c r="Y81" i="1" s="1"/>
  <c r="Z81" i="1" s="1"/>
  <c r="X80" i="1"/>
  <c r="Y80" i="1" s="1"/>
  <c r="Z80" i="1" s="1"/>
  <c r="X79" i="1"/>
  <c r="Y79" i="1" s="1"/>
  <c r="Z79" i="1" s="1"/>
  <c r="X78" i="1"/>
  <c r="Y78" i="1" s="1"/>
  <c r="Z78" i="1" s="1"/>
  <c r="X77" i="1"/>
  <c r="Y77" i="1" s="1"/>
  <c r="Z77" i="1" s="1"/>
  <c r="X76" i="1"/>
  <c r="Y76" i="1" s="1"/>
  <c r="Z76" i="1" s="1"/>
  <c r="X75" i="1"/>
  <c r="Y75" i="1" s="1"/>
  <c r="Z75" i="1" s="1"/>
  <c r="X74" i="1"/>
  <c r="Y74" i="1" s="1"/>
  <c r="Z74" i="1" s="1"/>
  <c r="X73" i="1"/>
  <c r="Y73" i="1" s="1"/>
  <c r="Z73" i="1" s="1"/>
  <c r="X72" i="1"/>
  <c r="Y72" i="1" s="1"/>
  <c r="Z72" i="1" s="1"/>
  <c r="X69" i="1"/>
  <c r="Y69" i="1" s="1"/>
  <c r="Z69" i="1" s="1"/>
  <c r="X68" i="1"/>
  <c r="Y68" i="1" s="1"/>
  <c r="Z68" i="1" s="1"/>
  <c r="X67" i="1"/>
  <c r="Y67" i="1" s="1"/>
  <c r="Z67" i="1" s="1"/>
  <c r="X66" i="1"/>
  <c r="Y66" i="1" s="1"/>
  <c r="Z66" i="1" s="1"/>
  <c r="X63" i="1"/>
  <c r="Y63" i="1" s="1"/>
  <c r="Z63" i="1" s="1"/>
  <c r="X62" i="1"/>
  <c r="Y62" i="1" s="1"/>
  <c r="Z62" i="1" s="1"/>
  <c r="X61" i="1"/>
  <c r="Y61" i="1" s="1"/>
  <c r="Z61" i="1" s="1"/>
  <c r="X60" i="1"/>
  <c r="Y60" i="1" s="1"/>
  <c r="Z60" i="1" s="1"/>
  <c r="X59" i="1"/>
  <c r="Y59" i="1" s="1"/>
  <c r="Z59" i="1" s="1"/>
  <c r="X58" i="1"/>
  <c r="Y58" i="1" s="1"/>
  <c r="Z58" i="1" s="1"/>
  <c r="X57" i="1"/>
  <c r="Y57" i="1" s="1"/>
  <c r="Z57" i="1" s="1"/>
  <c r="X56" i="1"/>
  <c r="Y56" i="1" s="1"/>
  <c r="Z56" i="1" s="1"/>
  <c r="X55" i="1"/>
  <c r="Y55" i="1" s="1"/>
  <c r="Z55" i="1" s="1"/>
  <c r="X52" i="1"/>
  <c r="Y52" i="1" s="1"/>
  <c r="Z52" i="1" s="1"/>
  <c r="X51" i="1"/>
  <c r="Y51" i="1" s="1"/>
  <c r="Z51" i="1" s="1"/>
  <c r="X50" i="1"/>
  <c r="Y50" i="1" s="1"/>
  <c r="Z50" i="1" s="1"/>
  <c r="X49" i="1"/>
  <c r="Y49" i="1" s="1"/>
  <c r="Z49" i="1" s="1"/>
  <c r="X48" i="1"/>
  <c r="Y48" i="1" s="1"/>
  <c r="Z48" i="1" s="1"/>
  <c r="X47" i="1"/>
  <c r="Y47" i="1" s="1"/>
  <c r="Z47" i="1" s="1"/>
  <c r="X46" i="1"/>
  <c r="Y46" i="1" s="1"/>
  <c r="Z46" i="1" s="1"/>
  <c r="X30" i="1"/>
  <c r="Y30" i="1" s="1"/>
  <c r="Z30" i="1" s="1"/>
  <c r="X37" i="1"/>
  <c r="Y37" i="1" s="1"/>
  <c r="Z37" i="1" s="1"/>
  <c r="X38" i="1"/>
  <c r="Y38" i="1" s="1"/>
  <c r="Z38" i="1" s="1"/>
  <c r="X39" i="1"/>
  <c r="Y39" i="1"/>
  <c r="Z39" i="1" s="1"/>
  <c r="X40" i="1"/>
  <c r="Y40" i="1" s="1"/>
  <c r="Z40" i="1" s="1"/>
  <c r="X41" i="1"/>
  <c r="Y41" i="1" s="1"/>
  <c r="Z41" i="1" s="1"/>
  <c r="X43" i="1"/>
  <c r="Y43" i="1" s="1"/>
  <c r="Z43" i="1" s="1"/>
  <c r="X29" i="1"/>
  <c r="Y29" i="1" s="1"/>
  <c r="Z29" i="1" s="1"/>
  <c r="X12" i="1"/>
  <c r="Y12" i="1" s="1"/>
  <c r="Z12" i="1" s="1"/>
  <c r="X13" i="1"/>
  <c r="Y13" i="1" s="1"/>
  <c r="Z13" i="1" s="1"/>
  <c r="X14" i="1"/>
  <c r="Y14" i="1" s="1"/>
  <c r="Z14" i="1" s="1"/>
  <c r="X15" i="1"/>
  <c r="Y15" i="1" s="1"/>
  <c r="Z15" i="1" s="1"/>
  <c r="X16" i="1"/>
  <c r="Y16" i="1" s="1"/>
  <c r="Z16" i="1" s="1"/>
  <c r="X17" i="1"/>
  <c r="Y17" i="1" s="1"/>
  <c r="Z17" i="1" s="1"/>
  <c r="X18" i="1"/>
  <c r="Y18" i="1" s="1"/>
  <c r="Z18" i="1" s="1"/>
  <c r="X19" i="1"/>
  <c r="Y19" i="1" s="1"/>
  <c r="Z19" i="1" s="1"/>
  <c r="X20" i="1"/>
  <c r="Y20" i="1" s="1"/>
  <c r="Z20" i="1" s="1"/>
  <c r="X21" i="1"/>
  <c r="Y21" i="1" s="1"/>
  <c r="Z21" i="1" s="1"/>
  <c r="X22" i="1"/>
  <c r="Y22" i="1" s="1"/>
  <c r="Z22" i="1" s="1"/>
  <c r="X23" i="1"/>
  <c r="Y23" i="1" s="1"/>
  <c r="Z23" i="1" s="1"/>
  <c r="X24" i="1"/>
  <c r="Y24" i="1" s="1"/>
  <c r="Z24" i="1" s="1"/>
  <c r="X25" i="1"/>
  <c r="Y25" i="1" s="1"/>
  <c r="Z25" i="1" s="1"/>
  <c r="X26" i="1"/>
  <c r="Y26" i="1"/>
  <c r="Z26" i="1" s="1"/>
  <c r="T50" i="1" l="1"/>
  <c r="T83" i="1" s="1"/>
  <c r="AA64" i="1"/>
  <c r="R64" i="1"/>
  <c r="V64" i="1" l="1"/>
  <c r="V83" i="1"/>
  <c r="AA70" i="1"/>
  <c r="V70" i="1"/>
  <c r="T70" i="1"/>
  <c r="R70" i="1"/>
  <c r="T64" i="1" l="1"/>
  <c r="AA27" i="1" l="1"/>
  <c r="T86" i="1"/>
  <c r="V86" i="1" s="1"/>
  <c r="T89" i="1" l="1"/>
  <c r="T90" i="1" s="1"/>
  <c r="V89" i="1" l="1"/>
  <c r="V90" i="1" s="1"/>
  <c r="R90" i="1" s="1"/>
  <c r="T82" i="1"/>
  <c r="V82" i="1"/>
  <c r="AA53" i="1"/>
  <c r="T53" i="1"/>
  <c r="V53" i="1"/>
  <c r="R53" i="1"/>
  <c r="T27" i="1"/>
  <c r="V27" i="1"/>
  <c r="AA83" i="1" l="1"/>
</calcChain>
</file>

<file path=xl/sharedStrings.xml><?xml version="1.0" encoding="utf-8"?>
<sst xmlns="http://schemas.openxmlformats.org/spreadsheetml/2006/main" count="228" uniqueCount="130">
  <si>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</si>
  <si>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</si>
  <si>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</si>
  <si>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</si>
  <si>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</si>
  <si>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</si>
  <si>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</si>
  <si>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</si>
  <si>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</si>
  <si>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</si>
  <si>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</si>
  <si>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</si>
  <si>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</si>
  <si>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</si>
  <si>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</si>
  <si>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</si>
  <si>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</si>
  <si>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</si>
  <si>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</si>
  <si>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</si>
  <si>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</si>
  <si>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</si>
  <si>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</si>
  <si>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</si>
  <si>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SNLS</t>
  </si>
  <si>
    <t>N/A</t>
  </si>
  <si>
    <t>Helper Table</t>
  </si>
  <si>
    <t>Iron Table</t>
  </si>
  <si>
    <t>Run Collar- fusible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</si>
  <si>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</si>
  <si>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</si>
  <si>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</si>
  <si>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</si>
  <si>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</si>
  <si>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</si>
  <si>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</si>
  <si>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Tape attach at band</t>
  </si>
  <si>
    <t>Pick turn</t>
  </si>
  <si>
    <t>Turning M/C</t>
  </si>
  <si>
    <t>Pick iron</t>
  </si>
  <si>
    <t>Neck band edge stitch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</si>
  <si>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</si>
  <si>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</si>
  <si>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</si>
  <si>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</si>
  <si>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</si>
  <si>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</si>
  <si>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</si>
  <si>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</si>
  <si>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Button button hole X 5</t>
  </si>
  <si>
    <t>B/Hole M/C</t>
  </si>
  <si>
    <t>Button M/C</t>
  </si>
  <si>
    <t>Extra button sew X 2</t>
  </si>
  <si>
    <t>Wash care label attach</t>
  </si>
  <si>
    <t>Pairing</t>
  </si>
  <si>
    <t>Sleeve</t>
  </si>
  <si>
    <t xml:space="preserve">Sew small sleeve placket </t>
  </si>
  <si>
    <t>12mm</t>
  </si>
  <si>
    <t>Sleeve tacking</t>
  </si>
  <si>
    <t>Press sleeve placket</t>
  </si>
  <si>
    <t>Rotary Fusing M/C</t>
  </si>
  <si>
    <t>30mm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</si>
  <si>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</si>
  <si>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</si>
  <si>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</si>
  <si>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</si>
  <si>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</si>
  <si>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</si>
  <si>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Run cuff - Round</t>
  </si>
  <si>
    <t>Cuff raw edge trimming-Round</t>
  </si>
  <si>
    <t>Cuff turning &amp; Shape-Round</t>
  </si>
  <si>
    <t>Cuff Blocking</t>
  </si>
  <si>
    <t>Blocking M/C</t>
  </si>
  <si>
    <t xml:space="preserve">Iron the cuff  </t>
  </si>
  <si>
    <t>Buttonhole on cuff X 1</t>
  </si>
  <si>
    <t>Button X1</t>
  </si>
  <si>
    <t>Back</t>
  </si>
  <si>
    <t>V Patch Iron</t>
  </si>
  <si>
    <t>Pattren Sewer M/C</t>
  </si>
  <si>
    <t>10mm</t>
  </si>
  <si>
    <t>V Patch Attach</t>
  </si>
  <si>
    <t>Assembly</t>
  </si>
  <si>
    <t>Hanger Loading</t>
  </si>
  <si>
    <t>DNCS</t>
  </si>
  <si>
    <t>1/4"</t>
  </si>
  <si>
    <t>Sleeve Top</t>
  </si>
  <si>
    <t>Side Seam</t>
  </si>
  <si>
    <t>FOA</t>
  </si>
  <si>
    <t>3/16"</t>
  </si>
  <si>
    <t xml:space="preserve">Bottom hem </t>
  </si>
  <si>
    <t>Total SMV</t>
  </si>
  <si>
    <t>Fabric allowance</t>
  </si>
  <si>
    <t>SPI allowance</t>
  </si>
  <si>
    <t>Quantity allowance</t>
  </si>
  <si>
    <t>Size allowance</t>
  </si>
  <si>
    <t>Total allowance</t>
  </si>
  <si>
    <t>Total SMV with Allowances</t>
  </si>
  <si>
    <t>TOMMY EUROPE/Kids</t>
  </si>
  <si>
    <t>Top stitch cuff fused-Open-Round</t>
  </si>
  <si>
    <t>Sleeve Pleat &amp; trim</t>
  </si>
  <si>
    <t>Neck band hem with tape</t>
  </si>
  <si>
    <t>Neckband attach</t>
  </si>
  <si>
    <t>Pick attach</t>
  </si>
  <si>
    <t>Collar attach</t>
  </si>
  <si>
    <t>Collar finish</t>
  </si>
  <si>
    <t>Sleeve attach</t>
  </si>
  <si>
    <t>Bottom serging</t>
  </si>
  <si>
    <t>Cuff attach</t>
  </si>
  <si>
    <t>Right Placket hem</t>
  </si>
  <si>
    <t>Mex size label attach</t>
  </si>
  <si>
    <t>Button sew front X 5</t>
  </si>
  <si>
    <t xml:space="preserve">Sew Main Label with Size Lable-4 Side  </t>
  </si>
  <si>
    <t>SPI-16</t>
  </si>
  <si>
    <t>Collar button down hole,Tape Attach @ Neck band, round neckband, Self Fold Iron,Manual Jet Sew,single round Open cuff 1 bttn 1 B/H, side seam -FOA, 3 mm stitch at shoulder, 1mm top stitch on yoke,Horizontal button hole, EMB @ chest, V Patch @ Back,Center Pleat</t>
  </si>
  <si>
    <t>40s Poplin Y/D  TWAIN STRETCH PEACHED (OP) /96% BETTER COTTON 4% ELASTANE</t>
  </si>
  <si>
    <t>KB0KB10566 / POPLIN GRAPHIC STRIPE SHIRT LS</t>
  </si>
  <si>
    <t xml:space="preserve">SUPF 26 </t>
  </si>
  <si>
    <t>Shoulder join</t>
  </si>
  <si>
    <t>Cut &amp; Sew Placket</t>
  </si>
  <si>
    <t>Kansai</t>
  </si>
  <si>
    <t>28mm</t>
  </si>
  <si>
    <t>Neck trim</t>
  </si>
  <si>
    <t>Pocket marking</t>
  </si>
  <si>
    <t>Pocket Iron</t>
  </si>
  <si>
    <t>Pocket hem</t>
  </si>
  <si>
    <t>Pocket Attach</t>
  </si>
  <si>
    <t>Pocket top stitch</t>
  </si>
  <si>
    <t>Bartack M/C</t>
  </si>
  <si>
    <t>Pocket Bartack X 2</t>
  </si>
  <si>
    <t>Yoke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</si>
</sst>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7">
    <font>
      <sz val="11"/>
      <color theme="1"/>
      <name val="Calibri"/>
      <family val="2"/>
      <scheme val="minor"/>
    </font>
    <font>
      <b/>
      <sz val="26"/>
      <color rgb="FF000000"/>
      <name val="Calibri Light"/>
      <family val="2"/>
    </font>
    <font>
      <sz val="26"/>
      <color rgb="FF000000"/>
      <name val="Calibri"/>
      <family val="2"/>
      <scheme val="minor"/>
    </font>
    <font>
      <sz val="26"/>
      <color rgb="FF000000"/>
      <name val="Aptos Narrow"/>
      <family val="2"/>
    </font>
    <font>
      <sz val="26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26"/>
      <color rgb="FF151616"/>
      <name val="TimesNewRomanPS-BoldMT"/>
      <charset val="1"/>
    </font>
    <font>
      <u/>
      <sz val="26"/>
      <color rgb="FF000000"/>
      <name val="Calibri"/>
      <family val="2"/>
      <scheme val="minor"/>
    </font>
    <font>
      <sz val="26"/>
      <color rgb="FF000000"/>
      <name val="Times New Roman"/>
      <family val="1"/>
    </font>
    <font>
      <sz val="26"/>
      <name val="Arial"/>
      <family val="2"/>
    </font>
    <font>
      <b/>
      <sz val="26"/>
      <name val="Times New Roman"/>
      <family val="1"/>
    </font>
    <font>
      <b/>
      <sz val="26"/>
      <color rgb="FF000000"/>
      <name val="Aptos Narrow"/>
      <family val="2"/>
    </font>
    <font>
      <sz val="26"/>
      <color rgb="FF000000"/>
      <name val="Aptos"/>
      <charset val="1"/>
    </font>
    <font>
      <sz val="26"/>
      <color rgb="FF000000"/>
      <name val="Calibri Light"/>
      <family val="2"/>
    </font>
    <font>
      <b/>
      <sz val="26"/>
      <color rgb="FF000000"/>
      <name val="Times New Roman"/>
      <family val="1"/>
    </font>
    <font>
      <b/>
      <sz val="28"/>
      <name val="Times New Roman"/>
      <family val="1"/>
    </font>
    <font>
      <sz val="2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3" fillId="0" borderId="5" xfId="0" applyFont="1" applyBorder="1" applyAlignment="1">
      <alignment horizontal="center" vertical="center"/>
    </xf>
    <xf numFmtId="0" fontId="9" fillId="2" borderId="0" xfId="0" applyFont="1" applyFill="1"/>
    <xf numFmtId="0" fontId="11" fillId="0" borderId="11" xfId="0" applyFont="1" applyBorder="1" applyAlignment="1">
      <alignment horizontal="center" vertical="center"/>
    </xf>
    <xf numFmtId="0" fontId="2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2" fillId="0" borderId="5" xfId="0" applyFont="1" applyBorder="1"/>
    <xf numFmtId="0" fontId="11" fillId="0" borderId="5" xfId="0" applyFont="1" applyBorder="1" applyAlignment="1">
      <alignment horizontal="center" vertical="center"/>
    </xf>
    <xf numFmtId="0" fontId="2" fillId="4" borderId="3" xfId="0" applyFont="1" applyFill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3" xfId="0" applyFont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3" fillId="0" borderId="0" xfId="0" applyFont="1" applyAlignment="1">
      <alignment vertical="center"/>
    </xf>
    <xf numFmtId="164" fontId="16" fillId="0" borderId="5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9" xfId="0" applyNumberFormat="1" applyFont="1" applyFill="1" applyBorder="1" applyAlignment="1">
      <alignment horizontal="left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2" fillId="2" borderId="9" xfId="0" applyFont="1" applyFill="1" applyBorder="1"/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9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2" fontId="10" fillId="2" borderId="10" xfId="0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left" wrapText="1"/>
    </xf>
    <xf numFmtId="0" fontId="12" fillId="2" borderId="7" xfId="0" applyFont="1" applyFill="1" applyBorder="1" applyAlignment="1">
      <alignment horizontal="left" wrapText="1"/>
    </xf>
    <xf numFmtId="0" fontId="12" fillId="2" borderId="8" xfId="0" applyFont="1" applyFill="1" applyBorder="1" applyAlignment="1">
      <alignment horizontal="left" wrapText="1"/>
    </xf>
    <xf numFmtId="0" fontId="8" fillId="2" borderId="24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9" fillId="2" borderId="9" xfId="0" applyFont="1" applyFill="1" applyBorder="1"/>
    <xf numFmtId="0" fontId="10" fillId="2" borderId="2" xfId="0" applyFont="1" applyFill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9" fillId="2" borderId="2" xfId="0" applyFont="1" applyFill="1" applyBorder="1"/>
    <xf numFmtId="0" fontId="8" fillId="2" borderId="2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1" fillId="4" borderId="21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2" fontId="15" fillId="2" borderId="4" xfId="0" applyNumberFormat="1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32" xfId="0" applyFont="1" applyFill="1" applyBorder="1" applyAlignment="1">
      <alignment horizontal="right"/>
    </xf>
    <xf numFmtId="0" fontId="10" fillId="2" borderId="6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9" fontId="14" fillId="2" borderId="6" xfId="0" applyNumberFormat="1" applyFont="1" applyFill="1" applyBorder="1" applyAlignment="1">
      <alignment horizontal="right"/>
    </xf>
    <xf numFmtId="9" fontId="14" fillId="2" borderId="7" xfId="0" applyNumberFormat="1" applyFont="1" applyFill="1" applyBorder="1" applyAlignment="1">
      <alignment horizontal="right"/>
    </xf>
    <xf numFmtId="9" fontId="14" fillId="2" borderId="8" xfId="0" applyNumberFormat="1" applyFont="1" applyFill="1" applyBorder="1" applyAlignment="1">
      <alignment horizontal="right"/>
    </xf>
    <xf numFmtId="9" fontId="2" fillId="2" borderId="6" xfId="0" applyNumberFormat="1" applyFont="1" applyFill="1" applyBorder="1" applyAlignment="1">
      <alignment horizontal="center"/>
    </xf>
    <xf numFmtId="9" fontId="2" fillId="2" borderId="8" xfId="0" applyNumberFormat="1" applyFont="1" applyFill="1" applyBorder="1" applyAlignment="1">
      <alignment horizontal="center"/>
    </xf>
    <xf numFmtId="0" fontId="3" fillId="0" borderId="3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tabSelected="1" view="pageBreakPreview" zoomScale="40" zoomScaleNormal="70" zoomScaleSheetLayoutView="40" workbookViewId="0">
      <selection activeCell="Y17" sqref="Y17"/>
    </sheetView>
  </sheetViews>
  <sheetFormatPr defaultRowHeight="33.75"/>
  <cols>
    <col min="1" max="1" width="9.140625" style="3"/>
    <col min="2" max="8" width="12.42578125" style="3" customWidth="1"/>
    <col min="9" max="9" width="16" style="3" customWidth="1"/>
    <col min="10" max="23" width="15.5703125" style="3" customWidth="1"/>
    <col min="24" max="24" width="37.42578125" style="3" bestFit="1" customWidth="1"/>
    <col min="25" max="25" width="30.85546875" style="3" bestFit="1" customWidth="1"/>
    <col min="26" max="26" width="28.5703125" style="3" customWidth="1"/>
    <col min="27" max="27" width="36.140625" style="3" customWidth="1"/>
    <col min="28" max="16384" width="9.140625" style="3"/>
  </cols>
  <sheetData>
    <row r="1" spans="1:29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1"/>
      <c r="Y1" s="1"/>
      <c r="Z1" s="1"/>
      <c r="AA1" s="1"/>
      <c r="AB1" s="2"/>
      <c r="AC1" s="2"/>
    </row>
    <row r="2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"/>
      <c r="Y2" s="1"/>
      <c r="Z2" s="1"/>
      <c r="AA2" s="1"/>
      <c r="AB2" s="2"/>
      <c r="AC2" s="2"/>
    </row>
    <row r="3" spans="1:29">
      <c r="A3" s="42" t="s">
        <v>1</v>
      </c>
      <c r="B3" s="42"/>
      <c r="C3" s="46" t="s">
        <v>97</v>
      </c>
      <c r="D3" s="46"/>
      <c r="E3" s="46"/>
      <c r="F3" s="46"/>
      <c r="G3" s="46"/>
      <c r="H3" s="47"/>
      <c r="I3" s="47"/>
      <c r="J3" s="42" t="s">
        <v>2</v>
      </c>
      <c r="K3" s="42"/>
      <c r="L3" s="48"/>
      <c r="M3" s="48"/>
      <c r="N3" s="48"/>
      <c r="O3" s="48"/>
      <c r="P3" s="48"/>
      <c r="Q3" s="5"/>
      <c r="R3" s="5"/>
      <c r="S3" s="42" t="s">
        <v>3</v>
      </c>
      <c r="T3" s="42"/>
      <c r="U3" s="49">
        <v>45873</v>
      </c>
      <c r="V3" s="49"/>
      <c r="W3" s="49"/>
      <c r="X3" s="1"/>
      <c r="Y3" s="1"/>
      <c r="Z3" s="1"/>
      <c r="AA3" s="1"/>
      <c r="AB3" s="2"/>
      <c r="AC3" s="2"/>
    </row>
    <row r="4" spans="1:29">
      <c r="A4" s="42"/>
      <c r="B4" s="42"/>
      <c r="C4" s="46"/>
      <c r="D4" s="46"/>
      <c r="E4" s="46"/>
      <c r="F4" s="46"/>
      <c r="G4" s="46"/>
      <c r="H4" s="47"/>
      <c r="I4" s="47"/>
      <c r="J4" s="42"/>
      <c r="K4" s="42"/>
      <c r="L4" s="6"/>
      <c r="M4" s="6"/>
      <c r="N4" s="6"/>
      <c r="O4" s="6"/>
      <c r="P4" s="6"/>
      <c r="Q4" s="6"/>
      <c r="R4" s="6"/>
      <c r="S4" s="42"/>
      <c r="T4" s="42"/>
      <c r="U4" s="49"/>
      <c r="V4" s="49"/>
      <c r="W4" s="49"/>
      <c r="X4" s="1"/>
      <c r="Y4" s="1"/>
      <c r="Z4" s="1"/>
      <c r="AA4" s="1"/>
      <c r="AB4" s="2"/>
      <c r="AC4" s="2"/>
    </row>
    <row r="5" spans="1:29">
      <c r="A5" s="42"/>
      <c r="B5" s="42"/>
      <c r="C5" s="46"/>
      <c r="D5" s="46"/>
      <c r="E5" s="46"/>
      <c r="F5" s="46"/>
      <c r="G5" s="46"/>
      <c r="H5" s="47"/>
      <c r="I5" s="47"/>
      <c r="J5" s="42"/>
      <c r="K5" s="42"/>
      <c r="L5" s="37" t="s">
        <v>115</v>
      </c>
      <c r="M5" s="6"/>
      <c r="N5" s="6"/>
      <c r="O5" s="6"/>
      <c r="P5" s="6"/>
      <c r="Q5" s="6"/>
      <c r="R5" s="6"/>
      <c r="S5" s="42"/>
      <c r="T5" s="42"/>
      <c r="U5" s="50"/>
      <c r="V5" s="50"/>
      <c r="W5" s="50"/>
      <c r="X5" s="7" t="s">
        <v>4</v>
      </c>
      <c r="Y5" s="8">
        <v>20</v>
      </c>
      <c r="Z5" s="7" t="s">
        <v>5</v>
      </c>
      <c r="AA5" s="8">
        <v>95</v>
      </c>
      <c r="AB5" s="2"/>
      <c r="AC5" s="2"/>
    </row>
    <row r="6" spans="1:29">
      <c r="A6" s="42" t="s">
        <v>6</v>
      </c>
      <c r="B6" s="42"/>
      <c r="C6" s="43" t="s">
        <v>116</v>
      </c>
      <c r="D6" s="43"/>
      <c r="E6" s="43"/>
      <c r="F6" s="43"/>
      <c r="G6" s="43"/>
      <c r="H6" s="5"/>
      <c r="I6" s="5"/>
      <c r="J6" s="42" t="s">
        <v>7</v>
      </c>
      <c r="K6" s="42"/>
      <c r="L6" s="44" t="s">
        <v>114</v>
      </c>
      <c r="M6" s="44"/>
      <c r="N6" s="44"/>
      <c r="O6" s="44"/>
      <c r="P6" s="44"/>
      <c r="Q6" s="5"/>
      <c r="R6" s="5"/>
      <c r="S6" s="42" t="s">
        <v>8</v>
      </c>
      <c r="T6" s="42"/>
      <c r="U6" s="44" t="s">
        <v>9</v>
      </c>
      <c r="V6" s="44"/>
      <c r="W6" s="44"/>
      <c r="X6" s="7" t="s">
        <v>10</v>
      </c>
      <c r="Y6" s="8">
        <v>1905</v>
      </c>
      <c r="Z6" s="7" t="s">
        <v>11</v>
      </c>
      <c r="AA6" s="8">
        <v>212</v>
      </c>
      <c r="AB6" s="2"/>
      <c r="AC6" s="2"/>
    </row>
    <row r="7" spans="1:29">
      <c r="A7" s="9"/>
      <c r="B7" s="9"/>
      <c r="C7" s="6"/>
      <c r="D7" s="6"/>
      <c r="E7" s="6"/>
      <c r="F7" s="6"/>
      <c r="G7" s="6"/>
      <c r="H7" s="5"/>
      <c r="I7" s="5"/>
      <c r="J7" s="9"/>
      <c r="K7" s="9"/>
      <c r="L7" s="6"/>
      <c r="M7" s="6"/>
      <c r="N7" s="6"/>
      <c r="O7" s="6"/>
      <c r="P7" s="6"/>
      <c r="Q7" s="5"/>
      <c r="R7" s="5"/>
      <c r="S7" s="9"/>
      <c r="T7" s="9"/>
      <c r="U7" s="6"/>
      <c r="V7" s="6"/>
      <c r="W7" s="6"/>
      <c r="X7" s="1"/>
      <c r="Y7" s="1"/>
      <c r="Z7" s="1"/>
      <c r="AA7" s="1"/>
      <c r="AB7" s="2"/>
      <c r="AC7" s="2"/>
    </row>
    <row r="8" spans="1:29" ht="28.5" customHeight="1">
      <c r="A8" s="42" t="s">
        <v>12</v>
      </c>
      <c r="B8" s="42"/>
      <c r="C8" s="42"/>
      <c r="D8" s="59" t="s">
        <v>113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2"/>
      <c r="AC8" s="2"/>
    </row>
    <row r="9" spans="1:29">
      <c r="A9" s="9"/>
      <c r="B9" s="9"/>
      <c r="C9" s="6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2"/>
      <c r="AC9" s="2"/>
    </row>
    <row r="10" spans="1:29">
      <c r="A10" s="60"/>
      <c r="B10" s="6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"/>
      <c r="Y10" s="1"/>
      <c r="Z10" s="1"/>
      <c r="AA10" s="1"/>
      <c r="AB10" s="2"/>
      <c r="AC10" s="2"/>
    </row>
    <row r="11" spans="1:29" ht="90" customHeight="1">
      <c r="A11" s="10" t="s">
        <v>13</v>
      </c>
      <c r="B11" s="61" t="s">
        <v>14</v>
      </c>
      <c r="C11" s="62"/>
      <c r="D11" s="62"/>
      <c r="E11" s="62"/>
      <c r="F11" s="62"/>
      <c r="G11" s="62"/>
      <c r="H11" s="62"/>
      <c r="I11" s="63"/>
      <c r="J11" s="61" t="s">
        <v>15</v>
      </c>
      <c r="K11" s="62"/>
      <c r="L11" s="62"/>
      <c r="M11" s="63"/>
      <c r="N11" s="61" t="s">
        <v>16</v>
      </c>
      <c r="O11" s="62"/>
      <c r="P11" s="62"/>
      <c r="Q11" s="63"/>
      <c r="R11" s="61" t="s">
        <v>17</v>
      </c>
      <c r="S11" s="63"/>
      <c r="T11" s="61" t="s">
        <v>18</v>
      </c>
      <c r="U11" s="63"/>
      <c r="V11" s="61" t="s">
        <v>19</v>
      </c>
      <c r="W11" s="64"/>
      <c r="X11" s="11" t="s">
        <v>20</v>
      </c>
      <c r="Y11" s="11" t="s">
        <v>21</v>
      </c>
      <c r="Z11" s="11" t="s">
        <v>22</v>
      </c>
      <c r="AA11" s="11" t="s">
        <v>23</v>
      </c>
      <c r="AB11" s="2"/>
      <c r="AC11" s="2"/>
    </row>
    <row r="12" spans="1:29" ht="41.25" customHeight="1">
      <c r="A12" s="12">
        <v>1</v>
      </c>
      <c r="B12" s="51" t="s">
        <v>28</v>
      </c>
      <c r="C12" s="52"/>
      <c r="D12" s="52"/>
      <c r="E12" s="52"/>
      <c r="F12" s="52"/>
      <c r="G12" s="52"/>
      <c r="H12" s="52"/>
      <c r="I12" s="53"/>
      <c r="J12" s="54" t="s">
        <v>24</v>
      </c>
      <c r="K12" s="55"/>
      <c r="L12" s="55"/>
      <c r="M12" s="56"/>
      <c r="N12" s="54" t="s">
        <v>25</v>
      </c>
      <c r="O12" s="55"/>
      <c r="P12" s="55"/>
      <c r="Q12" s="56"/>
      <c r="R12" s="57">
        <v>0.52</v>
      </c>
      <c r="S12" s="58"/>
      <c r="T12" s="57">
        <v>0.52</v>
      </c>
      <c r="U12" s="58"/>
      <c r="V12" s="57"/>
      <c r="W12" s="58"/>
      <c r="X12" s="39">
        <f t="shared" ref="X12:X26" si="0">60/R12</f>
        <v>115.38461538461539</v>
      </c>
      <c r="Y12" s="39">
        <f t="shared" ref="Y12:Y26" si="1">X12*0.95</f>
        <v>109.61538461538461</v>
      </c>
      <c r="Z12" s="40">
        <f>AA$6/Y12</f>
        <v>1.9340350877192982</v>
      </c>
      <c r="AA12" s="13">
        <v>2</v>
      </c>
      <c r="AB12" s="2"/>
      <c r="AC12" s="2"/>
    </row>
    <row r="13" spans="1:29" ht="41.25" customHeight="1">
      <c r="A13" s="12">
        <v>2</v>
      </c>
      <c r="B13" s="51" t="s">
        <v>29</v>
      </c>
      <c r="C13" s="52"/>
      <c r="D13" s="52"/>
      <c r="E13" s="52"/>
      <c r="F13" s="52"/>
      <c r="G13" s="52"/>
      <c r="H13" s="52"/>
      <c r="I13" s="53"/>
      <c r="J13" s="54" t="s">
        <v>30</v>
      </c>
      <c r="K13" s="55"/>
      <c r="L13" s="55"/>
      <c r="M13" s="56"/>
      <c r="N13" s="54" t="s">
        <v>25</v>
      </c>
      <c r="O13" s="55"/>
      <c r="P13" s="55"/>
      <c r="Q13" s="56"/>
      <c r="R13" s="57">
        <v>0.24</v>
      </c>
      <c r="S13" s="58"/>
      <c r="T13" s="57"/>
      <c r="U13" s="58"/>
      <c r="V13" s="57">
        <v>0.24</v>
      </c>
      <c r="W13" s="58"/>
      <c r="X13" s="39">
        <f t="shared" si="0"/>
        <v>250</v>
      </c>
      <c r="Y13" s="39">
        <f t="shared" si="1"/>
        <v>237.5</v>
      </c>
      <c r="Z13" s="40">
        <f t="shared" ref="Z13:Z26" si="2">AA$6/Y13</f>
        <v>0.89263157894736844</v>
      </c>
      <c r="AA13" s="13">
        <v>1</v>
      </c>
      <c r="AB13" s="2"/>
      <c r="AC13" s="2"/>
    </row>
    <row r="14" spans="1:29" ht="41.25" customHeight="1">
      <c r="A14" s="12">
        <v>3</v>
      </c>
      <c r="B14" s="51" t="s">
        <v>31</v>
      </c>
      <c r="C14" s="52"/>
      <c r="D14" s="52"/>
      <c r="E14" s="52"/>
      <c r="F14" s="52"/>
      <c r="G14" s="52"/>
      <c r="H14" s="52"/>
      <c r="I14" s="53"/>
      <c r="J14" s="54" t="s">
        <v>24</v>
      </c>
      <c r="K14" s="55"/>
      <c r="L14" s="55"/>
      <c r="M14" s="56"/>
      <c r="N14" s="54" t="s">
        <v>25</v>
      </c>
      <c r="O14" s="55"/>
      <c r="P14" s="55"/>
      <c r="Q14" s="56"/>
      <c r="R14" s="57">
        <v>0.4</v>
      </c>
      <c r="S14" s="58"/>
      <c r="T14" s="57">
        <v>0.4</v>
      </c>
      <c r="U14" s="58"/>
      <c r="V14" s="57"/>
      <c r="W14" s="58"/>
      <c r="X14" s="39">
        <f t="shared" si="0"/>
        <v>150</v>
      </c>
      <c r="Y14" s="39">
        <f t="shared" si="1"/>
        <v>142.5</v>
      </c>
      <c r="Z14" s="40">
        <f t="shared" si="2"/>
        <v>1.487719298245614</v>
      </c>
      <c r="AA14" s="13">
        <v>1.5</v>
      </c>
      <c r="AB14" s="2"/>
      <c r="AC14" s="2"/>
    </row>
    <row r="15" spans="1:29" ht="41.25" customHeight="1">
      <c r="A15" s="12">
        <v>4</v>
      </c>
      <c r="B15" s="51" t="s">
        <v>32</v>
      </c>
      <c r="C15" s="52"/>
      <c r="D15" s="52"/>
      <c r="E15" s="52"/>
      <c r="F15" s="52"/>
      <c r="G15" s="52"/>
      <c r="H15" s="52"/>
      <c r="I15" s="53"/>
      <c r="J15" s="54" t="s">
        <v>33</v>
      </c>
      <c r="K15" s="55"/>
      <c r="L15" s="55"/>
      <c r="M15" s="56"/>
      <c r="N15" s="54" t="s">
        <v>25</v>
      </c>
      <c r="O15" s="55"/>
      <c r="P15" s="55"/>
      <c r="Q15" s="56"/>
      <c r="R15" s="57">
        <v>0.15</v>
      </c>
      <c r="S15" s="58"/>
      <c r="T15" s="57"/>
      <c r="U15" s="58"/>
      <c r="V15" s="57">
        <v>0.15</v>
      </c>
      <c r="W15" s="58"/>
      <c r="X15" s="39">
        <f t="shared" si="0"/>
        <v>400</v>
      </c>
      <c r="Y15" s="39">
        <f t="shared" si="1"/>
        <v>380</v>
      </c>
      <c r="Z15" s="40">
        <f t="shared" si="2"/>
        <v>0.55789473684210522</v>
      </c>
      <c r="AA15" s="13">
        <v>1</v>
      </c>
      <c r="AB15" s="2"/>
      <c r="AC15" s="2"/>
    </row>
    <row r="16" spans="1:29" ht="41.25" customHeight="1">
      <c r="A16" s="12">
        <v>5</v>
      </c>
      <c r="B16" s="51" t="s">
        <v>34</v>
      </c>
      <c r="C16" s="52"/>
      <c r="D16" s="52"/>
      <c r="E16" s="52"/>
      <c r="F16" s="52"/>
      <c r="G16" s="52"/>
      <c r="H16" s="52"/>
      <c r="I16" s="53"/>
      <c r="J16" s="54" t="s">
        <v>24</v>
      </c>
      <c r="K16" s="55"/>
      <c r="L16" s="55"/>
      <c r="M16" s="56"/>
      <c r="N16" s="54" t="s">
        <v>35</v>
      </c>
      <c r="O16" s="55"/>
      <c r="P16" s="55"/>
      <c r="Q16" s="56"/>
      <c r="R16" s="57">
        <v>0.21</v>
      </c>
      <c r="S16" s="58"/>
      <c r="T16" s="57">
        <v>0.21</v>
      </c>
      <c r="U16" s="58"/>
      <c r="V16" s="57"/>
      <c r="W16" s="58"/>
      <c r="X16" s="39">
        <f t="shared" si="0"/>
        <v>285.71428571428572</v>
      </c>
      <c r="Y16" s="39">
        <f t="shared" si="1"/>
        <v>271.42857142857144</v>
      </c>
      <c r="Z16" s="40">
        <f t="shared" si="2"/>
        <v>0.78105263157894733</v>
      </c>
      <c r="AA16" s="13">
        <v>1</v>
      </c>
      <c r="AB16" s="2"/>
      <c r="AC16" s="2"/>
    </row>
    <row r="17" spans="1:29" ht="41.25" customHeight="1">
      <c r="A17" s="12">
        <v>6</v>
      </c>
      <c r="B17" s="51" t="s">
        <v>36</v>
      </c>
      <c r="C17" s="52"/>
      <c r="D17" s="52"/>
      <c r="E17" s="52"/>
      <c r="F17" s="52"/>
      <c r="G17" s="52"/>
      <c r="H17" s="52"/>
      <c r="I17" s="53"/>
      <c r="J17" s="54" t="s">
        <v>24</v>
      </c>
      <c r="K17" s="55"/>
      <c r="L17" s="55"/>
      <c r="M17" s="56"/>
      <c r="N17" s="54" t="s">
        <v>25</v>
      </c>
      <c r="O17" s="55"/>
      <c r="P17" s="55"/>
      <c r="Q17" s="56"/>
      <c r="R17" s="57">
        <v>0.34</v>
      </c>
      <c r="S17" s="58"/>
      <c r="T17" s="57">
        <v>0.34</v>
      </c>
      <c r="U17" s="58"/>
      <c r="V17" s="57"/>
      <c r="W17" s="58"/>
      <c r="X17" s="39">
        <f t="shared" si="0"/>
        <v>176.47058823529412</v>
      </c>
      <c r="Y17" s="39">
        <f t="shared" si="1"/>
        <v>167.64705882352939</v>
      </c>
      <c r="Z17" s="40">
        <f t="shared" si="2"/>
        <v>1.264561403508772</v>
      </c>
      <c r="AA17" s="13">
        <v>1</v>
      </c>
      <c r="AB17" s="2"/>
      <c r="AC17" s="2"/>
    </row>
    <row r="18" spans="1:29" ht="41.25" customHeight="1">
      <c r="A18" s="12">
        <v>7</v>
      </c>
      <c r="B18" s="51" t="s">
        <v>100</v>
      </c>
      <c r="C18" s="52"/>
      <c r="D18" s="52"/>
      <c r="E18" s="52"/>
      <c r="F18" s="52"/>
      <c r="G18" s="52"/>
      <c r="H18" s="52"/>
      <c r="I18" s="53"/>
      <c r="J18" s="54" t="s">
        <v>24</v>
      </c>
      <c r="K18" s="55"/>
      <c r="L18" s="55"/>
      <c r="M18" s="56"/>
      <c r="N18" s="54" t="s">
        <v>25</v>
      </c>
      <c r="O18" s="55"/>
      <c r="P18" s="55"/>
      <c r="Q18" s="56"/>
      <c r="R18" s="57">
        <v>0.3</v>
      </c>
      <c r="S18" s="58"/>
      <c r="T18" s="57">
        <v>0.3</v>
      </c>
      <c r="U18" s="58"/>
      <c r="V18" s="57"/>
      <c r="W18" s="58"/>
      <c r="X18" s="39">
        <f t="shared" si="0"/>
        <v>200</v>
      </c>
      <c r="Y18" s="39">
        <f t="shared" si="1"/>
        <v>190</v>
      </c>
      <c r="Z18" s="40">
        <f t="shared" si="2"/>
        <v>1.1157894736842104</v>
      </c>
      <c r="AA18" s="13">
        <v>1</v>
      </c>
      <c r="AB18" s="2"/>
      <c r="AC18" s="2"/>
    </row>
    <row r="19" spans="1:29" ht="41.25" customHeight="1">
      <c r="A19" s="12">
        <v>8</v>
      </c>
      <c r="B19" s="51" t="s">
        <v>101</v>
      </c>
      <c r="C19" s="52"/>
      <c r="D19" s="52"/>
      <c r="E19" s="52"/>
      <c r="F19" s="52"/>
      <c r="G19" s="52"/>
      <c r="H19" s="52"/>
      <c r="I19" s="53"/>
      <c r="J19" s="54" t="s">
        <v>24</v>
      </c>
      <c r="K19" s="55"/>
      <c r="L19" s="55"/>
      <c r="M19" s="56"/>
      <c r="N19" s="54" t="s">
        <v>25</v>
      </c>
      <c r="O19" s="55"/>
      <c r="P19" s="55"/>
      <c r="Q19" s="56"/>
      <c r="R19" s="57">
        <v>0.5</v>
      </c>
      <c r="S19" s="58"/>
      <c r="T19" s="57">
        <v>0.5</v>
      </c>
      <c r="U19" s="58"/>
      <c r="V19" s="57"/>
      <c r="W19" s="58"/>
      <c r="X19" s="39">
        <f t="shared" si="0"/>
        <v>120</v>
      </c>
      <c r="Y19" s="39">
        <f t="shared" si="1"/>
        <v>114</v>
      </c>
      <c r="Z19" s="40">
        <f t="shared" si="2"/>
        <v>1.8596491228070176</v>
      </c>
      <c r="AA19" s="13">
        <v>2</v>
      </c>
      <c r="AB19" s="2"/>
      <c r="AC19" s="2"/>
    </row>
    <row r="20" spans="1:29" ht="41.25" customHeight="1">
      <c r="A20" s="12">
        <v>9</v>
      </c>
      <c r="B20" s="51" t="s">
        <v>102</v>
      </c>
      <c r="C20" s="52"/>
      <c r="D20" s="52"/>
      <c r="E20" s="52"/>
      <c r="F20" s="52"/>
      <c r="G20" s="52"/>
      <c r="H20" s="52"/>
      <c r="I20" s="53"/>
      <c r="J20" s="54" t="s">
        <v>24</v>
      </c>
      <c r="K20" s="55"/>
      <c r="L20" s="55"/>
      <c r="M20" s="56"/>
      <c r="N20" s="54" t="s">
        <v>25</v>
      </c>
      <c r="O20" s="55"/>
      <c r="P20" s="55"/>
      <c r="Q20" s="56"/>
      <c r="R20" s="57">
        <v>0.5</v>
      </c>
      <c r="S20" s="58"/>
      <c r="T20" s="57">
        <v>0.5</v>
      </c>
      <c r="U20" s="58"/>
      <c r="V20" s="57"/>
      <c r="W20" s="58"/>
      <c r="X20" s="39">
        <f t="shared" si="0"/>
        <v>120</v>
      </c>
      <c r="Y20" s="39">
        <f t="shared" si="1"/>
        <v>114</v>
      </c>
      <c r="Z20" s="40">
        <f t="shared" si="2"/>
        <v>1.8596491228070176</v>
      </c>
      <c r="AA20" s="13">
        <v>2</v>
      </c>
      <c r="AB20" s="2"/>
      <c r="AC20" s="2"/>
    </row>
    <row r="21" spans="1:29" ht="41.25" customHeight="1">
      <c r="A21" s="12">
        <v>10</v>
      </c>
      <c r="B21" s="51" t="s">
        <v>37</v>
      </c>
      <c r="C21" s="52"/>
      <c r="D21" s="52"/>
      <c r="E21" s="52"/>
      <c r="F21" s="52"/>
      <c r="G21" s="52"/>
      <c r="H21" s="52"/>
      <c r="I21" s="53"/>
      <c r="J21" s="54" t="s">
        <v>38</v>
      </c>
      <c r="K21" s="55"/>
      <c r="L21" s="55"/>
      <c r="M21" s="56"/>
      <c r="N21" s="54" t="s">
        <v>25</v>
      </c>
      <c r="O21" s="55"/>
      <c r="P21" s="55"/>
      <c r="Q21" s="56"/>
      <c r="R21" s="57">
        <v>0.25</v>
      </c>
      <c r="S21" s="58"/>
      <c r="T21" s="57"/>
      <c r="U21" s="58"/>
      <c r="V21" s="57">
        <v>0.25</v>
      </c>
      <c r="W21" s="58"/>
      <c r="X21" s="39">
        <f t="shared" si="0"/>
        <v>240</v>
      </c>
      <c r="Y21" s="39">
        <f t="shared" si="1"/>
        <v>228</v>
      </c>
      <c r="Z21" s="40">
        <f t="shared" si="2"/>
        <v>0.92982456140350878</v>
      </c>
      <c r="AA21" s="13">
        <v>1</v>
      </c>
      <c r="AB21" s="2"/>
      <c r="AC21" s="2"/>
    </row>
    <row r="22" spans="1:29" ht="41.25" customHeight="1">
      <c r="A22" s="12">
        <v>11</v>
      </c>
      <c r="B22" s="51" t="s">
        <v>39</v>
      </c>
      <c r="C22" s="52"/>
      <c r="D22" s="52"/>
      <c r="E22" s="52"/>
      <c r="F22" s="52"/>
      <c r="G22" s="52"/>
      <c r="H22" s="52"/>
      <c r="I22" s="53"/>
      <c r="J22" s="54" t="s">
        <v>27</v>
      </c>
      <c r="K22" s="55"/>
      <c r="L22" s="55"/>
      <c r="M22" s="56"/>
      <c r="N22" s="54" t="s">
        <v>25</v>
      </c>
      <c r="O22" s="55"/>
      <c r="P22" s="55"/>
      <c r="Q22" s="56"/>
      <c r="R22" s="65">
        <v>0.25</v>
      </c>
      <c r="S22" s="66"/>
      <c r="T22" s="57"/>
      <c r="U22" s="58"/>
      <c r="V22" s="57">
        <v>0.25</v>
      </c>
      <c r="W22" s="58"/>
      <c r="X22" s="39">
        <f t="shared" si="0"/>
        <v>240</v>
      </c>
      <c r="Y22" s="39">
        <f t="shared" si="1"/>
        <v>228</v>
      </c>
      <c r="Z22" s="40">
        <f t="shared" si="2"/>
        <v>0.92982456140350878</v>
      </c>
      <c r="AA22" s="13">
        <v>1</v>
      </c>
      <c r="AB22" s="2"/>
      <c r="AC22" s="2"/>
    </row>
    <row r="23" spans="1:29" ht="41.25" customHeight="1">
      <c r="A23" s="12">
        <v>12</v>
      </c>
      <c r="B23" s="67" t="s">
        <v>40</v>
      </c>
      <c r="C23" s="68"/>
      <c r="D23" s="68"/>
      <c r="E23" s="68"/>
      <c r="F23" s="68"/>
      <c r="G23" s="68"/>
      <c r="H23" s="68"/>
      <c r="I23" s="69"/>
      <c r="J23" s="70" t="s">
        <v>24</v>
      </c>
      <c r="K23" s="71"/>
      <c r="L23" s="71"/>
      <c r="M23" s="72"/>
      <c r="N23" s="54" t="s">
        <v>25</v>
      </c>
      <c r="O23" s="55"/>
      <c r="P23" s="55"/>
      <c r="Q23" s="56"/>
      <c r="R23" s="65">
        <v>0.27</v>
      </c>
      <c r="S23" s="66"/>
      <c r="T23" s="57">
        <v>0.27</v>
      </c>
      <c r="U23" s="58"/>
      <c r="V23" s="57"/>
      <c r="W23" s="58"/>
      <c r="X23" s="39">
        <f t="shared" si="0"/>
        <v>222.2222222222222</v>
      </c>
      <c r="Y23" s="39">
        <f t="shared" si="1"/>
        <v>211.11111111111109</v>
      </c>
      <c r="Z23" s="40">
        <f t="shared" si="2"/>
        <v>1.0042105263157897</v>
      </c>
      <c r="AA23" s="13">
        <v>1</v>
      </c>
      <c r="AB23" s="2"/>
      <c r="AC23" s="2"/>
    </row>
    <row r="24" spans="1:29" ht="41.25" customHeight="1">
      <c r="A24" s="12">
        <v>13</v>
      </c>
      <c r="B24" s="51" t="s">
        <v>41</v>
      </c>
      <c r="C24" s="52"/>
      <c r="D24" s="52"/>
      <c r="E24" s="52"/>
      <c r="F24" s="52"/>
      <c r="G24" s="52"/>
      <c r="H24" s="52"/>
      <c r="I24" s="53"/>
      <c r="J24" s="54" t="s">
        <v>42</v>
      </c>
      <c r="K24" s="55"/>
      <c r="L24" s="55"/>
      <c r="M24" s="56"/>
      <c r="N24" s="54" t="s">
        <v>25</v>
      </c>
      <c r="O24" s="55"/>
      <c r="P24" s="55"/>
      <c r="Q24" s="56"/>
      <c r="R24" s="57">
        <v>0.24</v>
      </c>
      <c r="S24" s="58"/>
      <c r="T24" s="65"/>
      <c r="U24" s="66"/>
      <c r="V24" s="65">
        <v>0.24</v>
      </c>
      <c r="W24" s="66"/>
      <c r="X24" s="39">
        <f t="shared" si="0"/>
        <v>250</v>
      </c>
      <c r="Y24" s="39">
        <f t="shared" si="1"/>
        <v>237.5</v>
      </c>
      <c r="Z24" s="40">
        <f t="shared" si="2"/>
        <v>0.89263157894736844</v>
      </c>
      <c r="AA24" s="13">
        <v>1</v>
      </c>
      <c r="AB24" s="2"/>
      <c r="AC24" s="2"/>
    </row>
    <row r="25" spans="1:29" ht="39" customHeight="1">
      <c r="A25" s="12">
        <v>14</v>
      </c>
      <c r="B25" s="51" t="s">
        <v>43</v>
      </c>
      <c r="C25" s="52"/>
      <c r="D25" s="52"/>
      <c r="E25" s="52"/>
      <c r="F25" s="52"/>
      <c r="G25" s="52"/>
      <c r="H25" s="52"/>
      <c r="I25" s="53"/>
      <c r="J25" s="54" t="s">
        <v>44</v>
      </c>
      <c r="K25" s="55"/>
      <c r="L25" s="55"/>
      <c r="M25" s="56"/>
      <c r="N25" s="54" t="s">
        <v>25</v>
      </c>
      <c r="O25" s="55"/>
      <c r="P25" s="55"/>
      <c r="Q25" s="56"/>
      <c r="R25" s="57">
        <v>0.26</v>
      </c>
      <c r="S25" s="58"/>
      <c r="T25" s="57"/>
      <c r="U25" s="58"/>
      <c r="V25" s="57">
        <v>0.26</v>
      </c>
      <c r="W25" s="58"/>
      <c r="X25" s="39">
        <f t="shared" si="0"/>
        <v>230.76923076923077</v>
      </c>
      <c r="Y25" s="39">
        <f t="shared" si="1"/>
        <v>219.23076923076923</v>
      </c>
      <c r="Z25" s="40">
        <f t="shared" si="2"/>
        <v>0.96701754385964911</v>
      </c>
      <c r="AA25" s="13">
        <v>1</v>
      </c>
      <c r="AB25" s="2"/>
      <c r="AC25" s="2"/>
    </row>
    <row r="26" spans="1:29" ht="41.25" customHeight="1">
      <c r="A26" s="12">
        <v>15</v>
      </c>
      <c r="B26" s="51" t="s">
        <v>45</v>
      </c>
      <c r="C26" s="52"/>
      <c r="D26" s="52"/>
      <c r="E26" s="52"/>
      <c r="F26" s="52"/>
      <c r="G26" s="52"/>
      <c r="H26" s="52"/>
      <c r="I26" s="53"/>
      <c r="J26" s="54" t="s">
        <v>46</v>
      </c>
      <c r="K26" s="55"/>
      <c r="L26" s="55"/>
      <c r="M26" s="56"/>
      <c r="N26" s="54" t="s">
        <v>25</v>
      </c>
      <c r="O26" s="55"/>
      <c r="P26" s="55"/>
      <c r="Q26" s="56"/>
      <c r="R26" s="57">
        <v>0.28000000000000003</v>
      </c>
      <c r="S26" s="58"/>
      <c r="T26" s="57">
        <v>0.28000000000000003</v>
      </c>
      <c r="U26" s="58"/>
      <c r="V26" s="57"/>
      <c r="W26" s="58"/>
      <c r="X26" s="39">
        <f t="shared" si="0"/>
        <v>214.28571428571428</v>
      </c>
      <c r="Y26" s="39">
        <f t="shared" si="1"/>
        <v>203.57142857142856</v>
      </c>
      <c r="Z26" s="40">
        <f t="shared" si="2"/>
        <v>1.04140350877193</v>
      </c>
      <c r="AA26" s="13">
        <v>1</v>
      </c>
      <c r="AB26" s="2"/>
      <c r="AC26" s="2"/>
    </row>
    <row r="27" spans="1:29" ht="41.25" customHeight="1">
      <c r="A27" s="75"/>
      <c r="B27" s="7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76" t="s">
        <v>47</v>
      </c>
      <c r="O27" s="76"/>
      <c r="P27" s="76"/>
      <c r="Q27" s="76"/>
      <c r="R27" s="77">
        <f>SUM(R12:S26)</f>
        <v>4.71</v>
      </c>
      <c r="S27" s="76"/>
      <c r="T27" s="77">
        <f>SUM(T12:U26)</f>
        <v>3.3200000000000003</v>
      </c>
      <c r="U27" s="76"/>
      <c r="V27" s="77">
        <f>SUM(V12:W26)</f>
        <v>1.39</v>
      </c>
      <c r="W27" s="76"/>
      <c r="X27" s="13"/>
      <c r="Y27" s="13"/>
      <c r="Z27" s="13"/>
      <c r="AA27" s="15">
        <f>SUM(AA12:AA26)</f>
        <v>18.5</v>
      </c>
      <c r="AB27" s="2"/>
      <c r="AC27" s="2"/>
    </row>
    <row r="28" spans="1:29" ht="41.25" customHeight="1">
      <c r="A28" s="16"/>
      <c r="B28" s="17" t="s">
        <v>48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/>
      <c r="S28" s="19"/>
      <c r="T28" s="19"/>
      <c r="U28" s="19"/>
      <c r="V28" s="19"/>
      <c r="W28" s="20"/>
      <c r="X28" s="21"/>
      <c r="Y28" s="21"/>
      <c r="Z28" s="21"/>
      <c r="AA28" s="21"/>
      <c r="AB28" s="2"/>
      <c r="AC28" s="2"/>
    </row>
    <row r="29" spans="1:29" ht="41.25" customHeight="1">
      <c r="A29" s="22">
        <v>1</v>
      </c>
      <c r="B29" s="78" t="s">
        <v>118</v>
      </c>
      <c r="C29" s="79"/>
      <c r="D29" s="79"/>
      <c r="E29" s="79"/>
      <c r="F29" s="79"/>
      <c r="G29" s="79"/>
      <c r="H29" s="79"/>
      <c r="I29" s="80"/>
      <c r="J29" s="54" t="s">
        <v>119</v>
      </c>
      <c r="K29" s="55"/>
      <c r="L29" s="55"/>
      <c r="M29" s="56"/>
      <c r="N29" s="54" t="s">
        <v>120</v>
      </c>
      <c r="O29" s="55"/>
      <c r="P29" s="55"/>
      <c r="Q29" s="56"/>
      <c r="R29" s="70">
        <v>0.6</v>
      </c>
      <c r="S29" s="72"/>
      <c r="T29" s="65">
        <f>R29</f>
        <v>0.6</v>
      </c>
      <c r="U29" s="66"/>
      <c r="V29" s="73"/>
      <c r="W29" s="74"/>
      <c r="X29" s="39">
        <f t="shared" ref="X29" si="3">60/R29</f>
        <v>100</v>
      </c>
      <c r="Y29" s="39">
        <f t="shared" ref="Y29" si="4">X29*0.95</f>
        <v>95</v>
      </c>
      <c r="Z29" s="40">
        <f>AA$6/Y29</f>
        <v>2.2315789473684209</v>
      </c>
      <c r="AA29" s="13">
        <v>2.5</v>
      </c>
      <c r="AB29" s="2"/>
      <c r="AC29" s="2"/>
    </row>
    <row r="30" spans="1:29" ht="41.25" customHeight="1">
      <c r="A30" s="22">
        <v>2</v>
      </c>
      <c r="B30" s="51" t="s">
        <v>121</v>
      </c>
      <c r="C30" s="52"/>
      <c r="D30" s="52"/>
      <c r="E30" s="52"/>
      <c r="F30" s="52"/>
      <c r="G30" s="52"/>
      <c r="H30" s="52"/>
      <c r="I30" s="53"/>
      <c r="J30" s="54" t="s">
        <v>26</v>
      </c>
      <c r="K30" s="55"/>
      <c r="L30" s="55"/>
      <c r="M30" s="56"/>
      <c r="N30" s="54" t="s">
        <v>25</v>
      </c>
      <c r="O30" s="55"/>
      <c r="P30" s="55"/>
      <c r="Q30" s="56"/>
      <c r="R30" s="70">
        <v>0.2</v>
      </c>
      <c r="S30" s="72"/>
      <c r="T30" s="65"/>
      <c r="U30" s="66"/>
      <c r="V30" s="73">
        <f>R30</f>
        <v>0.2</v>
      </c>
      <c r="W30" s="74"/>
      <c r="X30" s="39">
        <f t="shared" ref="X30:X43" si="5">60/R30</f>
        <v>300</v>
      </c>
      <c r="Y30" s="39">
        <f t="shared" ref="Y30:Y43" si="6">X30*0.95</f>
        <v>285</v>
      </c>
      <c r="Z30" s="40">
        <f t="shared" ref="Z30:Z43" si="7">AA$6/Y30</f>
        <v>0.743859649122807</v>
      </c>
      <c r="AA30" s="13">
        <v>1</v>
      </c>
      <c r="AB30" s="2"/>
      <c r="AC30" s="2"/>
    </row>
    <row r="31" spans="1:29" ht="41.25" customHeight="1">
      <c r="A31" s="22">
        <v>3</v>
      </c>
      <c r="B31" s="51" t="s">
        <v>122</v>
      </c>
      <c r="C31" s="52"/>
      <c r="D31" s="52"/>
      <c r="E31" s="52"/>
      <c r="F31" s="52"/>
      <c r="G31" s="52"/>
      <c r="H31" s="52"/>
      <c r="I31" s="53"/>
      <c r="J31" s="54" t="s">
        <v>26</v>
      </c>
      <c r="K31" s="55"/>
      <c r="L31" s="55"/>
      <c r="M31" s="56"/>
      <c r="N31" s="54" t="s">
        <v>25</v>
      </c>
      <c r="O31" s="55"/>
      <c r="P31" s="55"/>
      <c r="Q31" s="56"/>
      <c r="R31" s="70">
        <v>0.15</v>
      </c>
      <c r="S31" s="72"/>
      <c r="T31" s="65"/>
      <c r="U31" s="66"/>
      <c r="V31" s="73">
        <f>R31</f>
        <v>0.15</v>
      </c>
      <c r="W31" s="74"/>
      <c r="X31" s="39">
        <f t="shared" ref="X31:X36" si="8">60/R31</f>
        <v>400</v>
      </c>
      <c r="Y31" s="39">
        <f t="shared" ref="Y31:Y36" si="9">X31*0.95</f>
        <v>380</v>
      </c>
      <c r="Z31" s="40">
        <f t="shared" ref="Z31:Z36" si="10">AA$6/Y31</f>
        <v>0.55789473684210522</v>
      </c>
      <c r="AA31" s="13">
        <v>1</v>
      </c>
      <c r="AB31" s="41"/>
      <c r="AC31" s="41"/>
    </row>
    <row r="32" spans="1:29" ht="41.25" customHeight="1">
      <c r="A32" s="22">
        <v>4</v>
      </c>
      <c r="B32" s="51" t="s">
        <v>123</v>
      </c>
      <c r="C32" s="52"/>
      <c r="D32" s="52"/>
      <c r="E32" s="52"/>
      <c r="F32" s="52"/>
      <c r="G32" s="52"/>
      <c r="H32" s="52"/>
      <c r="I32" s="53"/>
      <c r="J32" s="54" t="s">
        <v>27</v>
      </c>
      <c r="K32" s="55"/>
      <c r="L32" s="55"/>
      <c r="M32" s="56"/>
      <c r="N32" s="54" t="s">
        <v>25</v>
      </c>
      <c r="O32" s="55"/>
      <c r="P32" s="55"/>
      <c r="Q32" s="56"/>
      <c r="R32" s="70">
        <v>0.55000000000000004</v>
      </c>
      <c r="S32" s="72"/>
      <c r="T32" s="65"/>
      <c r="U32" s="66"/>
      <c r="V32" s="73">
        <f>R32</f>
        <v>0.55000000000000004</v>
      </c>
      <c r="W32" s="74"/>
      <c r="X32" s="39">
        <f t="shared" si="8"/>
        <v>109.09090909090908</v>
      </c>
      <c r="Y32" s="39">
        <f t="shared" si="9"/>
        <v>103.63636363636363</v>
      </c>
      <c r="Z32" s="40">
        <f t="shared" si="10"/>
        <v>2.0456140350877194</v>
      </c>
      <c r="AA32" s="13">
        <v>2</v>
      </c>
      <c r="AB32" s="41"/>
      <c r="AC32" s="41"/>
    </row>
    <row r="33" spans="1:29" ht="41.25" customHeight="1">
      <c r="A33" s="22">
        <v>5</v>
      </c>
      <c r="B33" s="51" t="s">
        <v>124</v>
      </c>
      <c r="C33" s="52"/>
      <c r="D33" s="52"/>
      <c r="E33" s="52"/>
      <c r="F33" s="52"/>
      <c r="G33" s="52"/>
      <c r="H33" s="52"/>
      <c r="I33" s="53"/>
      <c r="J33" s="54" t="s">
        <v>24</v>
      </c>
      <c r="K33" s="55"/>
      <c r="L33" s="55"/>
      <c r="M33" s="56"/>
      <c r="N33" s="54" t="s">
        <v>25</v>
      </c>
      <c r="O33" s="55"/>
      <c r="P33" s="55"/>
      <c r="Q33" s="56"/>
      <c r="R33" s="70">
        <v>0.22</v>
      </c>
      <c r="S33" s="72"/>
      <c r="T33" s="65">
        <f>R33</f>
        <v>0.22</v>
      </c>
      <c r="U33" s="66"/>
      <c r="V33" s="73"/>
      <c r="W33" s="74"/>
      <c r="X33" s="39">
        <f t="shared" si="8"/>
        <v>272.72727272727275</v>
      </c>
      <c r="Y33" s="39">
        <f t="shared" si="9"/>
        <v>259.09090909090912</v>
      </c>
      <c r="Z33" s="40">
        <f t="shared" si="10"/>
        <v>0.81824561403508766</v>
      </c>
      <c r="AA33" s="13">
        <v>1</v>
      </c>
      <c r="AB33" s="41"/>
      <c r="AC33" s="41"/>
    </row>
    <row r="34" spans="1:29" ht="41.25" customHeight="1">
      <c r="A34" s="22">
        <v>6</v>
      </c>
      <c r="B34" s="51" t="s">
        <v>125</v>
      </c>
      <c r="C34" s="52"/>
      <c r="D34" s="52"/>
      <c r="E34" s="52"/>
      <c r="F34" s="52"/>
      <c r="G34" s="52"/>
      <c r="H34" s="52"/>
      <c r="I34" s="53"/>
      <c r="J34" s="54" t="s">
        <v>24</v>
      </c>
      <c r="K34" s="55"/>
      <c r="L34" s="55"/>
      <c r="M34" s="56"/>
      <c r="N34" s="54" t="s">
        <v>25</v>
      </c>
      <c r="O34" s="55"/>
      <c r="P34" s="55"/>
      <c r="Q34" s="56"/>
      <c r="R34" s="70">
        <v>0.9</v>
      </c>
      <c r="S34" s="72"/>
      <c r="T34" s="65">
        <f>R34</f>
        <v>0.9</v>
      </c>
      <c r="U34" s="66"/>
      <c r="V34" s="73"/>
      <c r="W34" s="74"/>
      <c r="X34" s="39">
        <f t="shared" si="8"/>
        <v>66.666666666666671</v>
      </c>
      <c r="Y34" s="39">
        <f t="shared" si="9"/>
        <v>63.333333333333336</v>
      </c>
      <c r="Z34" s="40">
        <f t="shared" si="10"/>
        <v>3.3473684210526313</v>
      </c>
      <c r="AA34" s="13">
        <v>3.5</v>
      </c>
      <c r="AB34" s="41"/>
      <c r="AC34" s="41"/>
    </row>
    <row r="35" spans="1:29" ht="41.25" customHeight="1">
      <c r="A35" s="22">
        <v>7</v>
      </c>
      <c r="B35" s="51" t="s">
        <v>126</v>
      </c>
      <c r="C35" s="52"/>
      <c r="D35" s="52"/>
      <c r="E35" s="52"/>
      <c r="F35" s="52"/>
      <c r="G35" s="52"/>
      <c r="H35" s="52"/>
      <c r="I35" s="53"/>
      <c r="J35" s="54" t="s">
        <v>24</v>
      </c>
      <c r="K35" s="55"/>
      <c r="L35" s="55"/>
      <c r="M35" s="56"/>
      <c r="N35" s="54" t="s">
        <v>25</v>
      </c>
      <c r="O35" s="55"/>
      <c r="P35" s="55"/>
      <c r="Q35" s="56"/>
      <c r="R35" s="70">
        <v>0.8</v>
      </c>
      <c r="S35" s="72"/>
      <c r="T35" s="65">
        <f>R35</f>
        <v>0.8</v>
      </c>
      <c r="U35" s="66"/>
      <c r="V35" s="73"/>
      <c r="W35" s="74"/>
      <c r="X35" s="39">
        <f t="shared" si="8"/>
        <v>75</v>
      </c>
      <c r="Y35" s="39">
        <f t="shared" si="9"/>
        <v>71.25</v>
      </c>
      <c r="Z35" s="40">
        <f t="shared" si="10"/>
        <v>2.975438596491228</v>
      </c>
      <c r="AA35" s="13">
        <v>3</v>
      </c>
      <c r="AB35" s="41"/>
      <c r="AC35" s="41"/>
    </row>
    <row r="36" spans="1:29" ht="41.25" customHeight="1">
      <c r="A36" s="22">
        <v>8</v>
      </c>
      <c r="B36" s="51" t="s">
        <v>128</v>
      </c>
      <c r="C36" s="52"/>
      <c r="D36" s="52"/>
      <c r="E36" s="52"/>
      <c r="F36" s="52"/>
      <c r="G36" s="52"/>
      <c r="H36" s="52"/>
      <c r="I36" s="53"/>
      <c r="J36" s="54" t="s">
        <v>127</v>
      </c>
      <c r="K36" s="55"/>
      <c r="L36" s="55"/>
      <c r="M36" s="56"/>
      <c r="N36" s="54" t="s">
        <v>25</v>
      </c>
      <c r="O36" s="55"/>
      <c r="P36" s="55"/>
      <c r="Q36" s="56"/>
      <c r="R36" s="70">
        <v>0.8</v>
      </c>
      <c r="S36" s="72"/>
      <c r="T36" s="65">
        <f>R36</f>
        <v>0.8</v>
      </c>
      <c r="U36" s="66"/>
      <c r="V36" s="73"/>
      <c r="W36" s="74"/>
      <c r="X36" s="39">
        <f t="shared" si="8"/>
        <v>75</v>
      </c>
      <c r="Y36" s="39">
        <f t="shared" si="9"/>
        <v>71.25</v>
      </c>
      <c r="Z36" s="40">
        <f t="shared" si="10"/>
        <v>2.975438596491228</v>
      </c>
      <c r="AA36" s="13">
        <v>3</v>
      </c>
      <c r="AB36" s="41"/>
      <c r="AC36" s="41"/>
    </row>
    <row r="37" spans="1:29" ht="41.25" customHeight="1">
      <c r="A37" s="22">
        <v>9</v>
      </c>
      <c r="B37" s="51" t="s">
        <v>108</v>
      </c>
      <c r="C37" s="52"/>
      <c r="D37" s="52"/>
      <c r="E37" s="52"/>
      <c r="F37" s="52"/>
      <c r="G37" s="52"/>
      <c r="H37" s="52"/>
      <c r="I37" s="53"/>
      <c r="J37" s="54" t="s">
        <v>24</v>
      </c>
      <c r="K37" s="55"/>
      <c r="L37" s="55"/>
      <c r="M37" s="56"/>
      <c r="N37" s="54" t="s">
        <v>25</v>
      </c>
      <c r="O37" s="55"/>
      <c r="P37" s="55"/>
      <c r="Q37" s="56"/>
      <c r="R37" s="70">
        <v>0.4</v>
      </c>
      <c r="S37" s="72"/>
      <c r="T37" s="65">
        <f>R37</f>
        <v>0.4</v>
      </c>
      <c r="U37" s="66"/>
      <c r="V37" s="73"/>
      <c r="W37" s="74"/>
      <c r="X37" s="39">
        <f t="shared" si="5"/>
        <v>150</v>
      </c>
      <c r="Y37" s="39">
        <f t="shared" si="6"/>
        <v>142.5</v>
      </c>
      <c r="Z37" s="40">
        <f t="shared" si="7"/>
        <v>1.487719298245614</v>
      </c>
      <c r="AA37" s="13">
        <v>1.5</v>
      </c>
      <c r="AB37" s="2"/>
      <c r="AC37" s="2"/>
    </row>
    <row r="38" spans="1:29" ht="41.25" customHeight="1">
      <c r="A38" s="22">
        <v>10</v>
      </c>
      <c r="B38" s="51" t="s">
        <v>49</v>
      </c>
      <c r="C38" s="52"/>
      <c r="D38" s="52"/>
      <c r="E38" s="52"/>
      <c r="F38" s="52"/>
      <c r="G38" s="52"/>
      <c r="H38" s="52"/>
      <c r="I38" s="53"/>
      <c r="J38" s="54" t="s">
        <v>50</v>
      </c>
      <c r="K38" s="55"/>
      <c r="L38" s="55"/>
      <c r="M38" s="56"/>
      <c r="N38" s="54" t="s">
        <v>25</v>
      </c>
      <c r="O38" s="55"/>
      <c r="P38" s="55"/>
      <c r="Q38" s="56"/>
      <c r="R38" s="57">
        <v>0.66</v>
      </c>
      <c r="S38" s="58"/>
      <c r="T38" s="57">
        <v>0.66</v>
      </c>
      <c r="U38" s="58"/>
      <c r="V38" s="57"/>
      <c r="W38" s="58"/>
      <c r="X38" s="39">
        <f t="shared" si="5"/>
        <v>90.909090909090907</v>
      </c>
      <c r="Y38" s="39">
        <f t="shared" si="6"/>
        <v>86.36363636363636</v>
      </c>
      <c r="Z38" s="40">
        <f t="shared" si="7"/>
        <v>2.4547368421052633</v>
      </c>
      <c r="AA38" s="13">
        <v>2.5</v>
      </c>
      <c r="AB38" s="2"/>
      <c r="AC38" s="2"/>
    </row>
    <row r="39" spans="1:29" ht="41.25" customHeight="1">
      <c r="A39" s="22">
        <v>11</v>
      </c>
      <c r="B39" s="51" t="s">
        <v>110</v>
      </c>
      <c r="C39" s="52"/>
      <c r="D39" s="52"/>
      <c r="E39" s="52"/>
      <c r="F39" s="52"/>
      <c r="G39" s="52"/>
      <c r="H39" s="52"/>
      <c r="I39" s="53"/>
      <c r="J39" s="54" t="s">
        <v>51</v>
      </c>
      <c r="K39" s="55"/>
      <c r="L39" s="55"/>
      <c r="M39" s="56"/>
      <c r="N39" s="54" t="s">
        <v>25</v>
      </c>
      <c r="O39" s="55"/>
      <c r="P39" s="55"/>
      <c r="Q39" s="56"/>
      <c r="R39" s="57">
        <v>0.56000000000000005</v>
      </c>
      <c r="S39" s="58"/>
      <c r="T39" s="57">
        <v>0.56000000000000005</v>
      </c>
      <c r="U39" s="58"/>
      <c r="V39" s="57"/>
      <c r="W39" s="58"/>
      <c r="X39" s="39">
        <f t="shared" si="5"/>
        <v>107.14285714285714</v>
      </c>
      <c r="Y39" s="39">
        <f t="shared" si="6"/>
        <v>101.78571428571428</v>
      </c>
      <c r="Z39" s="40">
        <f t="shared" si="7"/>
        <v>2.08280701754386</v>
      </c>
      <c r="AA39" s="13">
        <v>2</v>
      </c>
      <c r="AB39" s="2"/>
      <c r="AC39" s="2"/>
    </row>
    <row r="40" spans="1:29" ht="41.25" customHeight="1">
      <c r="A40" s="22">
        <v>12</v>
      </c>
      <c r="B40" s="81" t="s">
        <v>52</v>
      </c>
      <c r="C40" s="82"/>
      <c r="D40" s="82"/>
      <c r="E40" s="82"/>
      <c r="F40" s="82"/>
      <c r="G40" s="82"/>
      <c r="H40" s="82"/>
      <c r="I40" s="83"/>
      <c r="J40" s="84" t="s">
        <v>51</v>
      </c>
      <c r="K40" s="85"/>
      <c r="L40" s="85"/>
      <c r="M40" s="86"/>
      <c r="N40" s="54" t="s">
        <v>25</v>
      </c>
      <c r="O40" s="55"/>
      <c r="P40" s="55"/>
      <c r="Q40" s="56"/>
      <c r="R40" s="87">
        <v>0.3</v>
      </c>
      <c r="S40" s="88"/>
      <c r="T40" s="87">
        <v>0.3</v>
      </c>
      <c r="U40" s="88"/>
      <c r="V40" s="87"/>
      <c r="W40" s="88"/>
      <c r="X40" s="39">
        <f t="shared" si="5"/>
        <v>200</v>
      </c>
      <c r="Y40" s="39">
        <f t="shared" si="6"/>
        <v>190</v>
      </c>
      <c r="Z40" s="40">
        <f t="shared" si="7"/>
        <v>1.1157894736842104</v>
      </c>
      <c r="AA40" s="13">
        <v>1</v>
      </c>
      <c r="AB40" s="2"/>
      <c r="AC40" s="2"/>
    </row>
    <row r="41" spans="1:29" ht="41.25" customHeight="1">
      <c r="A41" s="22">
        <v>13</v>
      </c>
      <c r="B41" s="89" t="s">
        <v>53</v>
      </c>
      <c r="C41" s="90"/>
      <c r="D41" s="90"/>
      <c r="E41" s="90"/>
      <c r="F41" s="90"/>
      <c r="G41" s="90"/>
      <c r="H41" s="90"/>
      <c r="I41" s="91"/>
      <c r="J41" s="92" t="s">
        <v>24</v>
      </c>
      <c r="K41" s="93"/>
      <c r="L41" s="93"/>
      <c r="M41" s="94"/>
      <c r="N41" s="54" t="s">
        <v>25</v>
      </c>
      <c r="O41" s="55"/>
      <c r="P41" s="55"/>
      <c r="Q41" s="95"/>
      <c r="R41" s="96">
        <v>0.5</v>
      </c>
      <c r="S41" s="97"/>
      <c r="T41" s="96">
        <v>0.5</v>
      </c>
      <c r="U41" s="97"/>
      <c r="V41" s="96"/>
      <c r="W41" s="98"/>
      <c r="X41" s="39">
        <f t="shared" si="5"/>
        <v>120</v>
      </c>
      <c r="Y41" s="39">
        <f t="shared" si="6"/>
        <v>114</v>
      </c>
      <c r="Z41" s="40">
        <f t="shared" si="7"/>
        <v>1.8596491228070176</v>
      </c>
      <c r="AA41" s="13">
        <v>2</v>
      </c>
      <c r="AB41" s="2"/>
      <c r="AC41" s="2"/>
    </row>
    <row r="42" spans="1:29" ht="41.25" customHeight="1">
      <c r="A42" s="22">
        <v>14</v>
      </c>
      <c r="B42" s="89" t="s">
        <v>109</v>
      </c>
      <c r="C42" s="90"/>
      <c r="D42" s="90"/>
      <c r="E42" s="90"/>
      <c r="F42" s="90"/>
      <c r="G42" s="90"/>
      <c r="H42" s="90"/>
      <c r="I42" s="91"/>
      <c r="J42" s="92" t="s">
        <v>24</v>
      </c>
      <c r="K42" s="93"/>
      <c r="L42" s="93"/>
      <c r="M42" s="94"/>
      <c r="N42" s="54" t="s">
        <v>25</v>
      </c>
      <c r="O42" s="55"/>
      <c r="P42" s="55"/>
      <c r="Q42" s="95"/>
      <c r="R42" s="96">
        <v>0.22</v>
      </c>
      <c r="S42" s="97"/>
      <c r="T42" s="96">
        <f>R42</f>
        <v>0.22</v>
      </c>
      <c r="U42" s="97"/>
      <c r="V42" s="96"/>
      <c r="W42" s="98"/>
      <c r="X42" s="39">
        <f t="shared" si="5"/>
        <v>272.72727272727275</v>
      </c>
      <c r="Y42" s="39">
        <f t="shared" si="6"/>
        <v>259.09090909090912</v>
      </c>
      <c r="Z42" s="40">
        <f t="shared" si="7"/>
        <v>0.81824561403508766</v>
      </c>
      <c r="AA42" s="13">
        <v>1</v>
      </c>
      <c r="AB42" s="38"/>
      <c r="AC42" s="38"/>
    </row>
    <row r="43" spans="1:29" ht="41.25" customHeight="1">
      <c r="A43" s="22">
        <v>15</v>
      </c>
      <c r="B43" s="89" t="s">
        <v>54</v>
      </c>
      <c r="C43" s="90"/>
      <c r="D43" s="90"/>
      <c r="E43" s="90"/>
      <c r="F43" s="90"/>
      <c r="G43" s="90"/>
      <c r="H43" s="90"/>
      <c r="I43" s="91"/>
      <c r="J43" s="92" t="s">
        <v>26</v>
      </c>
      <c r="K43" s="93"/>
      <c r="L43" s="93"/>
      <c r="M43" s="94"/>
      <c r="N43" s="54" t="s">
        <v>25</v>
      </c>
      <c r="O43" s="55"/>
      <c r="P43" s="55"/>
      <c r="Q43" s="95"/>
      <c r="R43" s="96">
        <v>0.25</v>
      </c>
      <c r="S43" s="97"/>
      <c r="T43" s="96"/>
      <c r="U43" s="97"/>
      <c r="V43" s="96">
        <v>0.25</v>
      </c>
      <c r="W43" s="98"/>
      <c r="X43" s="39">
        <f t="shared" si="5"/>
        <v>240</v>
      </c>
      <c r="Y43" s="39">
        <f t="shared" si="6"/>
        <v>228</v>
      </c>
      <c r="Z43" s="40">
        <f t="shared" si="7"/>
        <v>0.92982456140350878</v>
      </c>
      <c r="AA43" s="13">
        <v>1</v>
      </c>
      <c r="AB43" s="2"/>
      <c r="AC43" s="2"/>
    </row>
    <row r="44" spans="1:29" ht="41.25" customHeight="1">
      <c r="A44" s="99"/>
      <c r="B44" s="99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76" t="s">
        <v>47</v>
      </c>
      <c r="O44" s="76"/>
      <c r="P44" s="76"/>
      <c r="Q44" s="76"/>
      <c r="R44" s="100">
        <f>SUM(R29:S43)</f>
        <v>7.1099999999999994</v>
      </c>
      <c r="S44" s="100"/>
      <c r="T44" s="100">
        <f>SUM(T29:U43)</f>
        <v>5.9599999999999991</v>
      </c>
      <c r="U44" s="100"/>
      <c r="V44" s="100">
        <f>SUM(V29:W43)</f>
        <v>1.1499999999999999</v>
      </c>
      <c r="W44" s="100"/>
      <c r="X44" s="13"/>
      <c r="Y44" s="13"/>
      <c r="Z44" s="13"/>
      <c r="AA44" s="23">
        <f>SUM(AA29:AA43)</f>
        <v>28</v>
      </c>
      <c r="AB44" s="2"/>
      <c r="AC44" s="2"/>
    </row>
    <row r="45" spans="1:29" ht="41.25" customHeight="1">
      <c r="A45" s="24"/>
      <c r="B45" s="25" t="s">
        <v>55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7"/>
      <c r="S45" s="27"/>
      <c r="T45" s="27"/>
      <c r="U45" s="27"/>
      <c r="V45" s="27"/>
      <c r="W45" s="28"/>
      <c r="X45" s="29"/>
      <c r="Y45" s="29"/>
      <c r="Z45" s="29"/>
      <c r="AA45" s="29"/>
      <c r="AB45" s="2"/>
      <c r="AC45" s="2"/>
    </row>
    <row r="46" spans="1:29" ht="41.25" customHeight="1">
      <c r="A46" s="30">
        <v>1</v>
      </c>
      <c r="B46" s="101" t="s">
        <v>56</v>
      </c>
      <c r="C46" s="102"/>
      <c r="D46" s="102"/>
      <c r="E46" s="102"/>
      <c r="F46" s="102"/>
      <c r="G46" s="102"/>
      <c r="H46" s="102"/>
      <c r="I46" s="103"/>
      <c r="J46" s="104" t="s">
        <v>24</v>
      </c>
      <c r="K46" s="105"/>
      <c r="L46" s="105"/>
      <c r="M46" s="106"/>
      <c r="N46" s="104" t="s">
        <v>57</v>
      </c>
      <c r="O46" s="105"/>
      <c r="P46" s="105"/>
      <c r="Q46" s="106"/>
      <c r="R46" s="96">
        <v>0.53</v>
      </c>
      <c r="S46" s="97"/>
      <c r="T46" s="107">
        <v>0.53</v>
      </c>
      <c r="U46" s="108"/>
      <c r="V46" s="107"/>
      <c r="W46" s="109"/>
      <c r="X46" s="39">
        <f t="shared" ref="X46:X52" si="11">60/R46</f>
        <v>113.20754716981132</v>
      </c>
      <c r="Y46" s="39">
        <f t="shared" ref="Y46:Y52" si="12">X46*0.95</f>
        <v>107.54716981132074</v>
      </c>
      <c r="Z46" s="40">
        <f>AA$6/Y46</f>
        <v>1.9712280701754388</v>
      </c>
      <c r="AA46" s="13">
        <v>2</v>
      </c>
      <c r="AB46" s="2"/>
      <c r="AC46" s="2"/>
    </row>
    <row r="47" spans="1:29" ht="41.25" customHeight="1">
      <c r="A47" s="30">
        <v>2</v>
      </c>
      <c r="B47" s="101" t="s">
        <v>58</v>
      </c>
      <c r="C47" s="102"/>
      <c r="D47" s="102"/>
      <c r="E47" s="102"/>
      <c r="F47" s="102"/>
      <c r="G47" s="102"/>
      <c r="H47" s="102"/>
      <c r="I47" s="103"/>
      <c r="J47" s="92" t="s">
        <v>24</v>
      </c>
      <c r="K47" s="93"/>
      <c r="L47" s="93"/>
      <c r="M47" s="110"/>
      <c r="N47" s="104" t="s">
        <v>25</v>
      </c>
      <c r="O47" s="105"/>
      <c r="P47" s="105"/>
      <c r="Q47" s="106"/>
      <c r="R47" s="96">
        <v>0.3</v>
      </c>
      <c r="S47" s="97"/>
      <c r="T47" s="107">
        <v>0.3</v>
      </c>
      <c r="U47" s="108"/>
      <c r="V47" s="107"/>
      <c r="W47" s="109"/>
      <c r="X47" s="39">
        <f t="shared" si="11"/>
        <v>200</v>
      </c>
      <c r="Y47" s="39">
        <f t="shared" si="12"/>
        <v>190</v>
      </c>
      <c r="Z47" s="40">
        <f t="shared" ref="Z47:Z52" si="13">AA$6/Y47</f>
        <v>1.1157894736842104</v>
      </c>
      <c r="AA47" s="13">
        <v>1</v>
      </c>
      <c r="AB47" s="2"/>
      <c r="AC47" s="2"/>
    </row>
    <row r="48" spans="1:29" ht="41.25" customHeight="1">
      <c r="A48" s="30">
        <v>3</v>
      </c>
      <c r="B48" s="101" t="s">
        <v>59</v>
      </c>
      <c r="C48" s="102"/>
      <c r="D48" s="102"/>
      <c r="E48" s="102"/>
      <c r="F48" s="102"/>
      <c r="G48" s="102"/>
      <c r="H48" s="102"/>
      <c r="I48" s="103"/>
      <c r="J48" s="104" t="s">
        <v>60</v>
      </c>
      <c r="K48" s="105"/>
      <c r="L48" s="105"/>
      <c r="M48" s="106"/>
      <c r="N48" s="104" t="s">
        <v>61</v>
      </c>
      <c r="O48" s="105"/>
      <c r="P48" s="105"/>
      <c r="Q48" s="106"/>
      <c r="R48" s="96">
        <v>0.4</v>
      </c>
      <c r="S48" s="97"/>
      <c r="T48" s="107"/>
      <c r="U48" s="108"/>
      <c r="V48" s="107">
        <v>0.4</v>
      </c>
      <c r="W48" s="109"/>
      <c r="X48" s="39">
        <f t="shared" si="11"/>
        <v>150</v>
      </c>
      <c r="Y48" s="39">
        <f t="shared" si="12"/>
        <v>142.5</v>
      </c>
      <c r="Z48" s="40">
        <f t="shared" si="13"/>
        <v>1.487719298245614</v>
      </c>
      <c r="AA48" s="13">
        <v>1.5</v>
      </c>
      <c r="AB48" s="2"/>
      <c r="AC48" s="2"/>
    </row>
    <row r="49" spans="1:29" ht="41.25" customHeight="1">
      <c r="A49" s="30">
        <v>4</v>
      </c>
      <c r="B49" s="101" t="s">
        <v>62</v>
      </c>
      <c r="C49" s="102"/>
      <c r="D49" s="102"/>
      <c r="E49" s="102"/>
      <c r="F49" s="102"/>
      <c r="G49" s="102"/>
      <c r="H49" s="102"/>
      <c r="I49" s="103"/>
      <c r="J49" s="104" t="s">
        <v>24</v>
      </c>
      <c r="K49" s="105"/>
      <c r="L49" s="105"/>
      <c r="M49" s="106"/>
      <c r="N49" s="104" t="s">
        <v>25</v>
      </c>
      <c r="O49" s="105"/>
      <c r="P49" s="105"/>
      <c r="Q49" s="106"/>
      <c r="R49" s="96">
        <v>1.2</v>
      </c>
      <c r="S49" s="97"/>
      <c r="T49" s="107">
        <v>1.2</v>
      </c>
      <c r="U49" s="108"/>
      <c r="V49" s="107"/>
      <c r="W49" s="109"/>
      <c r="X49" s="39">
        <f t="shared" si="11"/>
        <v>50</v>
      </c>
      <c r="Y49" s="39">
        <f t="shared" si="12"/>
        <v>47.5</v>
      </c>
      <c r="Z49" s="40">
        <f t="shared" si="13"/>
        <v>4.4631578947368418</v>
      </c>
      <c r="AA49" s="13">
        <v>4.5</v>
      </c>
      <c r="AB49" s="2"/>
      <c r="AC49" s="2"/>
    </row>
    <row r="50" spans="1:29" ht="41.25" customHeight="1">
      <c r="A50" s="30">
        <v>5</v>
      </c>
      <c r="B50" s="101" t="s">
        <v>99</v>
      </c>
      <c r="C50" s="102"/>
      <c r="D50" s="102"/>
      <c r="E50" s="102"/>
      <c r="F50" s="102"/>
      <c r="G50" s="102"/>
      <c r="H50" s="102"/>
      <c r="I50" s="103"/>
      <c r="J50" s="104" t="s">
        <v>42</v>
      </c>
      <c r="K50" s="105"/>
      <c r="L50" s="105"/>
      <c r="M50" s="106"/>
      <c r="N50" s="104" t="s">
        <v>25</v>
      </c>
      <c r="O50" s="105"/>
      <c r="P50" s="105"/>
      <c r="Q50" s="106"/>
      <c r="R50" s="96">
        <v>0.4</v>
      </c>
      <c r="S50" s="97"/>
      <c r="T50" s="107">
        <f>R50</f>
        <v>0.4</v>
      </c>
      <c r="U50" s="108"/>
      <c r="V50" s="107"/>
      <c r="W50" s="109"/>
      <c r="X50" s="39">
        <f t="shared" si="11"/>
        <v>150</v>
      </c>
      <c r="Y50" s="39">
        <f t="shared" si="12"/>
        <v>142.5</v>
      </c>
      <c r="Z50" s="40">
        <f t="shared" si="13"/>
        <v>1.487719298245614</v>
      </c>
      <c r="AA50" s="13">
        <v>1.5</v>
      </c>
      <c r="AB50" s="2"/>
      <c r="AC50" s="2"/>
    </row>
    <row r="51" spans="1:29" ht="41.25" customHeight="1">
      <c r="A51" s="31">
        <v>6</v>
      </c>
      <c r="B51" s="101" t="s">
        <v>63</v>
      </c>
      <c r="C51" s="102"/>
      <c r="D51" s="102"/>
      <c r="E51" s="102"/>
      <c r="F51" s="102"/>
      <c r="G51" s="102"/>
      <c r="H51" s="102"/>
      <c r="I51" s="103"/>
      <c r="J51" s="104" t="s">
        <v>50</v>
      </c>
      <c r="K51" s="105"/>
      <c r="L51" s="105"/>
      <c r="M51" s="106"/>
      <c r="N51" s="104" t="s">
        <v>25</v>
      </c>
      <c r="O51" s="105"/>
      <c r="P51" s="105"/>
      <c r="Q51" s="106"/>
      <c r="R51" s="96">
        <v>0.23</v>
      </c>
      <c r="S51" s="97"/>
      <c r="T51" s="107">
        <v>0.23</v>
      </c>
      <c r="U51" s="108"/>
      <c r="V51" s="107"/>
      <c r="W51" s="109"/>
      <c r="X51" s="39">
        <f t="shared" si="11"/>
        <v>260.86956521739131</v>
      </c>
      <c r="Y51" s="39">
        <f t="shared" si="12"/>
        <v>247.82608695652172</v>
      </c>
      <c r="Z51" s="40">
        <f t="shared" si="13"/>
        <v>0.85543859649122811</v>
      </c>
      <c r="AA51" s="13">
        <v>1</v>
      </c>
      <c r="AB51" s="2"/>
      <c r="AC51" s="2"/>
    </row>
    <row r="52" spans="1:29" ht="41.25" customHeight="1">
      <c r="A52" s="31">
        <v>7</v>
      </c>
      <c r="B52" s="111" t="s">
        <v>64</v>
      </c>
      <c r="C52" s="90"/>
      <c r="D52" s="90"/>
      <c r="E52" s="90"/>
      <c r="F52" s="90"/>
      <c r="G52" s="90"/>
      <c r="H52" s="90"/>
      <c r="I52" s="91"/>
      <c r="J52" s="92" t="s">
        <v>51</v>
      </c>
      <c r="K52" s="93"/>
      <c r="L52" s="93"/>
      <c r="M52" s="110"/>
      <c r="N52" s="92" t="s">
        <v>25</v>
      </c>
      <c r="O52" s="93"/>
      <c r="P52" s="93"/>
      <c r="Q52" s="110"/>
      <c r="R52" s="96">
        <v>0.27</v>
      </c>
      <c r="S52" s="97"/>
      <c r="T52" s="96">
        <v>0.27</v>
      </c>
      <c r="U52" s="97"/>
      <c r="V52" s="96"/>
      <c r="W52" s="98"/>
      <c r="X52" s="39">
        <f t="shared" si="11"/>
        <v>222.2222222222222</v>
      </c>
      <c r="Y52" s="39">
        <f t="shared" si="12"/>
        <v>211.11111111111109</v>
      </c>
      <c r="Z52" s="40">
        <f t="shared" si="13"/>
        <v>1.0042105263157897</v>
      </c>
      <c r="AA52" s="13">
        <v>1</v>
      </c>
      <c r="AB52" s="2"/>
      <c r="AC52" s="2"/>
    </row>
    <row r="53" spans="1:29" ht="41.25" customHeight="1">
      <c r="A53" s="112"/>
      <c r="B53" s="112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00" t="s">
        <v>47</v>
      </c>
      <c r="O53" s="100"/>
      <c r="P53" s="100"/>
      <c r="Q53" s="100"/>
      <c r="R53" s="100">
        <f>SUM(R46:S52)</f>
        <v>3.3299999999999996</v>
      </c>
      <c r="S53" s="100"/>
      <c r="T53" s="100">
        <f t="shared" ref="T53" si="14">SUM(T46:U52)</f>
        <v>2.93</v>
      </c>
      <c r="U53" s="100"/>
      <c r="V53" s="100">
        <f t="shared" ref="V53" si="15">SUM(V46:W52)</f>
        <v>0.4</v>
      </c>
      <c r="W53" s="100"/>
      <c r="X53" s="13"/>
      <c r="Y53" s="13"/>
      <c r="Z53" s="13"/>
      <c r="AA53" s="23">
        <f>SUM(AA46:AA52)</f>
        <v>12.5</v>
      </c>
      <c r="AB53" s="2"/>
      <c r="AC53" s="2"/>
    </row>
    <row r="54" spans="1:29" ht="41.25" customHeight="1">
      <c r="A54" s="24"/>
      <c r="B54" s="25" t="s">
        <v>65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/>
      <c r="S54" s="27"/>
      <c r="T54" s="27"/>
      <c r="U54" s="27"/>
      <c r="V54" s="27"/>
      <c r="W54" s="28"/>
      <c r="X54" s="29"/>
      <c r="Y54" s="29"/>
      <c r="Z54" s="29"/>
      <c r="AA54" s="29"/>
      <c r="AB54" s="2"/>
      <c r="AC54" s="2"/>
    </row>
    <row r="55" spans="1:29" ht="41.25" customHeight="1">
      <c r="A55" s="32">
        <v>1</v>
      </c>
      <c r="B55" s="111" t="s">
        <v>66</v>
      </c>
      <c r="C55" s="90"/>
      <c r="D55" s="90"/>
      <c r="E55" s="90"/>
      <c r="F55" s="90"/>
      <c r="G55" s="90"/>
      <c r="H55" s="90"/>
      <c r="I55" s="91"/>
      <c r="J55" s="92" t="s">
        <v>67</v>
      </c>
      <c r="K55" s="93"/>
      <c r="L55" s="93"/>
      <c r="M55" s="110"/>
      <c r="N55" s="92" t="s">
        <v>25</v>
      </c>
      <c r="O55" s="93"/>
      <c r="P55" s="93"/>
      <c r="Q55" s="110"/>
      <c r="R55" s="96">
        <v>0.3</v>
      </c>
      <c r="S55" s="97"/>
      <c r="T55" s="96"/>
      <c r="U55" s="97"/>
      <c r="V55" s="96">
        <v>0.3</v>
      </c>
      <c r="W55" s="98"/>
      <c r="X55" s="39">
        <f t="shared" ref="X55:X63" si="16">60/R55</f>
        <v>200</v>
      </c>
      <c r="Y55" s="39">
        <f t="shared" ref="Y55:Y63" si="17">X55*0.95</f>
        <v>190</v>
      </c>
      <c r="Z55" s="40">
        <f>AA$6/Y55</f>
        <v>1.1157894736842104</v>
      </c>
      <c r="AA55" s="13">
        <v>1</v>
      </c>
      <c r="AB55" s="2"/>
      <c r="AC55" s="2"/>
    </row>
    <row r="56" spans="1:29" ht="41.25" customHeight="1">
      <c r="A56" s="32">
        <v>2</v>
      </c>
      <c r="B56" s="111" t="s">
        <v>68</v>
      </c>
      <c r="C56" s="90"/>
      <c r="D56" s="90"/>
      <c r="E56" s="90"/>
      <c r="F56" s="90"/>
      <c r="G56" s="90"/>
      <c r="H56" s="90"/>
      <c r="I56" s="91"/>
      <c r="J56" s="92" t="s">
        <v>24</v>
      </c>
      <c r="K56" s="93"/>
      <c r="L56" s="93"/>
      <c r="M56" s="110"/>
      <c r="N56" s="92" t="s">
        <v>25</v>
      </c>
      <c r="O56" s="93"/>
      <c r="P56" s="93"/>
      <c r="Q56" s="110"/>
      <c r="R56" s="96">
        <v>0.52</v>
      </c>
      <c r="S56" s="97"/>
      <c r="T56" s="96">
        <v>0.52</v>
      </c>
      <c r="U56" s="97"/>
      <c r="V56" s="96"/>
      <c r="W56" s="98"/>
      <c r="X56" s="39">
        <f t="shared" si="16"/>
        <v>115.38461538461539</v>
      </c>
      <c r="Y56" s="39">
        <f t="shared" si="17"/>
        <v>109.61538461538461</v>
      </c>
      <c r="Z56" s="40">
        <f t="shared" ref="Z56:Z63" si="18">AA$6/Y56</f>
        <v>1.9340350877192982</v>
      </c>
      <c r="AA56" s="13">
        <v>2</v>
      </c>
      <c r="AB56" s="2"/>
      <c r="AC56" s="2"/>
    </row>
    <row r="57" spans="1:29" ht="41.25" customHeight="1">
      <c r="A57" s="32">
        <v>3</v>
      </c>
      <c r="B57" s="111" t="s">
        <v>69</v>
      </c>
      <c r="C57" s="90"/>
      <c r="D57" s="90"/>
      <c r="E57" s="90"/>
      <c r="F57" s="90"/>
      <c r="G57" s="90"/>
      <c r="H57" s="90"/>
      <c r="I57" s="91"/>
      <c r="J57" s="92" t="s">
        <v>42</v>
      </c>
      <c r="K57" s="93"/>
      <c r="L57" s="93"/>
      <c r="M57" s="110"/>
      <c r="N57" s="92" t="s">
        <v>25</v>
      </c>
      <c r="O57" s="93"/>
      <c r="P57" s="93"/>
      <c r="Q57" s="110"/>
      <c r="R57" s="96">
        <v>0.26</v>
      </c>
      <c r="S57" s="97"/>
      <c r="T57" s="96"/>
      <c r="U57" s="97"/>
      <c r="V57" s="96">
        <v>0.26</v>
      </c>
      <c r="W57" s="98"/>
      <c r="X57" s="39">
        <f t="shared" si="16"/>
        <v>230.76923076923077</v>
      </c>
      <c r="Y57" s="39">
        <f t="shared" si="17"/>
        <v>219.23076923076923</v>
      </c>
      <c r="Z57" s="40">
        <f t="shared" si="18"/>
        <v>0.96701754385964911</v>
      </c>
      <c r="AA57" s="13">
        <v>1</v>
      </c>
      <c r="AB57" s="2"/>
      <c r="AC57" s="2"/>
    </row>
    <row r="58" spans="1:29" ht="41.25" customHeight="1">
      <c r="A58" s="32">
        <v>4</v>
      </c>
      <c r="B58" s="111" t="s">
        <v>70</v>
      </c>
      <c r="C58" s="90"/>
      <c r="D58" s="90"/>
      <c r="E58" s="90"/>
      <c r="F58" s="90"/>
      <c r="G58" s="90"/>
      <c r="H58" s="90"/>
      <c r="I58" s="91"/>
      <c r="J58" s="92" t="s">
        <v>38</v>
      </c>
      <c r="K58" s="93"/>
      <c r="L58" s="93"/>
      <c r="M58" s="110"/>
      <c r="N58" s="92" t="s">
        <v>25</v>
      </c>
      <c r="O58" s="93"/>
      <c r="P58" s="93"/>
      <c r="Q58" s="110"/>
      <c r="R58" s="96">
        <v>0.25</v>
      </c>
      <c r="S58" s="97"/>
      <c r="T58" s="96"/>
      <c r="U58" s="97"/>
      <c r="V58" s="96">
        <v>0.25</v>
      </c>
      <c r="W58" s="98"/>
      <c r="X58" s="39">
        <f t="shared" si="16"/>
        <v>240</v>
      </c>
      <c r="Y58" s="39">
        <f t="shared" si="17"/>
        <v>228</v>
      </c>
      <c r="Z58" s="40">
        <f t="shared" si="18"/>
        <v>0.92982456140350878</v>
      </c>
      <c r="AA58" s="13">
        <v>1</v>
      </c>
      <c r="AB58" s="2"/>
      <c r="AC58" s="2"/>
    </row>
    <row r="59" spans="1:29" ht="41.25" customHeight="1">
      <c r="A59" s="32">
        <v>5</v>
      </c>
      <c r="B59" s="111" t="s">
        <v>71</v>
      </c>
      <c r="C59" s="90"/>
      <c r="D59" s="90"/>
      <c r="E59" s="90"/>
      <c r="F59" s="90"/>
      <c r="G59" s="90"/>
      <c r="H59" s="90"/>
      <c r="I59" s="91"/>
      <c r="J59" s="92" t="s">
        <v>72</v>
      </c>
      <c r="K59" s="93"/>
      <c r="L59" s="93"/>
      <c r="M59" s="110"/>
      <c r="N59" s="92" t="s">
        <v>25</v>
      </c>
      <c r="O59" s="93"/>
      <c r="P59" s="93"/>
      <c r="Q59" s="110"/>
      <c r="R59" s="96">
        <v>0.25</v>
      </c>
      <c r="S59" s="97"/>
      <c r="T59" s="96"/>
      <c r="U59" s="97"/>
      <c r="V59" s="96">
        <v>0.25</v>
      </c>
      <c r="W59" s="98"/>
      <c r="X59" s="39">
        <f t="shared" si="16"/>
        <v>240</v>
      </c>
      <c r="Y59" s="39">
        <f t="shared" si="17"/>
        <v>228</v>
      </c>
      <c r="Z59" s="40">
        <f t="shared" si="18"/>
        <v>0.92982456140350878</v>
      </c>
      <c r="AA59" s="13">
        <v>1</v>
      </c>
      <c r="AB59" s="2"/>
      <c r="AC59" s="2"/>
    </row>
    <row r="60" spans="1:29" ht="41.25" customHeight="1">
      <c r="A60" s="32">
        <v>6</v>
      </c>
      <c r="B60" s="111" t="s">
        <v>73</v>
      </c>
      <c r="C60" s="90"/>
      <c r="D60" s="90"/>
      <c r="E60" s="90"/>
      <c r="F60" s="90"/>
      <c r="G60" s="90"/>
      <c r="H60" s="90"/>
      <c r="I60" s="91"/>
      <c r="J60" s="92" t="s">
        <v>27</v>
      </c>
      <c r="K60" s="93"/>
      <c r="L60" s="93"/>
      <c r="M60" s="110"/>
      <c r="N60" s="92" t="s">
        <v>25</v>
      </c>
      <c r="O60" s="93"/>
      <c r="P60" s="93"/>
      <c r="Q60" s="110"/>
      <c r="R60" s="96">
        <v>0.45</v>
      </c>
      <c r="S60" s="97"/>
      <c r="T60" s="96"/>
      <c r="U60" s="97"/>
      <c r="V60" s="96">
        <v>0.45</v>
      </c>
      <c r="W60" s="98"/>
      <c r="X60" s="39">
        <f t="shared" si="16"/>
        <v>133.33333333333334</v>
      </c>
      <c r="Y60" s="39">
        <f t="shared" si="17"/>
        <v>126.66666666666667</v>
      </c>
      <c r="Z60" s="40">
        <f t="shared" si="18"/>
        <v>1.6736842105263157</v>
      </c>
      <c r="AA60" s="13">
        <v>2</v>
      </c>
      <c r="AB60" s="2"/>
      <c r="AC60" s="2"/>
    </row>
    <row r="61" spans="1:29" ht="41.25" customHeight="1">
      <c r="A61" s="32">
        <v>7</v>
      </c>
      <c r="B61" s="111" t="s">
        <v>98</v>
      </c>
      <c r="C61" s="90"/>
      <c r="D61" s="90"/>
      <c r="E61" s="90"/>
      <c r="F61" s="90"/>
      <c r="G61" s="90"/>
      <c r="H61" s="90"/>
      <c r="I61" s="91"/>
      <c r="J61" s="92" t="s">
        <v>24</v>
      </c>
      <c r="K61" s="93"/>
      <c r="L61" s="93"/>
      <c r="M61" s="110"/>
      <c r="N61" s="92" t="s">
        <v>25</v>
      </c>
      <c r="O61" s="93"/>
      <c r="P61" s="93"/>
      <c r="Q61" s="110"/>
      <c r="R61" s="96">
        <v>0.52</v>
      </c>
      <c r="S61" s="97"/>
      <c r="T61" s="96">
        <v>0.52</v>
      </c>
      <c r="U61" s="97"/>
      <c r="V61" s="96"/>
      <c r="W61" s="98"/>
      <c r="X61" s="39">
        <f t="shared" si="16"/>
        <v>115.38461538461539</v>
      </c>
      <c r="Y61" s="39">
        <f t="shared" si="17"/>
        <v>109.61538461538461</v>
      </c>
      <c r="Z61" s="40">
        <f t="shared" si="18"/>
        <v>1.9340350877192982</v>
      </c>
      <c r="AA61" s="13">
        <v>2</v>
      </c>
      <c r="AB61" s="2"/>
      <c r="AC61" s="2"/>
    </row>
    <row r="62" spans="1:29" ht="41.25" customHeight="1">
      <c r="A62" s="32">
        <v>8</v>
      </c>
      <c r="B62" s="111" t="s">
        <v>74</v>
      </c>
      <c r="C62" s="90"/>
      <c r="D62" s="90"/>
      <c r="E62" s="90"/>
      <c r="F62" s="90"/>
      <c r="G62" s="90"/>
      <c r="H62" s="90"/>
      <c r="I62" s="91"/>
      <c r="J62" s="92" t="s">
        <v>50</v>
      </c>
      <c r="K62" s="93"/>
      <c r="L62" s="93"/>
      <c r="M62" s="110"/>
      <c r="N62" s="92" t="s">
        <v>25</v>
      </c>
      <c r="O62" s="93"/>
      <c r="P62" s="93"/>
      <c r="Q62" s="110"/>
      <c r="R62" s="96">
        <v>0.28999999999999998</v>
      </c>
      <c r="S62" s="97"/>
      <c r="T62" s="96">
        <v>0.28999999999999998</v>
      </c>
      <c r="U62" s="97"/>
      <c r="V62" s="96"/>
      <c r="W62" s="98"/>
      <c r="X62" s="39">
        <f t="shared" si="16"/>
        <v>206.89655172413794</v>
      </c>
      <c r="Y62" s="39">
        <f t="shared" si="17"/>
        <v>196.55172413793102</v>
      </c>
      <c r="Z62" s="40">
        <f t="shared" si="18"/>
        <v>1.0785964912280703</v>
      </c>
      <c r="AA62" s="13">
        <v>1</v>
      </c>
      <c r="AB62" s="2"/>
      <c r="AC62" s="2"/>
    </row>
    <row r="63" spans="1:29" ht="41.25" customHeight="1">
      <c r="A63" s="32">
        <v>9</v>
      </c>
      <c r="B63" s="111" t="s">
        <v>75</v>
      </c>
      <c r="C63" s="90"/>
      <c r="D63" s="90"/>
      <c r="E63" s="90"/>
      <c r="F63" s="90"/>
      <c r="G63" s="90"/>
      <c r="H63" s="90"/>
      <c r="I63" s="91"/>
      <c r="J63" s="92" t="s">
        <v>51</v>
      </c>
      <c r="K63" s="93"/>
      <c r="L63" s="93"/>
      <c r="M63" s="110"/>
      <c r="N63" s="92" t="s">
        <v>25</v>
      </c>
      <c r="O63" s="93"/>
      <c r="P63" s="93"/>
      <c r="Q63" s="110"/>
      <c r="R63" s="96">
        <v>0.25</v>
      </c>
      <c r="S63" s="97"/>
      <c r="T63" s="96">
        <v>0.25</v>
      </c>
      <c r="U63" s="97"/>
      <c r="V63" s="96"/>
      <c r="W63" s="98"/>
      <c r="X63" s="39">
        <f t="shared" si="16"/>
        <v>240</v>
      </c>
      <c r="Y63" s="39">
        <f t="shared" si="17"/>
        <v>228</v>
      </c>
      <c r="Z63" s="40">
        <f t="shared" si="18"/>
        <v>0.92982456140350878</v>
      </c>
      <c r="AA63" s="13">
        <v>1</v>
      </c>
      <c r="AB63" s="2"/>
      <c r="AC63" s="2"/>
    </row>
    <row r="64" spans="1:29" ht="41.25" customHeight="1">
      <c r="A64" s="3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00" t="s">
        <v>47</v>
      </c>
      <c r="O64" s="100"/>
      <c r="P64" s="100"/>
      <c r="Q64" s="100"/>
      <c r="R64" s="100">
        <f>SUM(R55:S63)</f>
        <v>3.0900000000000003</v>
      </c>
      <c r="S64" s="100"/>
      <c r="T64" s="100">
        <f>SUM(T55:U63)</f>
        <v>1.58</v>
      </c>
      <c r="U64" s="100"/>
      <c r="V64" s="100">
        <f>SUM(V55:W63)</f>
        <v>1.51</v>
      </c>
      <c r="W64" s="100"/>
      <c r="X64" s="13"/>
      <c r="Y64" s="13"/>
      <c r="Z64" s="13"/>
      <c r="AA64" s="23">
        <f>SUM(AA55:AA63)</f>
        <v>12</v>
      </c>
      <c r="AB64" s="2"/>
      <c r="AC64" s="2"/>
    </row>
    <row r="65" spans="1:29" ht="41.25" customHeight="1">
      <c r="A65" s="24"/>
      <c r="B65" s="25" t="s">
        <v>76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7"/>
      <c r="S65" s="27"/>
      <c r="T65" s="27"/>
      <c r="U65" s="27"/>
      <c r="V65" s="27"/>
      <c r="W65" s="28"/>
      <c r="X65" s="29"/>
      <c r="Y65" s="29"/>
      <c r="Z65" s="29"/>
      <c r="AA65" s="29"/>
      <c r="AB65" s="2"/>
      <c r="AC65" s="2"/>
    </row>
    <row r="66" spans="1:29" ht="41.25" customHeight="1">
      <c r="A66" s="32">
        <v>1</v>
      </c>
      <c r="B66" s="111" t="s">
        <v>77</v>
      </c>
      <c r="C66" s="90"/>
      <c r="D66" s="90"/>
      <c r="E66" s="90"/>
      <c r="F66" s="90"/>
      <c r="G66" s="90"/>
      <c r="H66" s="90"/>
      <c r="I66" s="91"/>
      <c r="J66" s="92" t="s">
        <v>27</v>
      </c>
      <c r="K66" s="93"/>
      <c r="L66" s="93"/>
      <c r="M66" s="94"/>
      <c r="N66" s="113" t="s">
        <v>25</v>
      </c>
      <c r="O66" s="114"/>
      <c r="P66" s="114"/>
      <c r="Q66" s="115"/>
      <c r="R66" s="96">
        <v>0.45</v>
      </c>
      <c r="S66" s="97"/>
      <c r="T66" s="96"/>
      <c r="U66" s="97"/>
      <c r="V66" s="96">
        <v>0.45</v>
      </c>
      <c r="W66" s="98"/>
      <c r="X66" s="39">
        <f t="shared" ref="X66:X69" si="19">60/R66</f>
        <v>133.33333333333334</v>
      </c>
      <c r="Y66" s="39">
        <f t="shared" ref="Y66:Y69" si="20">X66*0.95</f>
        <v>126.66666666666667</v>
      </c>
      <c r="Z66" s="40">
        <f>AA$6/Y66</f>
        <v>1.6736842105263157</v>
      </c>
      <c r="AA66" s="13">
        <v>2</v>
      </c>
      <c r="AB66" s="2"/>
      <c r="AC66" s="2"/>
    </row>
    <row r="67" spans="1:29" ht="68.25" customHeight="1">
      <c r="A67" s="32">
        <v>2</v>
      </c>
      <c r="B67" s="153" t="s">
        <v>111</v>
      </c>
      <c r="C67" s="154"/>
      <c r="D67" s="154"/>
      <c r="E67" s="154"/>
      <c r="F67" s="154"/>
      <c r="G67" s="154"/>
      <c r="H67" s="154"/>
      <c r="I67" s="155"/>
      <c r="J67" s="92" t="s">
        <v>78</v>
      </c>
      <c r="K67" s="93"/>
      <c r="L67" s="93"/>
      <c r="M67" s="94"/>
      <c r="N67" s="54" t="s">
        <v>25</v>
      </c>
      <c r="O67" s="55"/>
      <c r="P67" s="55"/>
      <c r="Q67" s="95"/>
      <c r="R67" s="96">
        <v>0.52</v>
      </c>
      <c r="S67" s="97"/>
      <c r="T67" s="96">
        <v>0.52</v>
      </c>
      <c r="U67" s="97"/>
      <c r="V67" s="96"/>
      <c r="W67" s="98"/>
      <c r="X67" s="39">
        <f t="shared" si="19"/>
        <v>115.38461538461539</v>
      </c>
      <c r="Y67" s="39">
        <f t="shared" si="20"/>
        <v>109.61538461538461</v>
      </c>
      <c r="Z67" s="40">
        <f t="shared" ref="Z67:Z69" si="21">AA$6/Y67</f>
        <v>1.9340350877192982</v>
      </c>
      <c r="AA67" s="13">
        <v>2</v>
      </c>
      <c r="AB67" s="2"/>
      <c r="AC67" s="2"/>
    </row>
    <row r="68" spans="1:29" ht="47.25" customHeight="1">
      <c r="A68" s="32">
        <v>3</v>
      </c>
      <c r="B68" s="111" t="s">
        <v>129</v>
      </c>
      <c r="C68" s="90"/>
      <c r="D68" s="90"/>
      <c r="E68" s="90"/>
      <c r="F68" s="90"/>
      <c r="G68" s="90"/>
      <c r="H68" s="90"/>
      <c r="I68" s="91"/>
      <c r="J68" s="92" t="s">
        <v>24</v>
      </c>
      <c r="K68" s="93"/>
      <c r="L68" s="93"/>
      <c r="M68" s="94"/>
      <c r="N68" s="54" t="s">
        <v>79</v>
      </c>
      <c r="O68" s="55"/>
      <c r="P68" s="55"/>
      <c r="Q68" s="95"/>
      <c r="R68" s="96">
        <v>0.6</v>
      </c>
      <c r="S68" s="97"/>
      <c r="T68" s="96">
        <f>R68</f>
        <v>0.6</v>
      </c>
      <c r="U68" s="97"/>
      <c r="V68" s="96"/>
      <c r="W68" s="98"/>
      <c r="X68" s="39">
        <f t="shared" si="19"/>
        <v>100</v>
      </c>
      <c r="Y68" s="39">
        <f t="shared" si="20"/>
        <v>95</v>
      </c>
      <c r="Z68" s="40">
        <f t="shared" si="21"/>
        <v>2.2315789473684209</v>
      </c>
      <c r="AA68" s="13">
        <v>3</v>
      </c>
      <c r="AB68" s="2"/>
      <c r="AC68" s="2"/>
    </row>
    <row r="69" spans="1:29" ht="47.25" customHeight="1">
      <c r="A69" s="32">
        <v>4</v>
      </c>
      <c r="B69" s="111" t="s">
        <v>80</v>
      </c>
      <c r="C69" s="90"/>
      <c r="D69" s="90"/>
      <c r="E69" s="90"/>
      <c r="F69" s="90"/>
      <c r="G69" s="90"/>
      <c r="H69" s="90"/>
      <c r="I69" s="91"/>
      <c r="J69" s="92" t="s">
        <v>24</v>
      </c>
      <c r="K69" s="93"/>
      <c r="L69" s="93"/>
      <c r="M69" s="94"/>
      <c r="N69" s="84" t="s">
        <v>25</v>
      </c>
      <c r="O69" s="85"/>
      <c r="P69" s="85"/>
      <c r="Q69" s="116"/>
      <c r="R69" s="96">
        <v>0.5</v>
      </c>
      <c r="S69" s="97"/>
      <c r="T69" s="96">
        <v>0.5</v>
      </c>
      <c r="U69" s="97"/>
      <c r="V69" s="96"/>
      <c r="W69" s="98"/>
      <c r="X69" s="39">
        <f t="shared" si="19"/>
        <v>120</v>
      </c>
      <c r="Y69" s="39">
        <f t="shared" si="20"/>
        <v>114</v>
      </c>
      <c r="Z69" s="40">
        <f t="shared" si="21"/>
        <v>1.8596491228070176</v>
      </c>
      <c r="AA69" s="13">
        <v>2</v>
      </c>
      <c r="AB69" s="2"/>
      <c r="AC69" s="2"/>
    </row>
    <row r="70" spans="1:29" ht="47.25" customHeight="1">
      <c r="A70" s="112"/>
      <c r="B70" s="112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00" t="s">
        <v>47</v>
      </c>
      <c r="O70" s="100"/>
      <c r="P70" s="100"/>
      <c r="Q70" s="100"/>
      <c r="R70" s="100">
        <f>SUM(R66:S69)</f>
        <v>2.0699999999999998</v>
      </c>
      <c r="S70" s="100"/>
      <c r="T70" s="100">
        <f>SUM(T66:U69)</f>
        <v>1.62</v>
      </c>
      <c r="U70" s="100"/>
      <c r="V70" s="100">
        <f>SUM(V66:W69)</f>
        <v>0.45</v>
      </c>
      <c r="W70" s="100"/>
      <c r="X70" s="13"/>
      <c r="Y70" s="13"/>
      <c r="Z70" s="13"/>
      <c r="AA70" s="23">
        <f>SUM(AA66:AA69)</f>
        <v>9</v>
      </c>
      <c r="AB70" s="2"/>
      <c r="AC70" s="2"/>
    </row>
    <row r="71" spans="1:29" ht="47.25" customHeight="1">
      <c r="A71" s="16"/>
      <c r="B71" s="117" t="s">
        <v>81</v>
      </c>
      <c r="C71" s="118"/>
      <c r="D71" s="118"/>
      <c r="E71" s="118"/>
      <c r="F71" s="118"/>
      <c r="G71" s="118"/>
      <c r="H71" s="118"/>
      <c r="I71" s="119"/>
      <c r="J71" s="120"/>
      <c r="K71" s="121"/>
      <c r="L71" s="121"/>
      <c r="M71" s="122"/>
      <c r="N71" s="120"/>
      <c r="O71" s="121"/>
      <c r="P71" s="121"/>
      <c r="Q71" s="122"/>
      <c r="R71" s="120"/>
      <c r="S71" s="122"/>
      <c r="T71" s="120"/>
      <c r="U71" s="121"/>
      <c r="V71" s="19"/>
      <c r="W71" s="20"/>
      <c r="X71" s="21"/>
      <c r="Y71" s="21"/>
      <c r="Z71" s="21"/>
      <c r="AA71" s="21"/>
      <c r="AB71" s="2"/>
      <c r="AC71" s="2"/>
    </row>
    <row r="72" spans="1:29" ht="47.25" customHeight="1">
      <c r="A72" s="12">
        <v>1</v>
      </c>
      <c r="B72" s="51" t="s">
        <v>82</v>
      </c>
      <c r="C72" s="52"/>
      <c r="D72" s="52"/>
      <c r="E72" s="52"/>
      <c r="F72" s="52"/>
      <c r="G72" s="52"/>
      <c r="H72" s="52"/>
      <c r="I72" s="53"/>
      <c r="J72" s="54" t="s">
        <v>26</v>
      </c>
      <c r="K72" s="55"/>
      <c r="L72" s="55"/>
      <c r="M72" s="56"/>
      <c r="N72" s="54" t="s">
        <v>25</v>
      </c>
      <c r="O72" s="55"/>
      <c r="P72" s="55"/>
      <c r="Q72" s="56"/>
      <c r="R72" s="57">
        <v>0.6</v>
      </c>
      <c r="S72" s="58"/>
      <c r="T72" s="57"/>
      <c r="U72" s="58"/>
      <c r="V72" s="57">
        <v>0.6</v>
      </c>
      <c r="W72" s="58"/>
      <c r="X72" s="39">
        <f t="shared" ref="X72:X81" si="22">60/R72</f>
        <v>100</v>
      </c>
      <c r="Y72" s="39">
        <f t="shared" ref="Y72:Y81" si="23">X72*0.95</f>
        <v>95</v>
      </c>
      <c r="Z72" s="40">
        <f>AA$6/Y72</f>
        <v>2.2315789473684209</v>
      </c>
      <c r="AA72" s="13">
        <v>2</v>
      </c>
      <c r="AB72" s="2"/>
      <c r="AC72" s="2"/>
    </row>
    <row r="73" spans="1:29" ht="47.25" customHeight="1">
      <c r="A73" s="12">
        <v>2</v>
      </c>
      <c r="B73" s="51" t="s">
        <v>117</v>
      </c>
      <c r="C73" s="52"/>
      <c r="D73" s="52"/>
      <c r="E73" s="52"/>
      <c r="F73" s="52"/>
      <c r="G73" s="52"/>
      <c r="H73" s="52"/>
      <c r="I73" s="53"/>
      <c r="J73" s="54" t="s">
        <v>24</v>
      </c>
      <c r="K73" s="55"/>
      <c r="L73" s="55"/>
      <c r="M73" s="56"/>
      <c r="N73" s="54" t="s">
        <v>25</v>
      </c>
      <c r="O73" s="55"/>
      <c r="P73" s="55"/>
      <c r="Q73" s="56"/>
      <c r="R73" s="57">
        <v>0.65</v>
      </c>
      <c r="S73" s="58"/>
      <c r="T73" s="57">
        <f>R73</f>
        <v>0.65</v>
      </c>
      <c r="U73" s="58"/>
      <c r="V73" s="57"/>
      <c r="W73" s="58"/>
      <c r="X73" s="39">
        <f t="shared" si="22"/>
        <v>92.307692307692307</v>
      </c>
      <c r="Y73" s="39">
        <f t="shared" si="23"/>
        <v>87.692307692307693</v>
      </c>
      <c r="Z73" s="40">
        <f t="shared" ref="Z73:Z81" si="24">AA$6/Y73</f>
        <v>2.4175438596491228</v>
      </c>
      <c r="AA73" s="13">
        <v>2.5</v>
      </c>
      <c r="AB73" s="2"/>
      <c r="AC73" s="2"/>
    </row>
    <row r="74" spans="1:29" ht="47.25" customHeight="1">
      <c r="A74" s="12">
        <v>3</v>
      </c>
      <c r="B74" s="51" t="s">
        <v>103</v>
      </c>
      <c r="C74" s="52"/>
      <c r="D74" s="52"/>
      <c r="E74" s="52"/>
      <c r="F74" s="52"/>
      <c r="G74" s="52"/>
      <c r="H74" s="52"/>
      <c r="I74" s="53"/>
      <c r="J74" s="54" t="s">
        <v>24</v>
      </c>
      <c r="K74" s="55"/>
      <c r="L74" s="55"/>
      <c r="M74" s="56"/>
      <c r="N74" s="54" t="s">
        <v>25</v>
      </c>
      <c r="O74" s="55"/>
      <c r="P74" s="55"/>
      <c r="Q74" s="56"/>
      <c r="R74" s="57">
        <v>0.74</v>
      </c>
      <c r="S74" s="58"/>
      <c r="T74" s="57">
        <v>0.74</v>
      </c>
      <c r="U74" s="58"/>
      <c r="V74" s="57"/>
      <c r="W74" s="58"/>
      <c r="X74" s="39">
        <f t="shared" si="22"/>
        <v>81.081081081081081</v>
      </c>
      <c r="Y74" s="39">
        <f t="shared" si="23"/>
        <v>77.027027027027017</v>
      </c>
      <c r="Z74" s="40">
        <f t="shared" si="24"/>
        <v>2.7522807017543864</v>
      </c>
      <c r="AA74" s="13">
        <v>3</v>
      </c>
      <c r="AB74" s="2"/>
      <c r="AC74" s="2"/>
    </row>
    <row r="75" spans="1:29" ht="47.25" customHeight="1">
      <c r="A75" s="12">
        <v>4</v>
      </c>
      <c r="B75" s="51" t="s">
        <v>104</v>
      </c>
      <c r="C75" s="52"/>
      <c r="D75" s="52"/>
      <c r="E75" s="52"/>
      <c r="F75" s="52"/>
      <c r="G75" s="52"/>
      <c r="H75" s="52"/>
      <c r="I75" s="53"/>
      <c r="J75" s="54" t="s">
        <v>24</v>
      </c>
      <c r="K75" s="55"/>
      <c r="L75" s="55"/>
      <c r="M75" s="56"/>
      <c r="N75" s="54" t="s">
        <v>25</v>
      </c>
      <c r="O75" s="55"/>
      <c r="P75" s="55"/>
      <c r="Q75" s="56"/>
      <c r="R75" s="57">
        <v>0.65</v>
      </c>
      <c r="S75" s="58"/>
      <c r="T75" s="57">
        <v>0.65</v>
      </c>
      <c r="U75" s="58"/>
      <c r="V75" s="57"/>
      <c r="W75" s="58"/>
      <c r="X75" s="39">
        <f t="shared" si="22"/>
        <v>92.307692307692307</v>
      </c>
      <c r="Y75" s="39">
        <f t="shared" si="23"/>
        <v>87.692307692307693</v>
      </c>
      <c r="Z75" s="40">
        <f t="shared" si="24"/>
        <v>2.4175438596491228</v>
      </c>
      <c r="AA75" s="13">
        <v>2.5</v>
      </c>
      <c r="AB75" s="2"/>
      <c r="AC75" s="2"/>
    </row>
    <row r="76" spans="1:29" ht="47.25" customHeight="1">
      <c r="A76" s="12">
        <v>5</v>
      </c>
      <c r="B76" s="51" t="s">
        <v>105</v>
      </c>
      <c r="C76" s="52"/>
      <c r="D76" s="52"/>
      <c r="E76" s="52"/>
      <c r="F76" s="52"/>
      <c r="G76" s="52"/>
      <c r="H76" s="52"/>
      <c r="I76" s="53"/>
      <c r="J76" s="54" t="s">
        <v>83</v>
      </c>
      <c r="K76" s="55"/>
      <c r="L76" s="55"/>
      <c r="M76" s="56"/>
      <c r="N76" s="54" t="s">
        <v>88</v>
      </c>
      <c r="O76" s="55"/>
      <c r="P76" s="55"/>
      <c r="Q76" s="56"/>
      <c r="R76" s="57">
        <v>0.84</v>
      </c>
      <c r="S76" s="58"/>
      <c r="T76" s="57">
        <v>0.84</v>
      </c>
      <c r="U76" s="58"/>
      <c r="V76" s="57"/>
      <c r="W76" s="58"/>
      <c r="X76" s="39">
        <f t="shared" si="22"/>
        <v>71.428571428571431</v>
      </c>
      <c r="Y76" s="39">
        <f t="shared" si="23"/>
        <v>67.857142857142861</v>
      </c>
      <c r="Z76" s="40">
        <f t="shared" si="24"/>
        <v>3.1242105263157893</v>
      </c>
      <c r="AA76" s="13">
        <v>3.5</v>
      </c>
      <c r="AB76" s="2"/>
      <c r="AC76" s="2"/>
    </row>
    <row r="77" spans="1:29" ht="47.25" customHeight="1">
      <c r="A77" s="12">
        <v>6</v>
      </c>
      <c r="B77" s="51" t="s">
        <v>85</v>
      </c>
      <c r="C77" s="52"/>
      <c r="D77" s="52"/>
      <c r="E77" s="52"/>
      <c r="F77" s="52"/>
      <c r="G77" s="52"/>
      <c r="H77" s="52"/>
      <c r="I77" s="53"/>
      <c r="J77" s="54" t="s">
        <v>24</v>
      </c>
      <c r="K77" s="55"/>
      <c r="L77" s="55"/>
      <c r="M77" s="56"/>
      <c r="N77" s="54" t="s">
        <v>25</v>
      </c>
      <c r="O77" s="55"/>
      <c r="P77" s="55"/>
      <c r="Q77" s="56"/>
      <c r="R77" s="57">
        <v>0.75</v>
      </c>
      <c r="S77" s="58"/>
      <c r="T77" s="57">
        <v>0.75</v>
      </c>
      <c r="U77" s="58"/>
      <c r="V77" s="57"/>
      <c r="W77" s="58"/>
      <c r="X77" s="39">
        <f t="shared" si="22"/>
        <v>80</v>
      </c>
      <c r="Y77" s="39">
        <f t="shared" si="23"/>
        <v>76</v>
      </c>
      <c r="Z77" s="40">
        <f t="shared" si="24"/>
        <v>2.7894736842105261</v>
      </c>
      <c r="AA77" s="13">
        <v>3</v>
      </c>
      <c r="AB77" s="2"/>
      <c r="AC77" s="2"/>
    </row>
    <row r="78" spans="1:29" ht="47.25" customHeight="1">
      <c r="A78" s="12">
        <v>7</v>
      </c>
      <c r="B78" s="51" t="s">
        <v>86</v>
      </c>
      <c r="C78" s="52"/>
      <c r="D78" s="52"/>
      <c r="E78" s="52"/>
      <c r="F78" s="52"/>
      <c r="G78" s="52"/>
      <c r="H78" s="52"/>
      <c r="I78" s="53"/>
      <c r="J78" s="54" t="s">
        <v>87</v>
      </c>
      <c r="K78" s="55"/>
      <c r="L78" s="55"/>
      <c r="M78" s="56"/>
      <c r="N78" s="54" t="s">
        <v>88</v>
      </c>
      <c r="O78" s="55"/>
      <c r="P78" s="55"/>
      <c r="Q78" s="56"/>
      <c r="R78" s="65">
        <v>0.95</v>
      </c>
      <c r="S78" s="66"/>
      <c r="T78" s="57">
        <v>0.95</v>
      </c>
      <c r="U78" s="58"/>
      <c r="V78" s="57"/>
      <c r="W78" s="58"/>
      <c r="X78" s="39">
        <f t="shared" si="22"/>
        <v>63.15789473684211</v>
      </c>
      <c r="Y78" s="39">
        <f t="shared" si="23"/>
        <v>60</v>
      </c>
      <c r="Z78" s="40">
        <f t="shared" si="24"/>
        <v>3.5333333333333332</v>
      </c>
      <c r="AA78" s="13">
        <v>3.5</v>
      </c>
      <c r="AB78" s="2"/>
      <c r="AC78" s="2"/>
    </row>
    <row r="79" spans="1:29" ht="47.25" customHeight="1">
      <c r="A79" s="12">
        <v>8</v>
      </c>
      <c r="B79" s="51" t="s">
        <v>106</v>
      </c>
      <c r="C79" s="52"/>
      <c r="D79" s="52"/>
      <c r="E79" s="52"/>
      <c r="F79" s="52"/>
      <c r="G79" s="52"/>
      <c r="H79" s="52"/>
      <c r="I79" s="53"/>
      <c r="J79" s="54" t="s">
        <v>42</v>
      </c>
      <c r="K79" s="55"/>
      <c r="L79" s="55"/>
      <c r="M79" s="56"/>
      <c r="N79" s="54" t="s">
        <v>25</v>
      </c>
      <c r="O79" s="55"/>
      <c r="P79" s="55"/>
      <c r="Q79" s="56"/>
      <c r="R79" s="57">
        <v>0.41</v>
      </c>
      <c r="S79" s="58"/>
      <c r="T79" s="57"/>
      <c r="U79" s="58"/>
      <c r="V79" s="57">
        <v>0.41</v>
      </c>
      <c r="W79" s="58"/>
      <c r="X79" s="39">
        <f t="shared" si="22"/>
        <v>146.34146341463415</v>
      </c>
      <c r="Y79" s="39">
        <f t="shared" si="23"/>
        <v>139.02439024390245</v>
      </c>
      <c r="Z79" s="40">
        <f t="shared" si="24"/>
        <v>1.5249122807017543</v>
      </c>
      <c r="AA79" s="13">
        <v>1.5</v>
      </c>
      <c r="AB79" s="2"/>
      <c r="AC79" s="2"/>
    </row>
    <row r="80" spans="1:29" ht="47.25" customHeight="1">
      <c r="A80" s="12">
        <v>9</v>
      </c>
      <c r="B80" s="51" t="s">
        <v>107</v>
      </c>
      <c r="C80" s="52"/>
      <c r="D80" s="52"/>
      <c r="E80" s="52"/>
      <c r="F80" s="52"/>
      <c r="G80" s="52"/>
      <c r="H80" s="52"/>
      <c r="I80" s="53"/>
      <c r="J80" s="54" t="s">
        <v>24</v>
      </c>
      <c r="K80" s="55"/>
      <c r="L80" s="55"/>
      <c r="M80" s="56"/>
      <c r="N80" s="54" t="s">
        <v>25</v>
      </c>
      <c r="O80" s="55"/>
      <c r="P80" s="55"/>
      <c r="Q80" s="56"/>
      <c r="R80" s="65">
        <v>1.1000000000000001</v>
      </c>
      <c r="S80" s="66"/>
      <c r="T80" s="57">
        <v>1.1000000000000001</v>
      </c>
      <c r="U80" s="58"/>
      <c r="V80" s="57"/>
      <c r="W80" s="58"/>
      <c r="X80" s="39">
        <f t="shared" si="22"/>
        <v>54.54545454545454</v>
      </c>
      <c r="Y80" s="39">
        <f t="shared" si="23"/>
        <v>51.818181818181813</v>
      </c>
      <c r="Z80" s="40">
        <f t="shared" si="24"/>
        <v>4.0912280701754389</v>
      </c>
      <c r="AA80" s="13">
        <v>4</v>
      </c>
      <c r="AB80" s="2"/>
      <c r="AC80" s="2"/>
    </row>
    <row r="81" spans="1:29" ht="47.25" customHeight="1">
      <c r="A81" s="12">
        <v>10</v>
      </c>
      <c r="B81" s="51" t="s">
        <v>89</v>
      </c>
      <c r="C81" s="52"/>
      <c r="D81" s="52"/>
      <c r="E81" s="52"/>
      <c r="F81" s="52"/>
      <c r="G81" s="52"/>
      <c r="H81" s="52"/>
      <c r="I81" s="53"/>
      <c r="J81" s="84" t="s">
        <v>24</v>
      </c>
      <c r="K81" s="85"/>
      <c r="L81" s="85"/>
      <c r="M81" s="86"/>
      <c r="N81" s="54" t="s">
        <v>84</v>
      </c>
      <c r="O81" s="55"/>
      <c r="P81" s="55"/>
      <c r="Q81" s="56"/>
      <c r="R81" s="54">
        <v>0.62</v>
      </c>
      <c r="S81" s="56"/>
      <c r="T81" s="54">
        <v>0.62</v>
      </c>
      <c r="U81" s="56"/>
      <c r="V81" s="54"/>
      <c r="W81" s="56"/>
      <c r="X81" s="39">
        <f t="shared" si="22"/>
        <v>96.774193548387103</v>
      </c>
      <c r="Y81" s="39">
        <f t="shared" si="23"/>
        <v>91.935483870967744</v>
      </c>
      <c r="Z81" s="40">
        <f t="shared" si="24"/>
        <v>2.3059649122807016</v>
      </c>
      <c r="AA81" s="13">
        <v>2.5</v>
      </c>
      <c r="AB81" s="2"/>
      <c r="AC81" s="2"/>
    </row>
    <row r="82" spans="1:29" ht="47.25" customHeight="1">
      <c r="A82" s="33"/>
      <c r="B82" s="137"/>
      <c r="C82" s="82"/>
      <c r="D82" s="82"/>
      <c r="E82" s="82"/>
      <c r="F82" s="82"/>
      <c r="G82" s="82"/>
      <c r="H82" s="82"/>
      <c r="I82" s="138"/>
      <c r="J82" s="92"/>
      <c r="K82" s="93"/>
      <c r="L82" s="93"/>
      <c r="M82" s="110"/>
      <c r="N82" s="139" t="s">
        <v>47</v>
      </c>
      <c r="O82" s="76"/>
      <c r="P82" s="76"/>
      <c r="Q82" s="76"/>
      <c r="R82" s="76">
        <f>SUM(R72:S81)</f>
        <v>7.3100000000000014</v>
      </c>
      <c r="S82" s="76"/>
      <c r="T82" s="76">
        <f>SUM(T72:U81)</f>
        <v>6.3</v>
      </c>
      <c r="U82" s="76"/>
      <c r="V82" s="76">
        <f>SUM(V72:W81)</f>
        <v>1.01</v>
      </c>
      <c r="W82" s="76"/>
      <c r="X82" s="13"/>
      <c r="Y82" s="13"/>
      <c r="Z82" s="13"/>
      <c r="AA82" s="23">
        <f>SUM(AA72:AA81)</f>
        <v>28</v>
      </c>
      <c r="AB82" s="2"/>
      <c r="AC82" s="2"/>
    </row>
    <row r="83" spans="1:29" ht="47.25" customHeight="1">
      <c r="A83" s="123" t="s">
        <v>90</v>
      </c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5"/>
      <c r="R83" s="126">
        <f>SUM(R12:S26,R29:S43,R46:S52,R55:S63,R66:S69,R72:S81)</f>
        <v>27.62</v>
      </c>
      <c r="S83" s="127"/>
      <c r="T83" s="126">
        <f>SUM(T12:U26,T29:U43,T46:U52,T55:U63,T66:U69,T72:U81)</f>
        <v>21.709999999999997</v>
      </c>
      <c r="U83" s="127"/>
      <c r="V83" s="126">
        <f>SUM(V12:W26,V29:W43,V46:W52,V55:W63,V66:W69,V72:W81)</f>
        <v>5.91</v>
      </c>
      <c r="W83" s="127"/>
      <c r="X83" s="13"/>
      <c r="Y83" s="13"/>
      <c r="Z83" s="13"/>
      <c r="AA83" s="23">
        <f>AA82+AA70+AA64+AA53+AA44+AA27</f>
        <v>108</v>
      </c>
      <c r="AB83" s="2"/>
      <c r="AC83" s="2"/>
    </row>
    <row r="84" spans="1:29" ht="47.25" customHeight="1">
      <c r="A84" s="128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30"/>
      <c r="R84" s="131"/>
      <c r="S84" s="132"/>
      <c r="T84" s="133"/>
      <c r="U84" s="134"/>
      <c r="V84" s="135"/>
      <c r="W84" s="136"/>
      <c r="X84" s="13"/>
      <c r="Y84" s="13"/>
      <c r="Z84" s="13"/>
      <c r="AA84" s="13"/>
      <c r="AB84" s="2"/>
      <c r="AC84" s="2"/>
    </row>
    <row r="85" spans="1:29" ht="47.25" customHeight="1">
      <c r="A85" s="34"/>
      <c r="B85" s="140" t="s">
        <v>91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2"/>
      <c r="N85" s="143">
        <v>0.03</v>
      </c>
      <c r="O85" s="144"/>
      <c r="P85" s="144"/>
      <c r="Q85" s="144"/>
      <c r="R85" s="144"/>
      <c r="S85" s="145"/>
      <c r="T85" s="146">
        <f>N85</f>
        <v>0.03</v>
      </c>
      <c r="U85" s="147"/>
      <c r="V85" s="146">
        <f>N85</f>
        <v>0.03</v>
      </c>
      <c r="W85" s="147"/>
      <c r="X85" s="13"/>
      <c r="Y85" s="13"/>
      <c r="Z85" s="13"/>
      <c r="AA85" s="13"/>
      <c r="AB85" s="2"/>
      <c r="AC85" s="2"/>
    </row>
    <row r="86" spans="1:29" ht="47.25" customHeight="1">
      <c r="A86" s="34"/>
      <c r="B86" s="140" t="s">
        <v>92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2"/>
      <c r="N86" s="143">
        <v>0.05</v>
      </c>
      <c r="O86" s="144"/>
      <c r="P86" s="144"/>
      <c r="Q86" s="144"/>
      <c r="R86" s="144"/>
      <c r="S86" s="145"/>
      <c r="T86" s="146">
        <f>N86</f>
        <v>0.05</v>
      </c>
      <c r="U86" s="147"/>
      <c r="V86" s="146">
        <f>T86</f>
        <v>0.05</v>
      </c>
      <c r="W86" s="147"/>
      <c r="X86" s="13"/>
      <c r="Y86" s="13"/>
      <c r="Z86" s="13"/>
      <c r="AA86" s="13"/>
      <c r="AB86" s="2"/>
      <c r="AC86" s="2"/>
    </row>
    <row r="87" spans="1:29" ht="47.25" customHeight="1">
      <c r="A87" s="34"/>
      <c r="B87" s="140" t="s">
        <v>93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2"/>
      <c r="N87" s="143">
        <v>0</v>
      </c>
      <c r="O87" s="144"/>
      <c r="P87" s="144"/>
      <c r="Q87" s="144"/>
      <c r="R87" s="144"/>
      <c r="S87" s="145"/>
      <c r="T87" s="146">
        <v>0</v>
      </c>
      <c r="U87" s="147"/>
      <c r="V87" s="146">
        <v>0</v>
      </c>
      <c r="W87" s="147"/>
      <c r="X87" s="13"/>
      <c r="Y87" s="13"/>
      <c r="Z87" s="13"/>
      <c r="AA87" s="13"/>
      <c r="AB87" s="2"/>
      <c r="AC87" s="2"/>
    </row>
    <row r="88" spans="1:29" ht="47.25" customHeight="1">
      <c r="A88" s="35"/>
      <c r="B88" s="140" t="s">
        <v>94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2"/>
      <c r="N88" s="143">
        <v>0</v>
      </c>
      <c r="O88" s="144"/>
      <c r="P88" s="144"/>
      <c r="Q88" s="144"/>
      <c r="R88" s="144"/>
      <c r="S88" s="145"/>
      <c r="T88" s="146">
        <v>0</v>
      </c>
      <c r="U88" s="147"/>
      <c r="V88" s="146">
        <v>0</v>
      </c>
      <c r="W88" s="147"/>
      <c r="X88" s="13"/>
      <c r="Y88" s="13"/>
      <c r="Z88" s="13"/>
      <c r="AA88" s="13"/>
      <c r="AB88" s="2"/>
      <c r="AC88" s="2"/>
    </row>
    <row r="89" spans="1:29" ht="47.25" customHeight="1">
      <c r="A89" s="140" t="s">
        <v>95</v>
      </c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2"/>
      <c r="R89" s="150"/>
      <c r="S89" s="151"/>
      <c r="T89" s="146">
        <f>SUM(T85:U88)</f>
        <v>0.08</v>
      </c>
      <c r="U89" s="147"/>
      <c r="V89" s="146">
        <f>T89</f>
        <v>0.08</v>
      </c>
      <c r="W89" s="147"/>
      <c r="X89" s="13"/>
      <c r="Y89" s="13"/>
      <c r="Z89" s="13"/>
      <c r="AA89" s="13"/>
      <c r="AB89" s="2"/>
      <c r="AC89" s="2"/>
    </row>
    <row r="90" spans="1:29" ht="47.25" customHeight="1">
      <c r="A90" s="140" t="s">
        <v>96</v>
      </c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2"/>
      <c r="R90" s="152">
        <f>T90+V90</f>
        <v>29.829599999999996</v>
      </c>
      <c r="S90" s="127"/>
      <c r="T90" s="152">
        <f>(T83*T89)+T83</f>
        <v>23.446799999999996</v>
      </c>
      <c r="U90" s="127"/>
      <c r="V90" s="152">
        <f>(V83*V89)+V83</f>
        <v>6.3828000000000005</v>
      </c>
      <c r="W90" s="127"/>
      <c r="X90" s="13"/>
      <c r="Y90" s="13"/>
      <c r="Z90" s="13"/>
      <c r="AA90" s="13"/>
      <c r="AB90" s="2"/>
      <c r="AC90" s="2"/>
    </row>
    <row r="91" spans="1:29" ht="47.25" customHeight="1">
      <c r="A91" s="148"/>
      <c r="B91" s="14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6"/>
      <c r="Y91" s="36"/>
      <c r="Z91" s="36"/>
      <c r="AA91" s="36"/>
      <c r="AB91" s="2"/>
      <c r="AC91" s="2"/>
    </row>
    <row r="92" spans="1:29" ht="47.25" customHeight="1">
      <c r="A92" s="149"/>
      <c r="B92" s="14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">
        <v>112</v>
      </c>
      <c r="R92" s="2"/>
      <c r="S92" s="2"/>
      <c r="T92" s="2"/>
      <c r="U92" s="2"/>
      <c r="V92" s="2"/>
      <c r="W92" s="2"/>
      <c r="X92" s="36"/>
      <c r="Y92" s="36"/>
      <c r="Z92" s="36"/>
      <c r="AA92" s="36"/>
      <c r="AB92" s="2"/>
      <c r="AC92" s="2"/>
    </row>
  </sheetData>
  <mergeCells count="453">
    <mergeCell ref="B35:I35"/>
    <mergeCell ref="J35:M35"/>
    <mergeCell ref="N35:Q35"/>
    <mergeCell ref="R35:S35"/>
    <mergeCell ref="T35:U35"/>
    <mergeCell ref="V35:W35"/>
    <mergeCell ref="B36:I36"/>
    <mergeCell ref="J36:M36"/>
    <mergeCell ref="N36:Q36"/>
    <mergeCell ref="R36:S36"/>
    <mergeCell ref="T36:U36"/>
    <mergeCell ref="V36:W36"/>
    <mergeCell ref="B33:I33"/>
    <mergeCell ref="J33:M33"/>
    <mergeCell ref="N33:Q33"/>
    <mergeCell ref="R33:S33"/>
    <mergeCell ref="T33:U33"/>
    <mergeCell ref="V33:W33"/>
    <mergeCell ref="B34:I34"/>
    <mergeCell ref="J34:M34"/>
    <mergeCell ref="N34:Q34"/>
    <mergeCell ref="R34:S34"/>
    <mergeCell ref="T34:U34"/>
    <mergeCell ref="V34:W34"/>
    <mergeCell ref="B31:I31"/>
    <mergeCell ref="J31:M31"/>
    <mergeCell ref="N31:Q31"/>
    <mergeCell ref="R31:S31"/>
    <mergeCell ref="T31:U31"/>
    <mergeCell ref="V31:W31"/>
    <mergeCell ref="B32:I32"/>
    <mergeCell ref="J32:M32"/>
    <mergeCell ref="N32:Q32"/>
    <mergeCell ref="R32:S32"/>
    <mergeCell ref="T32:U32"/>
    <mergeCell ref="V32:W32"/>
    <mergeCell ref="B42:I42"/>
    <mergeCell ref="J42:M42"/>
    <mergeCell ref="N42:Q42"/>
    <mergeCell ref="R42:S42"/>
    <mergeCell ref="T42:U42"/>
    <mergeCell ref="V42:W42"/>
    <mergeCell ref="B63:I63"/>
    <mergeCell ref="J63:M63"/>
    <mergeCell ref="N63:Q63"/>
    <mergeCell ref="R63:S63"/>
    <mergeCell ref="T63:U63"/>
    <mergeCell ref="V63:W63"/>
    <mergeCell ref="B67:I67"/>
    <mergeCell ref="J67:M67"/>
    <mergeCell ref="N67:Q67"/>
    <mergeCell ref="R67:S67"/>
    <mergeCell ref="T67:U67"/>
    <mergeCell ref="V67:W67"/>
    <mergeCell ref="A91:B91"/>
    <mergeCell ref="A92:B92"/>
    <mergeCell ref="A89:Q89"/>
    <mergeCell ref="R89:S89"/>
    <mergeCell ref="T89:U89"/>
    <mergeCell ref="V89:W89"/>
    <mergeCell ref="A90:Q90"/>
    <mergeCell ref="R90:S90"/>
    <mergeCell ref="T90:U90"/>
    <mergeCell ref="V90:W90"/>
    <mergeCell ref="B87:M87"/>
    <mergeCell ref="N87:S87"/>
    <mergeCell ref="T87:U87"/>
    <mergeCell ref="V87:W87"/>
    <mergeCell ref="B88:M88"/>
    <mergeCell ref="N88:S88"/>
    <mergeCell ref="T88:U88"/>
    <mergeCell ref="V88:W88"/>
    <mergeCell ref="B85:M85"/>
    <mergeCell ref="N85:S85"/>
    <mergeCell ref="T85:U85"/>
    <mergeCell ref="V85:W85"/>
    <mergeCell ref="B86:M86"/>
    <mergeCell ref="N86:S86"/>
    <mergeCell ref="T86:U86"/>
    <mergeCell ref="V86:W86"/>
    <mergeCell ref="A83:Q83"/>
    <mergeCell ref="R83:S83"/>
    <mergeCell ref="T83:U83"/>
    <mergeCell ref="V83:W83"/>
    <mergeCell ref="A84:Q84"/>
    <mergeCell ref="R84:S84"/>
    <mergeCell ref="T84:U84"/>
    <mergeCell ref="V84:W84"/>
    <mergeCell ref="B82:I82"/>
    <mergeCell ref="J82:M82"/>
    <mergeCell ref="N82:Q82"/>
    <mergeCell ref="R82:S82"/>
    <mergeCell ref="T82:U82"/>
    <mergeCell ref="V82:W82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A70:B70"/>
    <mergeCell ref="N70:Q70"/>
    <mergeCell ref="R70:S70"/>
    <mergeCell ref="T70:U70"/>
    <mergeCell ref="V70:W70"/>
    <mergeCell ref="B71:I71"/>
    <mergeCell ref="J71:M71"/>
    <mergeCell ref="N71:Q71"/>
    <mergeCell ref="R71:S71"/>
    <mergeCell ref="T71:U71"/>
    <mergeCell ref="B69:I69"/>
    <mergeCell ref="J69:M69"/>
    <mergeCell ref="N69:Q69"/>
    <mergeCell ref="R69:S69"/>
    <mergeCell ref="T69:U69"/>
    <mergeCell ref="V69:W69"/>
    <mergeCell ref="B68:I68"/>
    <mergeCell ref="J68:M68"/>
    <mergeCell ref="N68:Q68"/>
    <mergeCell ref="R68:S68"/>
    <mergeCell ref="T68:U68"/>
    <mergeCell ref="V68:W68"/>
    <mergeCell ref="N64:Q64"/>
    <mergeCell ref="R64:S64"/>
    <mergeCell ref="T64:U64"/>
    <mergeCell ref="V64:W64"/>
    <mergeCell ref="B66:I66"/>
    <mergeCell ref="J66:M66"/>
    <mergeCell ref="N66:Q66"/>
    <mergeCell ref="R66:S66"/>
    <mergeCell ref="T66:U66"/>
    <mergeCell ref="V66:W66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A53:B53"/>
    <mergeCell ref="N53:Q53"/>
    <mergeCell ref="R53:S53"/>
    <mergeCell ref="T53:U53"/>
    <mergeCell ref="V53:W53"/>
    <mergeCell ref="B55:I55"/>
    <mergeCell ref="J55:M55"/>
    <mergeCell ref="N55:Q55"/>
    <mergeCell ref="R55:S55"/>
    <mergeCell ref="T55:U55"/>
    <mergeCell ref="V55:W55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V46:W46"/>
    <mergeCell ref="B47:I47"/>
    <mergeCell ref="J47:M47"/>
    <mergeCell ref="N47:Q47"/>
    <mergeCell ref="R47:S47"/>
    <mergeCell ref="T47:U47"/>
    <mergeCell ref="V47:W47"/>
    <mergeCell ref="A44:B44"/>
    <mergeCell ref="N44:Q44"/>
    <mergeCell ref="R44:S44"/>
    <mergeCell ref="T44:U44"/>
    <mergeCell ref="V44:W44"/>
    <mergeCell ref="B46:I46"/>
    <mergeCell ref="J46:M46"/>
    <mergeCell ref="N46:Q46"/>
    <mergeCell ref="R46:S46"/>
    <mergeCell ref="T46:U46"/>
    <mergeCell ref="B43:I43"/>
    <mergeCell ref="J43:M43"/>
    <mergeCell ref="N43:Q43"/>
    <mergeCell ref="R43:S43"/>
    <mergeCell ref="T43:U43"/>
    <mergeCell ref="V43:W43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V29:W29"/>
    <mergeCell ref="B30:I30"/>
    <mergeCell ref="J30:M30"/>
    <mergeCell ref="N30:Q30"/>
    <mergeCell ref="R30:S30"/>
    <mergeCell ref="T30:U30"/>
    <mergeCell ref="V30:W30"/>
    <mergeCell ref="A27:B27"/>
    <mergeCell ref="N27:Q27"/>
    <mergeCell ref="R27:S27"/>
    <mergeCell ref="T27:U27"/>
    <mergeCell ref="V27:W27"/>
    <mergeCell ref="B29:I29"/>
    <mergeCell ref="J29:M29"/>
    <mergeCell ref="N29:Q29"/>
    <mergeCell ref="R29:S29"/>
    <mergeCell ref="T29:U29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A8:C8"/>
    <mergeCell ref="D8:AA9"/>
    <mergeCell ref="A10:B10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A1:W1"/>
    <mergeCell ref="A3:B5"/>
    <mergeCell ref="C3:G5"/>
    <mergeCell ref="H3:H5"/>
    <mergeCell ref="I3:I5"/>
    <mergeCell ref="J3:K5"/>
    <mergeCell ref="L3:P3"/>
    <mergeCell ref="S3:T5"/>
    <mergeCell ref="U3:W5"/>
  </mergeCells>
  <pageMargins left="0.70866141732283472" right="0.15748031496062992" top="0.31496062992125984" bottom="0.51181102362204722" header="0.31496062992125984" footer="0.15748031496062992"/>
  <pageSetup paperSize="9" scale="19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2026-03-16T11:12:00Z</dcterms:modified>
</cp:coreProperties>
</file>