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H:\OneDrive - Laguna Clothing Pvt Ltd\Shamantu\GSD\OB\Up Coming Styles\August-2025\Line-9\"/>
    </mc:Choice>
  </mc:AlternateContent>
  <bookViews>
    <workbookView xWindow="240" yWindow="105" windowWidth="14805" windowHeight="80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67" i="1" l="1"/>
  <c r="AA68" i="1" s="1"/>
  <c r="V67" i="1"/>
  <c r="T67" i="1"/>
  <c r="R67" i="1"/>
  <c r="T68" i="1"/>
  <c r="V68" i="1"/>
  <c r="R68" i="1"/>
  <c r="T64" i="1"/>
  <c r="X64" i="1"/>
  <c r="Y64" i="1" s="1"/>
  <c r="V63" i="1"/>
  <c r="AA53" i="1"/>
  <c r="R53" i="1"/>
  <c r="X43" i="1"/>
  <c r="Y43" i="1" s="1"/>
  <c r="T43" i="1"/>
  <c r="T50" i="1" l="1"/>
  <c r="X50" i="1"/>
  <c r="Y50" i="1" s="1"/>
  <c r="X52" i="1"/>
  <c r="Y52" i="1" s="1"/>
  <c r="T52" i="1"/>
  <c r="X48" i="1"/>
  <c r="Y48" i="1" s="1"/>
  <c r="V48" i="1"/>
  <c r="V53" i="1" s="1"/>
  <c r="T35" i="1"/>
  <c r="X35" i="1"/>
  <c r="Y35" i="1" s="1"/>
  <c r="V32" i="1"/>
  <c r="T31" i="1"/>
  <c r="T27" i="1"/>
  <c r="X27" i="1"/>
  <c r="Y27" i="1" s="1"/>
  <c r="V16" i="1"/>
  <c r="X33" i="1" l="1"/>
  <c r="Y33" i="1" s="1"/>
  <c r="X34" i="1"/>
  <c r="Y34" i="1"/>
  <c r="X36" i="1"/>
  <c r="Y36" i="1" s="1"/>
  <c r="T36" i="1"/>
  <c r="V34" i="1"/>
  <c r="V33" i="1"/>
  <c r="R29" i="1"/>
  <c r="AA29" i="1"/>
  <c r="AA46" i="1"/>
  <c r="R46" i="1"/>
  <c r="V73" i="1"/>
  <c r="T73" i="1"/>
  <c r="V72" i="1"/>
  <c r="T72" i="1"/>
  <c r="V71" i="1"/>
  <c r="T71" i="1"/>
  <c r="V70" i="1"/>
  <c r="T70" i="1"/>
  <c r="X66" i="1"/>
  <c r="Y66" i="1" s="1"/>
  <c r="T66" i="1"/>
  <c r="X65" i="1"/>
  <c r="Y65" i="1" s="1"/>
  <c r="T65" i="1"/>
  <c r="X63" i="1"/>
  <c r="Y63" i="1" s="1"/>
  <c r="X62" i="1"/>
  <c r="Y62" i="1" s="1"/>
  <c r="V62" i="1"/>
  <c r="X61" i="1"/>
  <c r="Y61" i="1" s="1"/>
  <c r="T61" i="1"/>
  <c r="X60" i="1"/>
  <c r="Y60" i="1" s="1"/>
  <c r="T60" i="1"/>
  <c r="X59" i="1"/>
  <c r="Y59" i="1" s="1"/>
  <c r="T59" i="1"/>
  <c r="X58" i="1"/>
  <c r="Y58" i="1" s="1"/>
  <c r="T58" i="1"/>
  <c r="X57" i="1"/>
  <c r="Y57" i="1" s="1"/>
  <c r="T57" i="1"/>
  <c r="X56" i="1"/>
  <c r="Y56" i="1" s="1"/>
  <c r="T56" i="1"/>
  <c r="X55" i="1"/>
  <c r="Y55" i="1" s="1"/>
  <c r="V55" i="1"/>
  <c r="X51" i="1"/>
  <c r="Y51" i="1" s="1"/>
  <c r="T51" i="1"/>
  <c r="X49" i="1"/>
  <c r="Y49" i="1" s="1"/>
  <c r="T49" i="1"/>
  <c r="X45" i="1"/>
  <c r="Y45" i="1" s="1"/>
  <c r="V45" i="1"/>
  <c r="X44" i="1"/>
  <c r="Y44" i="1" s="1"/>
  <c r="T44" i="1"/>
  <c r="X42" i="1"/>
  <c r="Y42" i="1" s="1"/>
  <c r="T42" i="1"/>
  <c r="X41" i="1"/>
  <c r="Y41" i="1" s="1"/>
  <c r="T41" i="1"/>
  <c r="X40" i="1"/>
  <c r="Y40" i="1" s="1"/>
  <c r="V40" i="1"/>
  <c r="X39" i="1"/>
  <c r="Y39" i="1" s="1"/>
  <c r="T39" i="1"/>
  <c r="X38" i="1"/>
  <c r="Y38" i="1" s="1"/>
  <c r="T38" i="1"/>
  <c r="X37" i="1"/>
  <c r="Y37" i="1" s="1"/>
  <c r="T37" i="1"/>
  <c r="X32" i="1"/>
  <c r="Y32" i="1" s="1"/>
  <c r="X31" i="1"/>
  <c r="Y31" i="1" s="1"/>
  <c r="X28" i="1"/>
  <c r="Y28" i="1" s="1"/>
  <c r="T28" i="1"/>
  <c r="X26" i="1"/>
  <c r="Y26" i="1" s="1"/>
  <c r="V26" i="1"/>
  <c r="X25" i="1"/>
  <c r="Y25" i="1" s="1"/>
  <c r="V25" i="1"/>
  <c r="X24" i="1"/>
  <c r="Y24" i="1" s="1"/>
  <c r="T24" i="1"/>
  <c r="X23" i="1"/>
  <c r="Y23" i="1" s="1"/>
  <c r="V23" i="1"/>
  <c r="X22" i="1"/>
  <c r="Y22" i="1" s="1"/>
  <c r="V22" i="1"/>
  <c r="X21" i="1"/>
  <c r="Y21" i="1" s="1"/>
  <c r="T21" i="1"/>
  <c r="X20" i="1"/>
  <c r="Y20" i="1" s="1"/>
  <c r="T20" i="1"/>
  <c r="X19" i="1"/>
  <c r="Y19" i="1" s="1"/>
  <c r="T19" i="1"/>
  <c r="X18" i="1"/>
  <c r="Y18" i="1" s="1"/>
  <c r="T18" i="1"/>
  <c r="X17" i="1"/>
  <c r="Y17" i="1" s="1"/>
  <c r="T17" i="1"/>
  <c r="X16" i="1"/>
  <c r="Y16" i="1" s="1"/>
  <c r="X15" i="1"/>
  <c r="Y15" i="1" s="1"/>
  <c r="T15" i="1"/>
  <c r="X14" i="1"/>
  <c r="Y14" i="1" s="1"/>
  <c r="V14" i="1"/>
  <c r="X13" i="1"/>
  <c r="Y13" i="1" s="1"/>
  <c r="T13" i="1"/>
  <c r="U3" i="1"/>
  <c r="T53" i="1" l="1"/>
  <c r="T74" i="1"/>
  <c r="T46" i="1"/>
  <c r="V74" i="1"/>
  <c r="V46" i="1"/>
  <c r="T29" i="1"/>
  <c r="V29" i="1"/>
  <c r="V75" i="1" l="1"/>
  <c r="T75" i="1"/>
  <c r="R75" i="1" s="1"/>
  <c r="Y5" i="1" s="1"/>
  <c r="Y6" i="1" s="1"/>
  <c r="AA6" i="1" s="1"/>
  <c r="Z43" i="1" l="1"/>
  <c r="Z64" i="1"/>
  <c r="Z50" i="1"/>
  <c r="Z52" i="1"/>
  <c r="Z48" i="1"/>
  <c r="Z35" i="1"/>
  <c r="Z57" i="1"/>
  <c r="Z27" i="1"/>
  <c r="Z55" i="1"/>
  <c r="Z38" i="1"/>
  <c r="Z18" i="1"/>
  <c r="Z66" i="1"/>
  <c r="Z51" i="1"/>
  <c r="Z37" i="1"/>
  <c r="Z17" i="1"/>
  <c r="Z49" i="1"/>
  <c r="Z32" i="1"/>
  <c r="Z16" i="1"/>
  <c r="Z65" i="1"/>
  <c r="Z31" i="1"/>
  <c r="Z15" i="1"/>
  <c r="Z28" i="1"/>
  <c r="Z14" i="1"/>
  <c r="Z63" i="1"/>
  <c r="Z26" i="1"/>
  <c r="Z13" i="1"/>
  <c r="Z62" i="1"/>
  <c r="Z45" i="1"/>
  <c r="Z25" i="1"/>
  <c r="Z44" i="1"/>
  <c r="Z24" i="1"/>
  <c r="Z60" i="1"/>
  <c r="Z42" i="1"/>
  <c r="Z22" i="1"/>
  <c r="Z41" i="1"/>
  <c r="Z58" i="1"/>
  <c r="Z40" i="1"/>
  <c r="Z61" i="1"/>
  <c r="Z59" i="1"/>
  <c r="Z21" i="1"/>
  <c r="Z20" i="1"/>
  <c r="Z56" i="1"/>
  <c r="Z39" i="1"/>
  <c r="Z19" i="1"/>
  <c r="Z23" i="1"/>
  <c r="Z33" i="1"/>
  <c r="Z34" i="1"/>
  <c r="Z36" i="1"/>
</calcChain>
</file>

<file path=xl/sharedStrings.xml><?xml version="1.0" encoding="utf-8"?>
<sst xmlns="http://schemas.openxmlformats.org/spreadsheetml/2006/main" count="188" uniqueCount="114">
  <si>
    <t>SMV &amp; Operation Breakdown</t>
  </si>
  <si>
    <t>Buyer:</t>
  </si>
  <si>
    <t>Style Ref:</t>
  </si>
  <si>
    <t>Date:</t>
  </si>
  <si>
    <t>Batch Target:</t>
  </si>
  <si>
    <t>Manpower</t>
  </si>
  <si>
    <t>Season:</t>
  </si>
  <si>
    <t>Fabric:</t>
  </si>
  <si>
    <t>Prepared By:</t>
  </si>
  <si>
    <t>Shamantu B R</t>
  </si>
  <si>
    <t>Target at 90%</t>
  </si>
  <si>
    <t>Target per hour</t>
  </si>
  <si>
    <t>Description:</t>
  </si>
  <si>
    <t>SL #</t>
  </si>
  <si>
    <t>Operation Description</t>
  </si>
  <si>
    <t>Machine</t>
  </si>
  <si>
    <t>Tool / Folder</t>
  </si>
  <si>
    <t>SMV</t>
  </si>
  <si>
    <t>Machinist SMV</t>
  </si>
  <si>
    <t>Non - Machinist SMV</t>
  </si>
  <si>
    <t>Target at 100%</t>
  </si>
  <si>
    <t>Target at 95%</t>
  </si>
  <si>
    <t>Manpower required</t>
  </si>
  <si>
    <t>Manpower allocated</t>
  </si>
  <si>
    <t>Collar</t>
  </si>
  <si>
    <t>Iron Table</t>
  </si>
  <si>
    <t>N/A</t>
  </si>
  <si>
    <t>SNLS</t>
  </si>
  <si>
    <t>Run Collar- fusible</t>
  </si>
  <si>
    <r>
      <rPr>
        <sz val="20"/>
        <color indexed="8"/>
        <rFont val="Times New Roman"/>
        <family val="1"/>
      </rPr>
      <t>SNLS</t>
    </r>
  </si>
  <si>
    <r>
      <rPr>
        <sz val="20"/>
        <color indexed="8"/>
        <rFont val="Times New Roman"/>
        <family val="1"/>
      </rPr>
      <t>Collar Blocking</t>
    </r>
  </si>
  <si>
    <r>
      <rPr>
        <sz val="20"/>
        <color indexed="8"/>
        <rFont val="Times New Roman"/>
        <family val="1"/>
      </rPr>
      <t>Blocking</t>
    </r>
  </si>
  <si>
    <r>
      <rPr>
        <sz val="20"/>
        <color indexed="8"/>
        <rFont val="Times New Roman"/>
        <family val="1"/>
      </rPr>
      <t xml:space="preserve">Top stitch collar </t>
    </r>
  </si>
  <si>
    <r>
      <rPr>
        <sz val="20"/>
        <color indexed="8"/>
        <rFont val="Times New Roman"/>
        <family val="1"/>
      </rPr>
      <t>Collar contour trim</t>
    </r>
  </si>
  <si>
    <r>
      <rPr>
        <sz val="20"/>
        <color indexed="8"/>
        <rFont val="Times New Roman"/>
        <family val="1"/>
      </rPr>
      <t>Contour M/C</t>
    </r>
  </si>
  <si>
    <r>
      <rPr>
        <sz val="20"/>
        <color indexed="8"/>
        <rFont val="Times New Roman"/>
        <family val="1"/>
      </rPr>
      <t>Collar Stay Stitch</t>
    </r>
  </si>
  <si>
    <t>3mm</t>
  </si>
  <si>
    <r>
      <rPr>
        <sz val="20"/>
        <color indexed="8"/>
        <rFont val="Times New Roman"/>
        <family val="1"/>
      </rPr>
      <t>Tape attach at band</t>
    </r>
  </si>
  <si>
    <r>
      <rPr>
        <sz val="20"/>
        <color indexed="8"/>
        <rFont val="Times New Roman"/>
        <family val="1"/>
      </rPr>
      <t>Pick turn</t>
    </r>
  </si>
  <si>
    <r>
      <rPr>
        <sz val="20"/>
        <color indexed="8"/>
        <rFont val="Times New Roman"/>
        <family val="1"/>
      </rPr>
      <t>Turning M/C</t>
    </r>
  </si>
  <si>
    <r>
      <rPr>
        <sz val="20"/>
        <color indexed="8"/>
        <rFont val="Times New Roman"/>
        <family val="1"/>
      </rPr>
      <t>Pick iron</t>
    </r>
  </si>
  <si>
    <r>
      <rPr>
        <sz val="20"/>
        <color indexed="8"/>
        <rFont val="Times New Roman"/>
        <family val="1"/>
      </rPr>
      <t>Iron Table</t>
    </r>
  </si>
  <si>
    <r>
      <rPr>
        <sz val="20"/>
        <color indexed="8"/>
        <rFont val="Times New Roman"/>
        <family val="1"/>
      </rPr>
      <t>Trim base</t>
    </r>
  </si>
  <si>
    <r>
      <rPr>
        <sz val="20"/>
        <color indexed="8"/>
        <rFont val="Times New Roman"/>
        <family val="1"/>
      </rPr>
      <t>SNEC</t>
    </r>
  </si>
  <si>
    <r>
      <rPr>
        <sz val="20"/>
        <color indexed="8"/>
        <rFont val="Times New Roman"/>
        <family val="1"/>
      </rPr>
      <t>Notch &amp; mark collar</t>
    </r>
  </si>
  <si>
    <r>
      <rPr>
        <sz val="20"/>
        <color indexed="8"/>
        <rFont val="Times New Roman"/>
        <family val="1"/>
      </rPr>
      <t>Notch M/C</t>
    </r>
  </si>
  <si>
    <r>
      <rPr>
        <sz val="20"/>
        <color indexed="8"/>
        <rFont val="Times New Roman"/>
        <family val="1"/>
      </rPr>
      <t>Button hole  &amp; Attach on neck band</t>
    </r>
  </si>
  <si>
    <t>Tandom M/C</t>
  </si>
  <si>
    <t>Sub Total</t>
  </si>
  <si>
    <t>Front</t>
  </si>
  <si>
    <t>Pocket marking</t>
  </si>
  <si>
    <t>Helper Table</t>
  </si>
  <si>
    <t>Pocket Iron</t>
  </si>
  <si>
    <t>Pocket Attach-Round shape</t>
  </si>
  <si>
    <t>Right placket hem</t>
  </si>
  <si>
    <t>30mm</t>
  </si>
  <si>
    <t>B/Hole M/C</t>
  </si>
  <si>
    <t>Horizontal button hole X 1</t>
  </si>
  <si>
    <t>Button Marking</t>
  </si>
  <si>
    <t>Button M/C</t>
  </si>
  <si>
    <t>Extra button sew X 2</t>
  </si>
  <si>
    <t>Wash care label attach</t>
  </si>
  <si>
    <t>Pairing</t>
  </si>
  <si>
    <t>10mm</t>
  </si>
  <si>
    <t>SNEC</t>
  </si>
  <si>
    <t>Back</t>
  </si>
  <si>
    <t>Pattren Sewer M/C</t>
  </si>
  <si>
    <t>Assembly</t>
  </si>
  <si>
    <t>Hanger Loading</t>
  </si>
  <si>
    <t xml:space="preserve">Join shoulder </t>
  </si>
  <si>
    <t>1mm</t>
  </si>
  <si>
    <t>DNCS</t>
  </si>
  <si>
    <t>1/4"</t>
  </si>
  <si>
    <t>Sleeve Top</t>
  </si>
  <si>
    <t xml:space="preserve">Side Seam </t>
  </si>
  <si>
    <t>FOA</t>
  </si>
  <si>
    <t>Total SMV</t>
  </si>
  <si>
    <r>
      <rPr>
        <b/>
        <sz val="20"/>
        <color indexed="8"/>
        <rFont val="Calibri Light"/>
        <family val="2"/>
      </rPr>
      <t>Fabric allowance</t>
    </r>
  </si>
  <si>
    <r>
      <rPr>
        <b/>
        <sz val="20"/>
        <color indexed="8"/>
        <rFont val="Calibri Light"/>
        <family val="2"/>
      </rPr>
      <t>SPI allowance</t>
    </r>
  </si>
  <si>
    <r>
      <rPr>
        <b/>
        <sz val="20"/>
        <color indexed="8"/>
        <rFont val="Calibri Light"/>
        <family val="2"/>
      </rPr>
      <t>Quantity allowance</t>
    </r>
  </si>
  <si>
    <r>
      <rPr>
        <b/>
        <sz val="20"/>
        <color indexed="8"/>
        <rFont val="Calibri Light"/>
        <family val="2"/>
      </rPr>
      <t>Size allowance</t>
    </r>
  </si>
  <si>
    <r>
      <rPr>
        <b/>
        <sz val="20"/>
        <color indexed="8"/>
        <rFont val="Calibri Light"/>
        <family val="2"/>
      </rPr>
      <t>Total allowance</t>
    </r>
  </si>
  <si>
    <r>
      <rPr>
        <b/>
        <sz val="20"/>
        <color indexed="8"/>
        <rFont val="Calibri Light"/>
        <family val="2"/>
      </rPr>
      <t>Total SMV with Allowances</t>
    </r>
  </si>
  <si>
    <t>Neck band edge stitch</t>
  </si>
  <si>
    <t>Button hole on button down collar</t>
  </si>
  <si>
    <t>Neck band hem with tape</t>
  </si>
  <si>
    <t>Collar Attach</t>
  </si>
  <si>
    <t>Collar Finish</t>
  </si>
  <si>
    <t>Sleeve Attach</t>
  </si>
  <si>
    <t>Bottom Serging</t>
  </si>
  <si>
    <t>3/8"</t>
  </si>
  <si>
    <t>Cut &amp; Sew Placket</t>
  </si>
  <si>
    <t>Kansai</t>
  </si>
  <si>
    <t>Neck Trim</t>
  </si>
  <si>
    <t>Pocket Hem-V Shape</t>
  </si>
  <si>
    <t>Button button hole X 5</t>
  </si>
  <si>
    <t>V Pacth Iron</t>
  </si>
  <si>
    <t>V Patch Attach</t>
  </si>
  <si>
    <t>Center Pleat</t>
  </si>
  <si>
    <t>Yoke Attach -Center Pleat</t>
  </si>
  <si>
    <t>Button Down</t>
  </si>
  <si>
    <t>Sew Main Label with size label-4 Side &amp; Secondry Lable Attach-4 side</t>
  </si>
  <si>
    <t xml:space="preserve">MW0MW40277 / LT OXF. MADRAS RLX S/S SHIRT
</t>
  </si>
  <si>
    <t>50% REGEN COTTON, 47% BCI, 3% ELASTANE</t>
  </si>
  <si>
    <t xml:space="preserve">TOMMY EUROPE </t>
  </si>
  <si>
    <t>SUPF 26</t>
  </si>
  <si>
    <t>Button sew front X 6</t>
  </si>
  <si>
    <t>MEX destinations size label</t>
  </si>
  <si>
    <t>Neckband attach</t>
  </si>
  <si>
    <t>Pick attach</t>
  </si>
  <si>
    <t>Bottom hem</t>
  </si>
  <si>
    <t>Sleeve hem iron</t>
  </si>
  <si>
    <t>Sleeve hem</t>
  </si>
  <si>
    <t>Button Down Collar, round neckband, Cut &amp; Sew Placket, single Round cuff 2 bttn 1 B/H, side seam -FOA, 1 mm stitch at shoulder, 1mm top stitch on yoke,Horizontal button hole, EMB @ chest,Pocket Attach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</si>
</sst>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_ "/>
    <numFmt numFmtId="165" formatCode="0.00_ "/>
  </numFmts>
  <fonts count="15">
    <font>
      <sz val="11"/>
      <color theme="1"/>
      <name val="Aptos Narrow"/>
      <family val="2"/>
      <scheme val="minor"/>
    </font>
    <font>
      <b/>
      <sz val="20"/>
      <color rgb="FF000000"/>
      <name val="Calibri Light"/>
      <family val="2"/>
    </font>
    <font>
      <sz val="20"/>
      <color rgb="FF000000"/>
      <name val="Calibri"/>
      <family val="2"/>
    </font>
    <font>
      <sz val="20"/>
      <color theme="1"/>
      <name val="Aptos Narrow"/>
      <family val="2"/>
      <scheme val="minor"/>
    </font>
    <font>
      <b/>
      <sz val="20"/>
      <color rgb="FF000000"/>
      <name val="Calibri"/>
      <family val="2"/>
    </font>
    <font>
      <u/>
      <sz val="20"/>
      <color rgb="FF000000"/>
      <name val="Calibri"/>
      <family val="2"/>
    </font>
    <font>
      <sz val="20"/>
      <color rgb="FF000000"/>
      <name val="Times New Roman"/>
      <family val="1"/>
    </font>
    <font>
      <sz val="20"/>
      <color indexed="8"/>
      <name val="Times New Roman"/>
      <family val="1"/>
    </font>
    <font>
      <sz val="20"/>
      <name val="Arial"/>
      <family val="2"/>
    </font>
    <font>
      <b/>
      <sz val="20"/>
      <name val="Times New Roman"/>
      <family val="1"/>
    </font>
    <font>
      <b/>
      <sz val="20"/>
      <color theme="1"/>
      <name val="Aptos Narrow"/>
      <family val="2"/>
      <scheme val="minor"/>
    </font>
    <font>
      <sz val="20"/>
      <color rgb="FF000000"/>
      <name val="Calibri Light"/>
      <family val="2"/>
    </font>
    <font>
      <b/>
      <sz val="20"/>
      <color indexed="8"/>
      <name val="Calibri Light"/>
      <family val="2"/>
    </font>
    <font>
      <b/>
      <sz val="20"/>
      <color rgb="FF000000"/>
      <name val="Times New Roman"/>
      <family val="1"/>
    </font>
    <font>
      <b/>
      <sz val="20"/>
      <color rgb="FF151616"/>
      <name val="TimesNewRomanPS-BoldMT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6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right"/>
    </xf>
    <xf numFmtId="0" fontId="2" fillId="2" borderId="0" xfId="0" applyFont="1" applyFill="1" applyAlignment="1">
      <alignment horizontal="left"/>
    </xf>
    <xf numFmtId="0" fontId="2" fillId="2" borderId="0" xfId="0" applyFont="1" applyFill="1"/>
    <xf numFmtId="0" fontId="4" fillId="2" borderId="0" xfId="0" applyFont="1" applyFill="1" applyAlignment="1">
      <alignment horizontal="right" vertical="center"/>
    </xf>
    <xf numFmtId="1" fontId="2" fillId="2" borderId="2" xfId="0" applyNumberFormat="1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2" fillId="4" borderId="8" xfId="0" applyFont="1" applyFill="1" applyBorder="1"/>
    <xf numFmtId="0" fontId="1" fillId="4" borderId="9" xfId="0" applyFont="1" applyFill="1" applyBorder="1"/>
    <xf numFmtId="0" fontId="1" fillId="4" borderId="10" xfId="0" applyFont="1" applyFill="1" applyBorder="1"/>
    <xf numFmtId="0" fontId="1" fillId="4" borderId="10" xfId="0" applyFont="1" applyFill="1" applyBorder="1" applyAlignment="1">
      <alignment horizontal="center"/>
    </xf>
    <xf numFmtId="0" fontId="3" fillId="5" borderId="11" xfId="0" applyFont="1" applyFill="1" applyBorder="1" applyAlignment="1">
      <alignment horizontal="left" vertical="center"/>
    </xf>
    <xf numFmtId="0" fontId="3" fillId="5" borderId="11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left" vertical="center"/>
    </xf>
    <xf numFmtId="0" fontId="2" fillId="2" borderId="7" xfId="0" applyFont="1" applyFill="1" applyBorder="1"/>
    <xf numFmtId="164" fontId="3" fillId="0" borderId="7" xfId="0" applyNumberFormat="1" applyFont="1" applyBorder="1" applyAlignment="1">
      <alignment horizontal="center" vertical="center"/>
    </xf>
    <xf numFmtId="165" fontId="3" fillId="0" borderId="13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8" fillId="2" borderId="0" xfId="0" applyFont="1" applyFill="1"/>
    <xf numFmtId="165" fontId="3" fillId="0" borderId="7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17" xfId="0" applyFont="1" applyFill="1" applyBorder="1" applyAlignment="1">
      <alignment horizontal="center" vertical="center"/>
    </xf>
    <xf numFmtId="0" fontId="2" fillId="0" borderId="7" xfId="0" applyFont="1" applyBorder="1"/>
    <xf numFmtId="0" fontId="10" fillId="0" borderId="7" xfId="0" applyFont="1" applyBorder="1" applyAlignment="1">
      <alignment horizontal="center" vertical="center"/>
    </xf>
    <xf numFmtId="0" fontId="2" fillId="4" borderId="4" xfId="0" applyFont="1" applyFill="1" applyBorder="1"/>
    <xf numFmtId="0" fontId="1" fillId="4" borderId="5" xfId="0" applyFont="1" applyFill="1" applyBorder="1"/>
    <xf numFmtId="0" fontId="1" fillId="4" borderId="3" xfId="0" applyFont="1" applyFill="1" applyBorder="1"/>
    <xf numFmtId="0" fontId="1" fillId="4" borderId="3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 vertical="center"/>
    </xf>
    <xf numFmtId="0" fontId="2" fillId="2" borderId="18" xfId="0" applyFont="1" applyFill="1" applyBorder="1"/>
    <xf numFmtId="0" fontId="2" fillId="2" borderId="19" xfId="0" applyFont="1" applyFill="1" applyBorder="1"/>
    <xf numFmtId="0" fontId="2" fillId="2" borderId="5" xfId="0" applyFont="1" applyFill="1" applyBorder="1"/>
    <xf numFmtId="0" fontId="2" fillId="2" borderId="9" xfId="0" applyFont="1" applyFill="1" applyBorder="1"/>
    <xf numFmtId="0" fontId="4" fillId="2" borderId="0" xfId="0" applyFont="1" applyFill="1" applyAlignment="1">
      <alignment horizontal="left"/>
    </xf>
    <xf numFmtId="0" fontId="14" fillId="0" borderId="0" xfId="0" applyFont="1" applyAlignment="1"/>
    <xf numFmtId="0" fontId="6" fillId="2" borderId="7" xfId="0" applyFont="1" applyFill="1" applyBorder="1" applyAlignment="1">
      <alignment horizontal="left" vertical="center"/>
    </xf>
    <xf numFmtId="0" fontId="6" fillId="2" borderId="7" xfId="0" applyFont="1" applyFill="1" applyBorder="1" applyAlignment="1">
      <alignment horizontal="center"/>
    </xf>
    <xf numFmtId="0" fontId="6" fillId="2" borderId="13" xfId="0" applyFont="1" applyFill="1" applyBorder="1" applyAlignment="1">
      <alignment horizontal="center"/>
    </xf>
    <xf numFmtId="0" fontId="6" fillId="2" borderId="14" xfId="0" applyFont="1" applyFill="1" applyBorder="1" applyAlignment="1">
      <alignment horizontal="center"/>
    </xf>
    <xf numFmtId="0" fontId="6" fillId="2" borderId="15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9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left" vertical="center"/>
    </xf>
    <xf numFmtId="0" fontId="6" fillId="6" borderId="13" xfId="0" applyFont="1" applyFill="1" applyBorder="1" applyAlignment="1">
      <alignment horizontal="left" vertical="center"/>
    </xf>
    <xf numFmtId="0" fontId="6" fillId="6" borderId="14" xfId="0" applyFont="1" applyFill="1" applyBorder="1" applyAlignment="1">
      <alignment horizontal="left" vertical="center"/>
    </xf>
    <xf numFmtId="0" fontId="6" fillId="6" borderId="15" xfId="0" applyFont="1" applyFill="1" applyBorder="1" applyAlignment="1">
      <alignment horizontal="left" vertical="center"/>
    </xf>
    <xf numFmtId="0" fontId="6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1" fillId="4" borderId="9" xfId="0" applyFont="1" applyFill="1" applyBorder="1" applyAlignment="1">
      <alignment horizontal="left"/>
    </xf>
    <xf numFmtId="0" fontId="1" fillId="4" borderId="10" xfId="0" applyFont="1" applyFill="1" applyBorder="1" applyAlignment="1">
      <alignment horizontal="left"/>
    </xf>
    <xf numFmtId="0" fontId="1" fillId="4" borderId="17" xfId="0" applyFont="1" applyFill="1" applyBorder="1" applyAlignment="1">
      <alignment horizontal="left"/>
    </xf>
    <xf numFmtId="0" fontId="1" fillId="4" borderId="9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1" fillId="4" borderId="17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right"/>
    </xf>
    <xf numFmtId="0" fontId="1" fillId="2" borderId="11" xfId="0" applyFont="1" applyFill="1" applyBorder="1" applyAlignment="1">
      <alignment horizontal="right"/>
    </xf>
    <xf numFmtId="0" fontId="1" fillId="0" borderId="24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9" fontId="2" fillId="2" borderId="11" xfId="0" applyNumberFormat="1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9" fontId="13" fillId="2" borderId="7" xfId="0" applyNumberFormat="1" applyFont="1" applyFill="1" applyBorder="1" applyAlignment="1">
      <alignment horizontal="right"/>
    </xf>
    <xf numFmtId="9" fontId="2" fillId="2" borderId="7" xfId="0" applyNumberFormat="1" applyFont="1" applyFill="1" applyBorder="1" applyAlignment="1">
      <alignment horizontal="center"/>
    </xf>
    <xf numFmtId="0" fontId="1" fillId="2" borderId="5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1" fillId="2" borderId="6" xfId="0" applyFont="1" applyFill="1" applyBorder="1" applyAlignment="1">
      <alignment horizontal="right"/>
    </xf>
    <xf numFmtId="0" fontId="9" fillId="2" borderId="5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right"/>
    </xf>
    <xf numFmtId="0" fontId="1" fillId="2" borderId="23" xfId="0" applyFont="1" applyFill="1" applyBorder="1" applyAlignment="1">
      <alignment horizontal="right"/>
    </xf>
    <xf numFmtId="0" fontId="9" fillId="2" borderId="8" xfId="0" applyFont="1" applyFill="1" applyBorder="1" applyAlignment="1">
      <alignment horizontal="center"/>
    </xf>
    <xf numFmtId="0" fontId="6" fillId="2" borderId="20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6" fillId="2" borderId="21" xfId="0" applyFont="1" applyFill="1" applyBorder="1" applyAlignment="1">
      <alignment horizontal="left" vertical="center"/>
    </xf>
    <xf numFmtId="0" fontId="6" fillId="2" borderId="20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21" xfId="0" applyFont="1" applyFill="1" applyBorder="1" applyAlignment="1">
      <alignment horizontal="center"/>
    </xf>
    <xf numFmtId="0" fontId="9" fillId="2" borderId="20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left" vertical="center"/>
    </xf>
    <xf numFmtId="0" fontId="6" fillId="2" borderId="3" xfId="0" applyFont="1" applyFill="1" applyBorder="1" applyAlignment="1">
      <alignment horizontal="left" vertical="center"/>
    </xf>
    <xf numFmtId="0" fontId="6" fillId="2" borderId="6" xfId="0" applyFont="1" applyFill="1" applyBorder="1" applyAlignment="1">
      <alignment horizontal="left" vertical="center"/>
    </xf>
    <xf numFmtId="0" fontId="6" fillId="2" borderId="5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6" borderId="7" xfId="0" applyFont="1" applyFill="1" applyBorder="1" applyAlignment="1">
      <alignment horizontal="center"/>
    </xf>
    <xf numFmtId="0" fontId="6" fillId="2" borderId="13" xfId="0" applyFont="1" applyFill="1" applyBorder="1" applyAlignment="1">
      <alignment horizontal="left" vertical="center"/>
    </xf>
    <xf numFmtId="0" fontId="6" fillId="2" borderId="14" xfId="0" applyFont="1" applyFill="1" applyBorder="1" applyAlignment="1">
      <alignment horizontal="left" vertical="center"/>
    </xf>
    <xf numFmtId="0" fontId="6" fillId="2" borderId="15" xfId="0" applyFont="1" applyFill="1" applyBorder="1" applyAlignment="1">
      <alignment horizontal="left" vertical="center"/>
    </xf>
    <xf numFmtId="0" fontId="11" fillId="0" borderId="7" xfId="0" applyFont="1" applyBorder="1" applyAlignment="1">
      <alignment horizontal="center"/>
    </xf>
    <xf numFmtId="2" fontId="6" fillId="0" borderId="7" xfId="0" applyNumberFormat="1" applyFont="1" applyBorder="1" applyAlignment="1">
      <alignment horizontal="center"/>
    </xf>
    <xf numFmtId="2" fontId="2" fillId="0" borderId="7" xfId="0" applyNumberFormat="1" applyFont="1" applyBorder="1" applyAlignment="1">
      <alignment horizontal="center"/>
    </xf>
    <xf numFmtId="2" fontId="2" fillId="2" borderId="7" xfId="0" applyNumberFormat="1" applyFont="1" applyFill="1" applyBorder="1" applyAlignment="1">
      <alignment horizontal="center"/>
    </xf>
    <xf numFmtId="0" fontId="9" fillId="2" borderId="16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6" fillId="0" borderId="7" xfId="0" applyFont="1" applyBorder="1" applyAlignment="1">
      <alignment horizontal="left" vertical="center"/>
    </xf>
    <xf numFmtId="0" fontId="7" fillId="2" borderId="7" xfId="0" applyFont="1" applyFill="1" applyBorder="1" applyAlignment="1">
      <alignment horizontal="left" vertical="center"/>
    </xf>
    <xf numFmtId="0" fontId="2" fillId="2" borderId="13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4" fillId="2" borderId="0" xfId="0" applyFont="1" applyFill="1" applyAlignment="1">
      <alignment horizontal="right"/>
    </xf>
    <xf numFmtId="0" fontId="2" fillId="2" borderId="0" xfId="0" applyFont="1" applyFill="1" applyAlignment="1">
      <alignment horizontal="center" vertical="top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left" wrapText="1"/>
    </xf>
    <xf numFmtId="0" fontId="2" fillId="2" borderId="3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2" borderId="0" xfId="0" applyFont="1" applyFill="1" applyAlignment="1"/>
    <xf numFmtId="0" fontId="2" fillId="2" borderId="0" xfId="0" applyFont="1" applyFill="1" applyAlignment="1">
      <alignment horizontal="left" wrapText="1"/>
    </xf>
    <xf numFmtId="15" fontId="2" fillId="2" borderId="0" xfId="0" applyNumberFormat="1" applyFont="1" applyFill="1" applyAlignment="1">
      <alignment horizontal="left"/>
    </xf>
    <xf numFmtId="15" fontId="2" fillId="2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75"/>
  <sheetViews>
    <sheetView tabSelected="1" view="pageBreakPreview" topLeftCell="A28" zoomScale="60" zoomScaleNormal="55" workbookViewId="0">
      <selection activeCell="X50" sqref="X50"/>
    </sheetView>
  </sheetViews>
  <sheetFormatPr defaultColWidth="10.375" defaultRowHeight="25.5"/>
  <cols>
    <col min="1" max="1" width="6.375" style="3" customWidth="1"/>
    <col min="2" max="9" width="8.875" style="3" customWidth="1"/>
    <col min="10" max="10" width="9.375" style="3" customWidth="1"/>
    <col min="11" max="19" width="8.875" style="3" customWidth="1"/>
    <col min="20" max="20" width="14" style="3" customWidth="1"/>
    <col min="21" max="21" width="8.875" style="3" customWidth="1"/>
    <col min="22" max="22" width="12.375" style="3" customWidth="1"/>
    <col min="23" max="23" width="14.625" style="3" customWidth="1"/>
    <col min="24" max="24" width="21.375" style="3" bestFit="1" customWidth="1"/>
    <col min="25" max="25" width="16.375" style="3" bestFit="1" customWidth="1"/>
    <col min="26" max="26" width="26.875" style="3" customWidth="1"/>
    <col min="27" max="27" width="21.875" style="3" bestFit="1" customWidth="1"/>
    <col min="28" max="29" width="9.125" style="3"/>
    <col min="30" max="16384" width="10.375" style="3"/>
  </cols>
  <sheetData>
    <row r="1" spans="1:27" ht="26.25">
      <c r="A1" s="119" t="s">
        <v>0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2"/>
      <c r="Y1" s="2"/>
      <c r="Z1" s="2"/>
      <c r="AA1" s="2"/>
    </row>
    <row r="2" spans="1:27" ht="26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2"/>
      <c r="Y2" s="2"/>
      <c r="Z2" s="2"/>
      <c r="AA2" s="2"/>
    </row>
    <row r="3" spans="1:27" ht="26.25" customHeight="1">
      <c r="A3" s="112" t="s">
        <v>1</v>
      </c>
      <c r="B3" s="112"/>
      <c r="C3" s="120" t="s">
        <v>104</v>
      </c>
      <c r="D3" s="120"/>
      <c r="E3" s="120"/>
      <c r="F3" s="120"/>
      <c r="G3" s="120"/>
      <c r="H3" s="122"/>
      <c r="I3" s="122"/>
      <c r="J3" s="112" t="s">
        <v>2</v>
      </c>
      <c r="K3" s="112"/>
      <c r="L3" s="123"/>
      <c r="M3" s="123"/>
      <c r="N3" s="123"/>
      <c r="O3" s="123"/>
      <c r="P3" s="123"/>
      <c r="Q3" s="6"/>
      <c r="R3" s="6"/>
      <c r="S3" s="112" t="s">
        <v>3</v>
      </c>
      <c r="T3" s="112"/>
      <c r="U3" s="124">
        <f ca="1">TODAY()</f>
        <v>46051</v>
      </c>
      <c r="V3" s="124"/>
      <c r="W3" s="124"/>
      <c r="X3" s="2"/>
      <c r="Y3" s="2"/>
      <c r="Z3" s="2"/>
      <c r="AA3" s="2"/>
    </row>
    <row r="4" spans="1:27" ht="26.25" customHeight="1">
      <c r="A4" s="112"/>
      <c r="B4" s="112"/>
      <c r="C4" s="120"/>
      <c r="D4" s="120"/>
      <c r="E4" s="120"/>
      <c r="F4" s="120"/>
      <c r="G4" s="120"/>
      <c r="H4" s="122"/>
      <c r="I4" s="122"/>
      <c r="J4" s="112"/>
      <c r="K4" s="112"/>
      <c r="L4" s="5"/>
      <c r="M4" s="5"/>
      <c r="N4" s="5"/>
      <c r="O4" s="5"/>
      <c r="P4" s="5"/>
      <c r="Q4" s="5"/>
      <c r="R4" s="5"/>
      <c r="S4" s="112"/>
      <c r="T4" s="112"/>
      <c r="U4" s="124"/>
      <c r="V4" s="124"/>
      <c r="W4" s="124"/>
      <c r="X4" s="2"/>
      <c r="Y4" s="2"/>
      <c r="Z4" s="2"/>
      <c r="AA4" s="2"/>
    </row>
    <row r="5" spans="1:27" ht="26.25" customHeight="1">
      <c r="A5" s="112"/>
      <c r="B5" s="112"/>
      <c r="C5" s="121"/>
      <c r="D5" s="121"/>
      <c r="E5" s="121"/>
      <c r="F5" s="121"/>
      <c r="G5" s="121"/>
      <c r="H5" s="122"/>
      <c r="I5" s="122"/>
      <c r="J5" s="112"/>
      <c r="K5" s="112"/>
      <c r="L5" s="40" t="s">
        <v>102</v>
      </c>
      <c r="M5" s="39"/>
      <c r="N5" s="39"/>
      <c r="O5" s="39"/>
      <c r="P5" s="39"/>
      <c r="Q5" s="39"/>
      <c r="R5" s="39"/>
      <c r="S5" s="112"/>
      <c r="T5" s="112"/>
      <c r="U5" s="125"/>
      <c r="V5" s="125"/>
      <c r="W5" s="125"/>
      <c r="X5" s="7" t="s">
        <v>4</v>
      </c>
      <c r="Y5" s="8">
        <f>540/R75</f>
        <v>22.854240731335704</v>
      </c>
      <c r="Z5" s="7" t="s">
        <v>5</v>
      </c>
      <c r="AA5" s="8">
        <v>79</v>
      </c>
    </row>
    <row r="6" spans="1:27" ht="26.25">
      <c r="A6" s="112" t="s">
        <v>6</v>
      </c>
      <c r="B6" s="112"/>
      <c r="C6" s="117" t="s">
        <v>105</v>
      </c>
      <c r="D6" s="117"/>
      <c r="E6" s="117"/>
      <c r="F6" s="117"/>
      <c r="G6" s="117"/>
      <c r="H6" s="6"/>
      <c r="I6" s="6"/>
      <c r="J6" s="112" t="s">
        <v>7</v>
      </c>
      <c r="K6" s="112"/>
      <c r="L6" s="118" t="s">
        <v>103</v>
      </c>
      <c r="M6" s="118"/>
      <c r="N6" s="118"/>
      <c r="O6" s="118"/>
      <c r="P6" s="118"/>
      <c r="Q6" s="6"/>
      <c r="R6" s="6"/>
      <c r="S6" s="112" t="s">
        <v>8</v>
      </c>
      <c r="T6" s="112"/>
      <c r="U6" s="118" t="s">
        <v>9</v>
      </c>
      <c r="V6" s="118"/>
      <c r="W6" s="118"/>
      <c r="X6" s="7" t="s">
        <v>10</v>
      </c>
      <c r="Y6" s="8">
        <f>Y5*AA5</f>
        <v>1805.4850177755206</v>
      </c>
      <c r="Z6" s="7" t="s">
        <v>11</v>
      </c>
      <c r="AA6" s="8">
        <f>Y6/9</f>
        <v>200.60944641950229</v>
      </c>
    </row>
    <row r="7" spans="1:27" ht="26.25">
      <c r="A7" s="4"/>
      <c r="B7" s="4"/>
      <c r="C7" s="5"/>
      <c r="D7" s="5"/>
      <c r="E7" s="5"/>
      <c r="F7" s="5"/>
      <c r="G7" s="5"/>
      <c r="H7" s="6"/>
      <c r="I7" s="6"/>
      <c r="J7" s="4"/>
      <c r="K7" s="4"/>
      <c r="L7" s="5"/>
      <c r="M7" s="5"/>
      <c r="N7" s="5"/>
      <c r="O7" s="5"/>
      <c r="P7" s="5"/>
      <c r="Q7" s="6"/>
      <c r="R7" s="6"/>
      <c r="S7" s="4"/>
      <c r="T7" s="4"/>
      <c r="U7" s="5"/>
      <c r="V7" s="5"/>
      <c r="W7" s="5"/>
      <c r="X7" s="2"/>
      <c r="Y7" s="2"/>
      <c r="Z7" s="2"/>
      <c r="AA7" s="2"/>
    </row>
    <row r="8" spans="1:27" ht="26.25" customHeight="1">
      <c r="A8" s="112" t="s">
        <v>12</v>
      </c>
      <c r="B8" s="112"/>
      <c r="C8" s="112"/>
      <c r="D8" s="113" t="s">
        <v>113</v>
      </c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3"/>
      <c r="R8" s="113"/>
      <c r="S8" s="113"/>
      <c r="T8" s="113"/>
      <c r="U8" s="113"/>
      <c r="V8" s="113"/>
      <c r="W8" s="113"/>
      <c r="X8" s="113"/>
      <c r="Y8" s="113"/>
      <c r="Z8" s="113"/>
      <c r="AA8" s="2"/>
    </row>
    <row r="9" spans="1:27" ht="26.25">
      <c r="A9" s="4"/>
      <c r="B9" s="4"/>
      <c r="C9" s="5"/>
      <c r="D9" s="113"/>
      <c r="E9" s="113"/>
      <c r="F9" s="113"/>
      <c r="G9" s="113"/>
      <c r="H9" s="113"/>
      <c r="I9" s="113"/>
      <c r="J9" s="113"/>
      <c r="K9" s="113"/>
      <c r="L9" s="113"/>
      <c r="M9" s="113"/>
      <c r="N9" s="113"/>
      <c r="O9" s="113"/>
      <c r="P9" s="113"/>
      <c r="Q9" s="113"/>
      <c r="R9" s="113"/>
      <c r="S9" s="113"/>
      <c r="T9" s="113"/>
      <c r="U9" s="113"/>
      <c r="V9" s="113"/>
      <c r="W9" s="113"/>
      <c r="X9" s="113"/>
      <c r="Y9" s="113"/>
      <c r="Z9" s="113"/>
      <c r="AA9" s="2"/>
    </row>
    <row r="10" spans="1:27" ht="26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2"/>
      <c r="Y10" s="2"/>
      <c r="Z10" s="2"/>
      <c r="AA10" s="2"/>
    </row>
    <row r="11" spans="1:27" ht="57" customHeight="1">
      <c r="A11" s="9" t="s">
        <v>13</v>
      </c>
      <c r="B11" s="114" t="s">
        <v>14</v>
      </c>
      <c r="C11" s="115"/>
      <c r="D11" s="115"/>
      <c r="E11" s="115"/>
      <c r="F11" s="115"/>
      <c r="G11" s="115"/>
      <c r="H11" s="115"/>
      <c r="I11" s="116"/>
      <c r="J11" s="114" t="s">
        <v>15</v>
      </c>
      <c r="K11" s="115"/>
      <c r="L11" s="115"/>
      <c r="M11" s="116"/>
      <c r="N11" s="114" t="s">
        <v>16</v>
      </c>
      <c r="O11" s="115"/>
      <c r="P11" s="115"/>
      <c r="Q11" s="116"/>
      <c r="R11" s="114" t="s">
        <v>17</v>
      </c>
      <c r="S11" s="116"/>
      <c r="T11" s="114" t="s">
        <v>18</v>
      </c>
      <c r="U11" s="116"/>
      <c r="V11" s="114" t="s">
        <v>19</v>
      </c>
      <c r="W11" s="116"/>
      <c r="X11" s="10" t="s">
        <v>20</v>
      </c>
      <c r="Y11" s="10" t="s">
        <v>21</v>
      </c>
      <c r="Z11" s="10" t="s">
        <v>22</v>
      </c>
      <c r="AA11" s="10" t="s">
        <v>23</v>
      </c>
    </row>
    <row r="12" spans="1:27" ht="26.25" customHeight="1">
      <c r="A12" s="11"/>
      <c r="B12" s="12" t="s">
        <v>24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64"/>
      <c r="S12" s="64"/>
      <c r="T12" s="64"/>
      <c r="U12" s="64"/>
      <c r="V12" s="64"/>
      <c r="W12" s="64"/>
      <c r="X12" s="15"/>
      <c r="Y12" s="16"/>
      <c r="Z12" s="16"/>
      <c r="AA12" s="17"/>
    </row>
    <row r="13" spans="1:27" ht="26.25" customHeight="1">
      <c r="A13" s="18">
        <v>1</v>
      </c>
      <c r="B13" s="41" t="s">
        <v>28</v>
      </c>
      <c r="C13" s="41"/>
      <c r="D13" s="41"/>
      <c r="E13" s="41"/>
      <c r="F13" s="41"/>
      <c r="G13" s="41"/>
      <c r="H13" s="41"/>
      <c r="I13" s="41"/>
      <c r="J13" s="42" t="s">
        <v>29</v>
      </c>
      <c r="K13" s="42"/>
      <c r="L13" s="42"/>
      <c r="M13" s="42"/>
      <c r="N13" s="43" t="s">
        <v>26</v>
      </c>
      <c r="O13" s="44"/>
      <c r="P13" s="44"/>
      <c r="Q13" s="45"/>
      <c r="R13" s="46">
        <v>0.52</v>
      </c>
      <c r="S13" s="46"/>
      <c r="T13" s="46">
        <f>R13</f>
        <v>0.52</v>
      </c>
      <c r="U13" s="46"/>
      <c r="V13" s="46"/>
      <c r="W13" s="46"/>
      <c r="X13" s="19">
        <f t="shared" ref="X13:X59" si="0">60/R13</f>
        <v>115.38461538461539</v>
      </c>
      <c r="Y13" s="19">
        <f t="shared" ref="Y13:Y59" si="1">X13*0.95</f>
        <v>109.61538461538461</v>
      </c>
      <c r="Z13" s="20">
        <f t="shared" ref="Z13:Z59" si="2">AA$6/Y13</f>
        <v>1.8301212655814245</v>
      </c>
      <c r="AA13" s="21">
        <v>2</v>
      </c>
    </row>
    <row r="14" spans="1:27" ht="26.25" customHeight="1">
      <c r="A14" s="18">
        <v>2</v>
      </c>
      <c r="B14" s="41" t="s">
        <v>30</v>
      </c>
      <c r="C14" s="41"/>
      <c r="D14" s="41"/>
      <c r="E14" s="41"/>
      <c r="F14" s="41"/>
      <c r="G14" s="41"/>
      <c r="H14" s="41"/>
      <c r="I14" s="41"/>
      <c r="J14" s="42" t="s">
        <v>31</v>
      </c>
      <c r="K14" s="42"/>
      <c r="L14" s="42"/>
      <c r="M14" s="42"/>
      <c r="N14" s="43" t="s">
        <v>26</v>
      </c>
      <c r="O14" s="44"/>
      <c r="P14" s="44"/>
      <c r="Q14" s="45"/>
      <c r="R14" s="46">
        <v>0.24</v>
      </c>
      <c r="S14" s="46"/>
      <c r="T14" s="46"/>
      <c r="U14" s="46"/>
      <c r="V14" s="46">
        <f>R14</f>
        <v>0.24</v>
      </c>
      <c r="W14" s="46"/>
      <c r="X14" s="19">
        <f t="shared" si="0"/>
        <v>250</v>
      </c>
      <c r="Y14" s="19">
        <f t="shared" si="1"/>
        <v>237.5</v>
      </c>
      <c r="Z14" s="20">
        <f t="shared" si="2"/>
        <v>0.84467135334527277</v>
      </c>
      <c r="AA14" s="21">
        <v>1</v>
      </c>
    </row>
    <row r="15" spans="1:27" ht="26.25" customHeight="1">
      <c r="A15" s="18">
        <v>3</v>
      </c>
      <c r="B15" s="41" t="s">
        <v>32</v>
      </c>
      <c r="C15" s="41"/>
      <c r="D15" s="41"/>
      <c r="E15" s="41"/>
      <c r="F15" s="41"/>
      <c r="G15" s="41"/>
      <c r="H15" s="41"/>
      <c r="I15" s="41"/>
      <c r="J15" s="42" t="s">
        <v>29</v>
      </c>
      <c r="K15" s="42"/>
      <c r="L15" s="42"/>
      <c r="M15" s="42"/>
      <c r="N15" s="43" t="s">
        <v>26</v>
      </c>
      <c r="O15" s="44"/>
      <c r="P15" s="44"/>
      <c r="Q15" s="45"/>
      <c r="R15" s="46">
        <v>0.4</v>
      </c>
      <c r="S15" s="46"/>
      <c r="T15" s="46">
        <f>R15</f>
        <v>0.4</v>
      </c>
      <c r="U15" s="46"/>
      <c r="V15" s="46"/>
      <c r="W15" s="46"/>
      <c r="X15" s="19">
        <f t="shared" si="0"/>
        <v>150</v>
      </c>
      <c r="Y15" s="19">
        <f t="shared" si="1"/>
        <v>142.5</v>
      </c>
      <c r="Z15" s="20">
        <f t="shared" si="2"/>
        <v>1.407785588908788</v>
      </c>
      <c r="AA15" s="21">
        <v>1.5</v>
      </c>
    </row>
    <row r="16" spans="1:27" ht="26.25" customHeight="1">
      <c r="A16" s="18">
        <v>4</v>
      </c>
      <c r="B16" s="41" t="s">
        <v>33</v>
      </c>
      <c r="C16" s="41"/>
      <c r="D16" s="41"/>
      <c r="E16" s="41"/>
      <c r="F16" s="41"/>
      <c r="G16" s="41"/>
      <c r="H16" s="41"/>
      <c r="I16" s="41"/>
      <c r="J16" s="42" t="s">
        <v>34</v>
      </c>
      <c r="K16" s="42"/>
      <c r="L16" s="42"/>
      <c r="M16" s="42"/>
      <c r="N16" s="43" t="s">
        <v>26</v>
      </c>
      <c r="O16" s="44"/>
      <c r="P16" s="44"/>
      <c r="Q16" s="45"/>
      <c r="R16" s="46">
        <v>0.15</v>
      </c>
      <c r="S16" s="46"/>
      <c r="T16" s="110"/>
      <c r="U16" s="111"/>
      <c r="V16" s="110">
        <f>R16</f>
        <v>0.15</v>
      </c>
      <c r="W16" s="111"/>
      <c r="X16" s="19">
        <f t="shared" si="0"/>
        <v>400</v>
      </c>
      <c r="Y16" s="19">
        <f t="shared" si="1"/>
        <v>380</v>
      </c>
      <c r="Z16" s="20">
        <f t="shared" si="2"/>
        <v>0.52791959584079551</v>
      </c>
      <c r="AA16" s="21">
        <v>1</v>
      </c>
    </row>
    <row r="17" spans="1:27" ht="26.25" customHeight="1">
      <c r="A17" s="18">
        <v>5</v>
      </c>
      <c r="B17" s="41" t="s">
        <v>35</v>
      </c>
      <c r="C17" s="41"/>
      <c r="D17" s="41"/>
      <c r="E17" s="41"/>
      <c r="F17" s="41"/>
      <c r="G17" s="41"/>
      <c r="H17" s="41"/>
      <c r="I17" s="41"/>
      <c r="J17" s="42" t="s">
        <v>29</v>
      </c>
      <c r="K17" s="42"/>
      <c r="L17" s="42"/>
      <c r="M17" s="42"/>
      <c r="N17" s="43" t="s">
        <v>36</v>
      </c>
      <c r="O17" s="44"/>
      <c r="P17" s="44"/>
      <c r="Q17" s="45"/>
      <c r="R17" s="46">
        <v>0.21</v>
      </c>
      <c r="S17" s="46"/>
      <c r="T17" s="46">
        <f>R17</f>
        <v>0.21</v>
      </c>
      <c r="U17" s="46"/>
      <c r="V17" s="46"/>
      <c r="W17" s="46"/>
      <c r="X17" s="19">
        <f t="shared" si="0"/>
        <v>285.71428571428572</v>
      </c>
      <c r="Y17" s="19">
        <f t="shared" si="1"/>
        <v>271.42857142857144</v>
      </c>
      <c r="Z17" s="20">
        <f t="shared" si="2"/>
        <v>0.73908743417711364</v>
      </c>
      <c r="AA17" s="21">
        <v>1</v>
      </c>
    </row>
    <row r="18" spans="1:27" ht="26.25" customHeight="1">
      <c r="A18" s="18">
        <v>6</v>
      </c>
      <c r="B18" s="41" t="s">
        <v>37</v>
      </c>
      <c r="C18" s="41"/>
      <c r="D18" s="41"/>
      <c r="E18" s="41"/>
      <c r="F18" s="41"/>
      <c r="G18" s="41"/>
      <c r="H18" s="41"/>
      <c r="I18" s="41"/>
      <c r="J18" s="42" t="s">
        <v>29</v>
      </c>
      <c r="K18" s="42"/>
      <c r="L18" s="42"/>
      <c r="M18" s="42"/>
      <c r="N18" s="43" t="s">
        <v>26</v>
      </c>
      <c r="O18" s="44"/>
      <c r="P18" s="44"/>
      <c r="Q18" s="45"/>
      <c r="R18" s="46">
        <v>0.34</v>
      </c>
      <c r="S18" s="46"/>
      <c r="T18" s="46">
        <f>R18</f>
        <v>0.34</v>
      </c>
      <c r="U18" s="46"/>
      <c r="V18" s="46"/>
      <c r="W18" s="46"/>
      <c r="X18" s="19">
        <f t="shared" si="0"/>
        <v>176.47058823529412</v>
      </c>
      <c r="Y18" s="19">
        <f t="shared" si="1"/>
        <v>167.64705882352939</v>
      </c>
      <c r="Z18" s="20">
        <f t="shared" si="2"/>
        <v>1.19661775057247</v>
      </c>
      <c r="AA18" s="21">
        <v>1.5</v>
      </c>
    </row>
    <row r="19" spans="1:27" ht="26.25" customHeight="1">
      <c r="A19" s="18">
        <v>7</v>
      </c>
      <c r="B19" s="109" t="s">
        <v>85</v>
      </c>
      <c r="C19" s="41"/>
      <c r="D19" s="41"/>
      <c r="E19" s="41"/>
      <c r="F19" s="41"/>
      <c r="G19" s="41"/>
      <c r="H19" s="41"/>
      <c r="I19" s="41"/>
      <c r="J19" s="42" t="s">
        <v>29</v>
      </c>
      <c r="K19" s="42"/>
      <c r="L19" s="42"/>
      <c r="M19" s="42"/>
      <c r="N19" s="43" t="s">
        <v>26</v>
      </c>
      <c r="O19" s="44"/>
      <c r="P19" s="44"/>
      <c r="Q19" s="45"/>
      <c r="R19" s="46">
        <v>0.3</v>
      </c>
      <c r="S19" s="46"/>
      <c r="T19" s="46">
        <f>R19</f>
        <v>0.3</v>
      </c>
      <c r="U19" s="46"/>
      <c r="V19" s="46"/>
      <c r="W19" s="46"/>
      <c r="X19" s="19">
        <f t="shared" si="0"/>
        <v>200</v>
      </c>
      <c r="Y19" s="19">
        <f t="shared" si="1"/>
        <v>190</v>
      </c>
      <c r="Z19" s="20">
        <f t="shared" si="2"/>
        <v>1.055839191681591</v>
      </c>
      <c r="AA19" s="21">
        <v>1.5</v>
      </c>
    </row>
    <row r="20" spans="1:27" ht="26.25" customHeight="1">
      <c r="A20" s="18">
        <v>8</v>
      </c>
      <c r="B20" s="109" t="s">
        <v>108</v>
      </c>
      <c r="C20" s="41"/>
      <c r="D20" s="41"/>
      <c r="E20" s="41"/>
      <c r="F20" s="41"/>
      <c r="G20" s="41"/>
      <c r="H20" s="41"/>
      <c r="I20" s="41"/>
      <c r="J20" s="42" t="s">
        <v>29</v>
      </c>
      <c r="K20" s="42"/>
      <c r="L20" s="42"/>
      <c r="M20" s="42"/>
      <c r="N20" s="43" t="s">
        <v>26</v>
      </c>
      <c r="O20" s="44"/>
      <c r="P20" s="44"/>
      <c r="Q20" s="45"/>
      <c r="R20" s="46">
        <v>0.5</v>
      </c>
      <c r="S20" s="46"/>
      <c r="T20" s="46">
        <f>R20</f>
        <v>0.5</v>
      </c>
      <c r="U20" s="46"/>
      <c r="V20" s="46"/>
      <c r="W20" s="46"/>
      <c r="X20" s="19">
        <f t="shared" si="0"/>
        <v>120</v>
      </c>
      <c r="Y20" s="19">
        <f t="shared" si="1"/>
        <v>114</v>
      </c>
      <c r="Z20" s="20">
        <f t="shared" si="2"/>
        <v>1.759731986135985</v>
      </c>
      <c r="AA20" s="21">
        <v>2</v>
      </c>
    </row>
    <row r="21" spans="1:27" ht="26.25" customHeight="1">
      <c r="A21" s="18">
        <v>9</v>
      </c>
      <c r="B21" s="109" t="s">
        <v>109</v>
      </c>
      <c r="C21" s="41"/>
      <c r="D21" s="41"/>
      <c r="E21" s="41"/>
      <c r="F21" s="41"/>
      <c r="G21" s="41"/>
      <c r="H21" s="41"/>
      <c r="I21" s="41"/>
      <c r="J21" s="42" t="s">
        <v>29</v>
      </c>
      <c r="K21" s="42"/>
      <c r="L21" s="42"/>
      <c r="M21" s="42"/>
      <c r="N21" s="43" t="s">
        <v>26</v>
      </c>
      <c r="O21" s="44"/>
      <c r="P21" s="44"/>
      <c r="Q21" s="45"/>
      <c r="R21" s="46">
        <v>0.5</v>
      </c>
      <c r="S21" s="46"/>
      <c r="T21" s="46">
        <f>R21</f>
        <v>0.5</v>
      </c>
      <c r="U21" s="46"/>
      <c r="V21" s="46"/>
      <c r="W21" s="46"/>
      <c r="X21" s="19">
        <f t="shared" si="0"/>
        <v>120</v>
      </c>
      <c r="Y21" s="19">
        <f t="shared" si="1"/>
        <v>114</v>
      </c>
      <c r="Z21" s="20">
        <f t="shared" si="2"/>
        <v>1.759731986135985</v>
      </c>
      <c r="AA21" s="21">
        <v>2</v>
      </c>
    </row>
    <row r="22" spans="1:27" ht="26.25" customHeight="1">
      <c r="A22" s="18">
        <v>10</v>
      </c>
      <c r="B22" s="41" t="s">
        <v>38</v>
      </c>
      <c r="C22" s="41"/>
      <c r="D22" s="41"/>
      <c r="E22" s="41"/>
      <c r="F22" s="41"/>
      <c r="G22" s="41"/>
      <c r="H22" s="41"/>
      <c r="I22" s="41"/>
      <c r="J22" s="42" t="s">
        <v>39</v>
      </c>
      <c r="K22" s="42"/>
      <c r="L22" s="42"/>
      <c r="M22" s="42"/>
      <c r="N22" s="43" t="s">
        <v>26</v>
      </c>
      <c r="O22" s="44"/>
      <c r="P22" s="44"/>
      <c r="Q22" s="45"/>
      <c r="R22" s="46">
        <v>0.25</v>
      </c>
      <c r="S22" s="46"/>
      <c r="T22" s="46"/>
      <c r="U22" s="46"/>
      <c r="V22" s="46">
        <f>R22</f>
        <v>0.25</v>
      </c>
      <c r="W22" s="46"/>
      <c r="X22" s="19">
        <f t="shared" si="0"/>
        <v>240</v>
      </c>
      <c r="Y22" s="19">
        <f t="shared" si="1"/>
        <v>228</v>
      </c>
      <c r="Z22" s="20">
        <f t="shared" si="2"/>
        <v>0.87986599306799251</v>
      </c>
      <c r="AA22" s="21">
        <v>1</v>
      </c>
    </row>
    <row r="23" spans="1:27" ht="26.25" customHeight="1">
      <c r="A23" s="18">
        <v>11</v>
      </c>
      <c r="B23" s="41" t="s">
        <v>40</v>
      </c>
      <c r="C23" s="41"/>
      <c r="D23" s="41"/>
      <c r="E23" s="41"/>
      <c r="F23" s="41"/>
      <c r="G23" s="41"/>
      <c r="H23" s="41"/>
      <c r="I23" s="41"/>
      <c r="J23" s="42" t="s">
        <v>41</v>
      </c>
      <c r="K23" s="42"/>
      <c r="L23" s="42"/>
      <c r="M23" s="42"/>
      <c r="N23" s="43" t="s">
        <v>26</v>
      </c>
      <c r="O23" s="44"/>
      <c r="P23" s="44"/>
      <c r="Q23" s="45"/>
      <c r="R23" s="59">
        <v>0.25</v>
      </c>
      <c r="S23" s="59"/>
      <c r="T23" s="46"/>
      <c r="U23" s="46"/>
      <c r="V23" s="46">
        <f>R23</f>
        <v>0.25</v>
      </c>
      <c r="W23" s="46"/>
      <c r="X23" s="19">
        <f t="shared" si="0"/>
        <v>240</v>
      </c>
      <c r="Y23" s="19">
        <f t="shared" si="1"/>
        <v>228</v>
      </c>
      <c r="Z23" s="20">
        <f t="shared" si="2"/>
        <v>0.87986599306799251</v>
      </c>
      <c r="AA23" s="21">
        <v>1</v>
      </c>
    </row>
    <row r="24" spans="1:27" ht="26.25" customHeight="1">
      <c r="A24" s="18">
        <v>12</v>
      </c>
      <c r="B24" s="108" t="s">
        <v>83</v>
      </c>
      <c r="C24" s="108"/>
      <c r="D24" s="108"/>
      <c r="E24" s="108"/>
      <c r="F24" s="108"/>
      <c r="G24" s="108"/>
      <c r="H24" s="108"/>
      <c r="I24" s="108"/>
      <c r="J24" s="58" t="s">
        <v>29</v>
      </c>
      <c r="K24" s="58"/>
      <c r="L24" s="58"/>
      <c r="M24" s="58"/>
      <c r="N24" s="43" t="s">
        <v>26</v>
      </c>
      <c r="O24" s="44"/>
      <c r="P24" s="44"/>
      <c r="Q24" s="45"/>
      <c r="R24" s="59">
        <v>0.27</v>
      </c>
      <c r="S24" s="59"/>
      <c r="T24" s="46">
        <f>R24</f>
        <v>0.27</v>
      </c>
      <c r="U24" s="46"/>
      <c r="V24" s="46"/>
      <c r="W24" s="46"/>
      <c r="X24" s="19">
        <f t="shared" si="0"/>
        <v>222.2222222222222</v>
      </c>
      <c r="Y24" s="19">
        <f t="shared" si="1"/>
        <v>211.11111111111109</v>
      </c>
      <c r="Z24" s="20">
        <f t="shared" si="2"/>
        <v>0.950255272513432</v>
      </c>
      <c r="AA24" s="21">
        <v>1</v>
      </c>
    </row>
    <row r="25" spans="1:27" ht="26.25" customHeight="1">
      <c r="A25" s="18">
        <v>13</v>
      </c>
      <c r="B25" s="41" t="s">
        <v>42</v>
      </c>
      <c r="C25" s="41"/>
      <c r="D25" s="41"/>
      <c r="E25" s="41"/>
      <c r="F25" s="41"/>
      <c r="G25" s="41"/>
      <c r="H25" s="41"/>
      <c r="I25" s="41"/>
      <c r="J25" s="42" t="s">
        <v>43</v>
      </c>
      <c r="K25" s="42"/>
      <c r="L25" s="42"/>
      <c r="M25" s="42"/>
      <c r="N25" s="43" t="s">
        <v>26</v>
      </c>
      <c r="O25" s="44"/>
      <c r="P25" s="44"/>
      <c r="Q25" s="45"/>
      <c r="R25" s="46">
        <v>0.24</v>
      </c>
      <c r="S25" s="46"/>
      <c r="T25" s="59"/>
      <c r="U25" s="59"/>
      <c r="V25" s="59">
        <f>R25</f>
        <v>0.24</v>
      </c>
      <c r="W25" s="59"/>
      <c r="X25" s="19">
        <f t="shared" si="0"/>
        <v>250</v>
      </c>
      <c r="Y25" s="19">
        <f t="shared" si="1"/>
        <v>237.5</v>
      </c>
      <c r="Z25" s="20">
        <f t="shared" si="2"/>
        <v>0.84467135334527277</v>
      </c>
      <c r="AA25" s="21">
        <v>1</v>
      </c>
    </row>
    <row r="26" spans="1:27" ht="26.25" customHeight="1">
      <c r="A26" s="18">
        <v>14</v>
      </c>
      <c r="B26" s="41" t="s">
        <v>44</v>
      </c>
      <c r="C26" s="41"/>
      <c r="D26" s="41"/>
      <c r="E26" s="41"/>
      <c r="F26" s="41"/>
      <c r="G26" s="41"/>
      <c r="H26" s="41"/>
      <c r="I26" s="41"/>
      <c r="J26" s="42" t="s">
        <v>45</v>
      </c>
      <c r="K26" s="42"/>
      <c r="L26" s="42"/>
      <c r="M26" s="42"/>
      <c r="N26" s="43" t="s">
        <v>26</v>
      </c>
      <c r="O26" s="44"/>
      <c r="P26" s="44"/>
      <c r="Q26" s="45"/>
      <c r="R26" s="46">
        <v>0.26</v>
      </c>
      <c r="S26" s="46"/>
      <c r="T26" s="46"/>
      <c r="U26" s="46"/>
      <c r="V26" s="46">
        <f>R26</f>
        <v>0.26</v>
      </c>
      <c r="W26" s="46"/>
      <c r="X26" s="19">
        <f t="shared" si="0"/>
        <v>230.76923076923077</v>
      </c>
      <c r="Y26" s="19">
        <f t="shared" si="1"/>
        <v>219.23076923076923</v>
      </c>
      <c r="Z26" s="20">
        <f t="shared" si="2"/>
        <v>0.91506063279071226</v>
      </c>
      <c r="AA26" s="21">
        <v>1</v>
      </c>
    </row>
    <row r="27" spans="1:27" ht="26.25" customHeight="1">
      <c r="A27" s="18">
        <v>15</v>
      </c>
      <c r="B27" s="41" t="s">
        <v>84</v>
      </c>
      <c r="C27" s="41"/>
      <c r="D27" s="41"/>
      <c r="E27" s="41"/>
      <c r="F27" s="41"/>
      <c r="G27" s="41"/>
      <c r="H27" s="41"/>
      <c r="I27" s="41"/>
      <c r="J27" s="42" t="s">
        <v>56</v>
      </c>
      <c r="K27" s="42"/>
      <c r="L27" s="42"/>
      <c r="M27" s="42"/>
      <c r="N27" s="43" t="s">
        <v>26</v>
      </c>
      <c r="O27" s="44"/>
      <c r="P27" s="44"/>
      <c r="Q27" s="45"/>
      <c r="R27" s="46">
        <v>0.3</v>
      </c>
      <c r="S27" s="46"/>
      <c r="T27" s="46">
        <f>R27</f>
        <v>0.3</v>
      </c>
      <c r="U27" s="46"/>
      <c r="V27" s="46"/>
      <c r="W27" s="46"/>
      <c r="X27" s="19">
        <f t="shared" si="0"/>
        <v>200</v>
      </c>
      <c r="Y27" s="19">
        <f t="shared" si="1"/>
        <v>190</v>
      </c>
      <c r="Z27" s="20">
        <f t="shared" si="2"/>
        <v>1.055839191681591</v>
      </c>
      <c r="AA27" s="21">
        <v>1</v>
      </c>
    </row>
    <row r="28" spans="1:27" ht="26.25" customHeight="1">
      <c r="A28" s="18">
        <v>16</v>
      </c>
      <c r="B28" s="41" t="s">
        <v>46</v>
      </c>
      <c r="C28" s="41"/>
      <c r="D28" s="41"/>
      <c r="E28" s="41"/>
      <c r="F28" s="41"/>
      <c r="G28" s="41"/>
      <c r="H28" s="41"/>
      <c r="I28" s="41"/>
      <c r="J28" s="107" t="s">
        <v>47</v>
      </c>
      <c r="K28" s="42"/>
      <c r="L28" s="42"/>
      <c r="M28" s="42"/>
      <c r="N28" s="43" t="s">
        <v>26</v>
      </c>
      <c r="O28" s="44"/>
      <c r="P28" s="44"/>
      <c r="Q28" s="45"/>
      <c r="R28" s="46">
        <v>0.28000000000000003</v>
      </c>
      <c r="S28" s="46"/>
      <c r="T28" s="46">
        <f>R28</f>
        <v>0.28000000000000003</v>
      </c>
      <c r="U28" s="46"/>
      <c r="V28" s="46"/>
      <c r="W28" s="46"/>
      <c r="X28" s="19">
        <f t="shared" si="0"/>
        <v>214.28571428571428</v>
      </c>
      <c r="Y28" s="19">
        <f t="shared" si="1"/>
        <v>203.57142857142856</v>
      </c>
      <c r="Z28" s="20">
        <f t="shared" si="2"/>
        <v>0.98544991223615164</v>
      </c>
      <c r="AA28" s="21">
        <v>1</v>
      </c>
    </row>
    <row r="29" spans="1:27" ht="26.25" customHeight="1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89" t="s">
        <v>48</v>
      </c>
      <c r="O29" s="89"/>
      <c r="P29" s="89"/>
      <c r="Q29" s="89"/>
      <c r="R29" s="106">
        <f>SUM(R13:S28)</f>
        <v>5.01</v>
      </c>
      <c r="S29" s="106"/>
      <c r="T29" s="106">
        <f>SUM(T13:U28)</f>
        <v>3.62</v>
      </c>
      <c r="U29" s="106"/>
      <c r="V29" s="106">
        <f>SUM(V13:W28)</f>
        <v>1.39</v>
      </c>
      <c r="W29" s="106"/>
      <c r="X29" s="19"/>
      <c r="Y29" s="19"/>
      <c r="Z29" s="23"/>
      <c r="AA29" s="24">
        <f>SUM(AA13:AA28)</f>
        <v>20.5</v>
      </c>
    </row>
    <row r="30" spans="1:27" ht="26.25" customHeight="1">
      <c r="A30" s="11"/>
      <c r="B30" s="12" t="s">
        <v>49</v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4"/>
      <c r="S30" s="14"/>
      <c r="T30" s="14"/>
      <c r="U30" s="14"/>
      <c r="V30" s="14"/>
      <c r="W30" s="25"/>
      <c r="X30" s="26"/>
      <c r="Y30" s="26"/>
      <c r="Z30" s="26"/>
      <c r="AA30" s="26"/>
    </row>
    <row r="31" spans="1:27" ht="26.25" customHeight="1">
      <c r="A31" s="27">
        <v>1</v>
      </c>
      <c r="B31" s="55" t="s">
        <v>91</v>
      </c>
      <c r="C31" s="56"/>
      <c r="D31" s="56"/>
      <c r="E31" s="56"/>
      <c r="F31" s="56"/>
      <c r="G31" s="56"/>
      <c r="H31" s="56"/>
      <c r="I31" s="57"/>
      <c r="J31" s="42" t="s">
        <v>92</v>
      </c>
      <c r="K31" s="42"/>
      <c r="L31" s="42"/>
      <c r="M31" s="42"/>
      <c r="N31" s="43" t="s">
        <v>26</v>
      </c>
      <c r="O31" s="44"/>
      <c r="P31" s="44"/>
      <c r="Q31" s="45"/>
      <c r="R31" s="58">
        <v>0.6</v>
      </c>
      <c r="S31" s="58"/>
      <c r="T31" s="59">
        <f>R31</f>
        <v>0.6</v>
      </c>
      <c r="U31" s="59"/>
      <c r="V31" s="102"/>
      <c r="W31" s="102"/>
      <c r="X31" s="19">
        <f t="shared" si="0"/>
        <v>100</v>
      </c>
      <c r="Y31" s="19">
        <f t="shared" si="1"/>
        <v>95</v>
      </c>
      <c r="Z31" s="23">
        <f t="shared" si="2"/>
        <v>2.111678383363182</v>
      </c>
      <c r="AA31" s="21">
        <v>2.5</v>
      </c>
    </row>
    <row r="32" spans="1:27" ht="26.25" customHeight="1">
      <c r="A32" s="27">
        <v>2</v>
      </c>
      <c r="B32" s="55" t="s">
        <v>93</v>
      </c>
      <c r="C32" s="56"/>
      <c r="D32" s="56"/>
      <c r="E32" s="56"/>
      <c r="F32" s="56"/>
      <c r="G32" s="56"/>
      <c r="H32" s="56"/>
      <c r="I32" s="57"/>
      <c r="J32" s="42" t="s">
        <v>51</v>
      </c>
      <c r="K32" s="42"/>
      <c r="L32" s="42"/>
      <c r="M32" s="42"/>
      <c r="N32" s="43" t="s">
        <v>26</v>
      </c>
      <c r="O32" s="44"/>
      <c r="P32" s="44"/>
      <c r="Q32" s="45"/>
      <c r="R32" s="58">
        <v>0.2</v>
      </c>
      <c r="S32" s="58"/>
      <c r="T32" s="59"/>
      <c r="U32" s="59"/>
      <c r="V32" s="46">
        <f>R32</f>
        <v>0.2</v>
      </c>
      <c r="W32" s="46"/>
      <c r="X32" s="19">
        <f>60/R32</f>
        <v>300</v>
      </c>
      <c r="Y32" s="19">
        <f>X32*0.95</f>
        <v>285</v>
      </c>
      <c r="Z32" s="23">
        <f>AA$6/Y32</f>
        <v>0.70389279445439401</v>
      </c>
      <c r="AA32" s="21">
        <v>1</v>
      </c>
    </row>
    <row r="33" spans="1:27" ht="26.25" customHeight="1">
      <c r="A33" s="27">
        <v>3</v>
      </c>
      <c r="B33" s="55" t="s">
        <v>50</v>
      </c>
      <c r="C33" s="56"/>
      <c r="D33" s="56"/>
      <c r="E33" s="56"/>
      <c r="F33" s="56"/>
      <c r="G33" s="56"/>
      <c r="H33" s="56"/>
      <c r="I33" s="57"/>
      <c r="J33" s="42" t="s">
        <v>51</v>
      </c>
      <c r="K33" s="42"/>
      <c r="L33" s="42"/>
      <c r="M33" s="42"/>
      <c r="N33" s="43" t="s">
        <v>26</v>
      </c>
      <c r="O33" s="44"/>
      <c r="P33" s="44"/>
      <c r="Q33" s="45"/>
      <c r="R33" s="103">
        <v>0.1</v>
      </c>
      <c r="S33" s="103"/>
      <c r="T33" s="104"/>
      <c r="U33" s="104"/>
      <c r="V33" s="105">
        <f>R33</f>
        <v>0.1</v>
      </c>
      <c r="W33" s="105"/>
      <c r="X33" s="19">
        <f t="shared" ref="X33:X36" si="3">60/R33</f>
        <v>600</v>
      </c>
      <c r="Y33" s="19">
        <f t="shared" ref="Y33:Y36" si="4">X33*0.95</f>
        <v>570</v>
      </c>
      <c r="Z33" s="23">
        <f t="shared" ref="Z33:Z36" si="5">AA$6/Y33</f>
        <v>0.35194639722719701</v>
      </c>
      <c r="AA33" s="21">
        <v>0.5</v>
      </c>
    </row>
    <row r="34" spans="1:27" ht="26.25" customHeight="1">
      <c r="A34" s="27">
        <v>4</v>
      </c>
      <c r="B34" s="55" t="s">
        <v>52</v>
      </c>
      <c r="C34" s="56"/>
      <c r="D34" s="56"/>
      <c r="E34" s="56"/>
      <c r="F34" s="56"/>
      <c r="G34" s="56"/>
      <c r="H34" s="56"/>
      <c r="I34" s="57"/>
      <c r="J34" s="42" t="s">
        <v>25</v>
      </c>
      <c r="K34" s="42"/>
      <c r="L34" s="42"/>
      <c r="M34" s="42"/>
      <c r="N34" s="43" t="s">
        <v>26</v>
      </c>
      <c r="O34" s="44"/>
      <c r="P34" s="44"/>
      <c r="Q34" s="45"/>
      <c r="R34" s="58">
        <v>0.55000000000000004</v>
      </c>
      <c r="S34" s="58"/>
      <c r="T34" s="59"/>
      <c r="U34" s="59"/>
      <c r="V34" s="46">
        <f>R34</f>
        <v>0.55000000000000004</v>
      </c>
      <c r="W34" s="46"/>
      <c r="X34" s="19">
        <f t="shared" si="3"/>
        <v>109.09090909090908</v>
      </c>
      <c r="Y34" s="19">
        <f t="shared" si="4"/>
        <v>103.63636363636363</v>
      </c>
      <c r="Z34" s="23">
        <f t="shared" si="5"/>
        <v>1.9357051847495836</v>
      </c>
      <c r="AA34" s="21">
        <v>2</v>
      </c>
    </row>
    <row r="35" spans="1:27" ht="26.25" customHeight="1">
      <c r="A35" s="27">
        <v>5</v>
      </c>
      <c r="B35" s="55" t="s">
        <v>94</v>
      </c>
      <c r="C35" s="56"/>
      <c r="D35" s="56"/>
      <c r="E35" s="56"/>
      <c r="F35" s="56"/>
      <c r="G35" s="56"/>
      <c r="H35" s="56"/>
      <c r="I35" s="57"/>
      <c r="J35" s="42" t="s">
        <v>27</v>
      </c>
      <c r="K35" s="42"/>
      <c r="L35" s="42"/>
      <c r="M35" s="42"/>
      <c r="N35" s="43" t="s">
        <v>26</v>
      </c>
      <c r="O35" s="44"/>
      <c r="P35" s="44"/>
      <c r="Q35" s="45"/>
      <c r="R35" s="58">
        <v>0.4</v>
      </c>
      <c r="S35" s="58"/>
      <c r="T35" s="59">
        <f t="shared" ref="T35:T39" si="6">R35</f>
        <v>0.4</v>
      </c>
      <c r="U35" s="59"/>
      <c r="V35" s="46"/>
      <c r="W35" s="46"/>
      <c r="X35" s="19">
        <f t="shared" si="3"/>
        <v>150</v>
      </c>
      <c r="Y35" s="19">
        <f t="shared" si="4"/>
        <v>142.5</v>
      </c>
      <c r="Z35" s="23">
        <f t="shared" si="5"/>
        <v>1.407785588908788</v>
      </c>
      <c r="AA35" s="21">
        <v>1.5</v>
      </c>
    </row>
    <row r="36" spans="1:27" ht="26.25" customHeight="1">
      <c r="A36" s="27">
        <v>6</v>
      </c>
      <c r="B36" s="55" t="s">
        <v>53</v>
      </c>
      <c r="C36" s="56"/>
      <c r="D36" s="56"/>
      <c r="E36" s="56"/>
      <c r="F36" s="56"/>
      <c r="G36" s="56"/>
      <c r="H36" s="56"/>
      <c r="I36" s="57"/>
      <c r="J36" s="42" t="s">
        <v>27</v>
      </c>
      <c r="K36" s="42"/>
      <c r="L36" s="42"/>
      <c r="M36" s="42"/>
      <c r="N36" s="43" t="s">
        <v>26</v>
      </c>
      <c r="O36" s="44"/>
      <c r="P36" s="44"/>
      <c r="Q36" s="45"/>
      <c r="R36" s="58">
        <v>0.9</v>
      </c>
      <c r="S36" s="58"/>
      <c r="T36" s="59">
        <f t="shared" si="6"/>
        <v>0.9</v>
      </c>
      <c r="U36" s="59"/>
      <c r="V36" s="46"/>
      <c r="W36" s="46"/>
      <c r="X36" s="19">
        <f t="shared" si="3"/>
        <v>66.666666666666671</v>
      </c>
      <c r="Y36" s="19">
        <f t="shared" si="4"/>
        <v>63.333333333333336</v>
      </c>
      <c r="Z36" s="23">
        <f t="shared" si="5"/>
        <v>3.1675175750447728</v>
      </c>
      <c r="AA36" s="21">
        <v>3.5</v>
      </c>
    </row>
    <row r="37" spans="1:27" ht="26.25" customHeight="1">
      <c r="A37" s="27">
        <v>7</v>
      </c>
      <c r="B37" s="99" t="s">
        <v>54</v>
      </c>
      <c r="C37" s="100"/>
      <c r="D37" s="100"/>
      <c r="E37" s="100"/>
      <c r="F37" s="100"/>
      <c r="G37" s="100"/>
      <c r="H37" s="100"/>
      <c r="I37" s="101"/>
      <c r="J37" s="42" t="s">
        <v>27</v>
      </c>
      <c r="K37" s="42"/>
      <c r="L37" s="42"/>
      <c r="M37" s="42"/>
      <c r="N37" s="43" t="s">
        <v>55</v>
      </c>
      <c r="O37" s="44"/>
      <c r="P37" s="44"/>
      <c r="Q37" s="45"/>
      <c r="R37" s="58">
        <v>0.4</v>
      </c>
      <c r="S37" s="58"/>
      <c r="T37" s="59">
        <f t="shared" si="6"/>
        <v>0.4</v>
      </c>
      <c r="U37" s="59"/>
      <c r="V37" s="102"/>
      <c r="W37" s="102"/>
      <c r="X37" s="19">
        <f t="shared" si="0"/>
        <v>150</v>
      </c>
      <c r="Y37" s="19">
        <f t="shared" si="1"/>
        <v>142.5</v>
      </c>
      <c r="Z37" s="23">
        <f t="shared" si="2"/>
        <v>1.407785588908788</v>
      </c>
      <c r="AA37" s="21">
        <v>1.5</v>
      </c>
    </row>
    <row r="38" spans="1:27" ht="26.25" customHeight="1">
      <c r="A38" s="27">
        <v>8</v>
      </c>
      <c r="B38" s="41" t="s">
        <v>95</v>
      </c>
      <c r="C38" s="41"/>
      <c r="D38" s="41"/>
      <c r="E38" s="41"/>
      <c r="F38" s="41"/>
      <c r="G38" s="41"/>
      <c r="H38" s="41"/>
      <c r="I38" s="41"/>
      <c r="J38" s="42" t="s">
        <v>56</v>
      </c>
      <c r="K38" s="42"/>
      <c r="L38" s="42"/>
      <c r="M38" s="42"/>
      <c r="N38" s="43" t="s">
        <v>26</v>
      </c>
      <c r="O38" s="44"/>
      <c r="P38" s="44"/>
      <c r="Q38" s="45"/>
      <c r="R38" s="46">
        <v>0.66</v>
      </c>
      <c r="S38" s="46"/>
      <c r="T38" s="46">
        <f t="shared" si="6"/>
        <v>0.66</v>
      </c>
      <c r="U38" s="46"/>
      <c r="V38" s="46"/>
      <c r="W38" s="46"/>
      <c r="X38" s="19">
        <f t="shared" si="0"/>
        <v>90.909090909090907</v>
      </c>
      <c r="Y38" s="19">
        <f t="shared" si="1"/>
        <v>86.36363636363636</v>
      </c>
      <c r="Z38" s="23">
        <f t="shared" si="2"/>
        <v>2.3228462216995003</v>
      </c>
      <c r="AA38" s="21">
        <v>2.5</v>
      </c>
    </row>
    <row r="39" spans="1:27" ht="26.25" customHeight="1">
      <c r="A39" s="27">
        <v>9</v>
      </c>
      <c r="B39" s="41" t="s">
        <v>57</v>
      </c>
      <c r="C39" s="41"/>
      <c r="D39" s="41"/>
      <c r="E39" s="41"/>
      <c r="F39" s="41"/>
      <c r="G39" s="41"/>
      <c r="H39" s="41"/>
      <c r="I39" s="41"/>
      <c r="J39" s="42" t="s">
        <v>56</v>
      </c>
      <c r="K39" s="42"/>
      <c r="L39" s="42"/>
      <c r="M39" s="42"/>
      <c r="N39" s="43" t="s">
        <v>26</v>
      </c>
      <c r="O39" s="44"/>
      <c r="P39" s="44"/>
      <c r="Q39" s="45"/>
      <c r="R39" s="46">
        <v>0.2</v>
      </c>
      <c r="S39" s="46"/>
      <c r="T39" s="46">
        <f t="shared" si="6"/>
        <v>0.2</v>
      </c>
      <c r="U39" s="46"/>
      <c r="V39" s="46"/>
      <c r="W39" s="46"/>
      <c r="X39" s="19">
        <f t="shared" si="0"/>
        <v>300</v>
      </c>
      <c r="Y39" s="19">
        <f t="shared" si="1"/>
        <v>285</v>
      </c>
      <c r="Z39" s="23">
        <f t="shared" si="2"/>
        <v>0.70389279445439401</v>
      </c>
      <c r="AA39" s="21">
        <v>1</v>
      </c>
    </row>
    <row r="40" spans="1:27" ht="26.25" customHeight="1">
      <c r="A40" s="27">
        <v>10</v>
      </c>
      <c r="B40" s="41" t="s">
        <v>58</v>
      </c>
      <c r="C40" s="41"/>
      <c r="D40" s="41"/>
      <c r="E40" s="41"/>
      <c r="F40" s="41"/>
      <c r="G40" s="41"/>
      <c r="H40" s="41"/>
      <c r="I40" s="41"/>
      <c r="J40" s="42" t="s">
        <v>51</v>
      </c>
      <c r="K40" s="42"/>
      <c r="L40" s="42"/>
      <c r="M40" s="42"/>
      <c r="N40" s="43" t="s">
        <v>26</v>
      </c>
      <c r="O40" s="44"/>
      <c r="P40" s="44"/>
      <c r="Q40" s="45"/>
      <c r="R40" s="98">
        <v>0.3</v>
      </c>
      <c r="S40" s="98"/>
      <c r="T40" s="46"/>
      <c r="U40" s="46"/>
      <c r="V40" s="46">
        <f>R40</f>
        <v>0.3</v>
      </c>
      <c r="W40" s="46"/>
      <c r="X40" s="19">
        <f t="shared" si="0"/>
        <v>200</v>
      </c>
      <c r="Y40" s="19">
        <f t="shared" si="1"/>
        <v>190</v>
      </c>
      <c r="Z40" s="23">
        <f t="shared" si="2"/>
        <v>1.055839191681591</v>
      </c>
      <c r="AA40" s="21">
        <v>1</v>
      </c>
    </row>
    <row r="41" spans="1:27" ht="26.25" customHeight="1">
      <c r="A41" s="27">
        <v>11</v>
      </c>
      <c r="B41" s="41" t="s">
        <v>106</v>
      </c>
      <c r="C41" s="41"/>
      <c r="D41" s="41"/>
      <c r="E41" s="41"/>
      <c r="F41" s="41"/>
      <c r="G41" s="41"/>
      <c r="H41" s="41"/>
      <c r="I41" s="41"/>
      <c r="J41" s="42" t="s">
        <v>59</v>
      </c>
      <c r="K41" s="42"/>
      <c r="L41" s="42"/>
      <c r="M41" s="42"/>
      <c r="N41" s="43" t="s">
        <v>26</v>
      </c>
      <c r="O41" s="44"/>
      <c r="P41" s="44"/>
      <c r="Q41" s="45"/>
      <c r="R41" s="46">
        <v>0.56000000000000005</v>
      </c>
      <c r="S41" s="46"/>
      <c r="T41" s="46">
        <f>R41</f>
        <v>0.56000000000000005</v>
      </c>
      <c r="U41" s="46"/>
      <c r="V41" s="46"/>
      <c r="W41" s="46"/>
      <c r="X41" s="19">
        <f t="shared" si="0"/>
        <v>107.14285714285714</v>
      </c>
      <c r="Y41" s="19">
        <f t="shared" si="1"/>
        <v>101.78571428571428</v>
      </c>
      <c r="Z41" s="23">
        <f t="shared" si="2"/>
        <v>1.9708998244723033</v>
      </c>
      <c r="AA41" s="21">
        <v>2</v>
      </c>
    </row>
    <row r="42" spans="1:27" ht="26.25" customHeight="1">
      <c r="A42" s="27">
        <v>12</v>
      </c>
      <c r="B42" s="41" t="s">
        <v>60</v>
      </c>
      <c r="C42" s="41"/>
      <c r="D42" s="41"/>
      <c r="E42" s="41"/>
      <c r="F42" s="41"/>
      <c r="G42" s="41"/>
      <c r="H42" s="41"/>
      <c r="I42" s="41"/>
      <c r="J42" s="42" t="s">
        <v>59</v>
      </c>
      <c r="K42" s="42"/>
      <c r="L42" s="42"/>
      <c r="M42" s="42"/>
      <c r="N42" s="43" t="s">
        <v>26</v>
      </c>
      <c r="O42" s="44"/>
      <c r="P42" s="44"/>
      <c r="Q42" s="45"/>
      <c r="R42" s="46">
        <v>0.3</v>
      </c>
      <c r="S42" s="46"/>
      <c r="T42" s="46">
        <f>R42</f>
        <v>0.3</v>
      </c>
      <c r="U42" s="46"/>
      <c r="V42" s="46"/>
      <c r="W42" s="46"/>
      <c r="X42" s="19">
        <f t="shared" si="0"/>
        <v>200</v>
      </c>
      <c r="Y42" s="19">
        <f t="shared" si="1"/>
        <v>190</v>
      </c>
      <c r="Z42" s="23">
        <f t="shared" si="2"/>
        <v>1.055839191681591</v>
      </c>
      <c r="AA42" s="21">
        <v>1</v>
      </c>
    </row>
    <row r="43" spans="1:27" ht="26.25" customHeight="1">
      <c r="A43" s="27">
        <v>13</v>
      </c>
      <c r="B43" s="41" t="s">
        <v>107</v>
      </c>
      <c r="C43" s="41"/>
      <c r="D43" s="41"/>
      <c r="E43" s="41"/>
      <c r="F43" s="41"/>
      <c r="G43" s="41"/>
      <c r="H43" s="41"/>
      <c r="I43" s="41"/>
      <c r="J43" s="42" t="s">
        <v>27</v>
      </c>
      <c r="K43" s="42"/>
      <c r="L43" s="42"/>
      <c r="M43" s="42"/>
      <c r="N43" s="43" t="s">
        <v>26</v>
      </c>
      <c r="O43" s="44"/>
      <c r="P43" s="44"/>
      <c r="Q43" s="45"/>
      <c r="R43" s="46">
        <v>0.24</v>
      </c>
      <c r="S43" s="46"/>
      <c r="T43" s="46">
        <f>R43</f>
        <v>0.24</v>
      </c>
      <c r="U43" s="46"/>
      <c r="V43" s="46"/>
      <c r="W43" s="46"/>
      <c r="X43" s="19">
        <f t="shared" si="0"/>
        <v>250</v>
      </c>
      <c r="Y43" s="19">
        <f t="shared" si="1"/>
        <v>237.5</v>
      </c>
      <c r="Z43" s="23">
        <f t="shared" si="2"/>
        <v>0.84467135334527277</v>
      </c>
      <c r="AA43" s="21">
        <v>1</v>
      </c>
    </row>
    <row r="44" spans="1:27" ht="26.25" customHeight="1">
      <c r="A44" s="27">
        <v>14</v>
      </c>
      <c r="B44" s="90" t="s">
        <v>61</v>
      </c>
      <c r="C44" s="91"/>
      <c r="D44" s="91"/>
      <c r="E44" s="91"/>
      <c r="F44" s="91"/>
      <c r="G44" s="91"/>
      <c r="H44" s="91"/>
      <c r="I44" s="92"/>
      <c r="J44" s="93" t="s">
        <v>27</v>
      </c>
      <c r="K44" s="94"/>
      <c r="L44" s="94"/>
      <c r="M44" s="95"/>
      <c r="N44" s="43" t="s">
        <v>26</v>
      </c>
      <c r="O44" s="44"/>
      <c r="P44" s="44"/>
      <c r="Q44" s="45"/>
      <c r="R44" s="52">
        <v>0.5</v>
      </c>
      <c r="S44" s="53"/>
      <c r="T44" s="52">
        <f>R44</f>
        <v>0.5</v>
      </c>
      <c r="U44" s="53"/>
      <c r="V44" s="52"/>
      <c r="W44" s="53"/>
      <c r="X44" s="19">
        <f t="shared" si="0"/>
        <v>120</v>
      </c>
      <c r="Y44" s="19">
        <f t="shared" si="1"/>
        <v>114</v>
      </c>
      <c r="Z44" s="23">
        <f t="shared" si="2"/>
        <v>1.759731986135985</v>
      </c>
      <c r="AA44" s="21">
        <v>2</v>
      </c>
    </row>
    <row r="45" spans="1:27" ht="26.25" customHeight="1">
      <c r="A45" s="27">
        <v>15</v>
      </c>
      <c r="B45" s="90" t="s">
        <v>62</v>
      </c>
      <c r="C45" s="91"/>
      <c r="D45" s="91"/>
      <c r="E45" s="91"/>
      <c r="F45" s="91"/>
      <c r="G45" s="91"/>
      <c r="H45" s="91"/>
      <c r="I45" s="92"/>
      <c r="J45" s="93" t="s">
        <v>51</v>
      </c>
      <c r="K45" s="94"/>
      <c r="L45" s="94"/>
      <c r="M45" s="95"/>
      <c r="N45" s="43" t="s">
        <v>26</v>
      </c>
      <c r="O45" s="44"/>
      <c r="P45" s="44"/>
      <c r="Q45" s="45"/>
      <c r="R45" s="96">
        <v>0.25</v>
      </c>
      <c r="S45" s="97"/>
      <c r="T45" s="52"/>
      <c r="U45" s="53"/>
      <c r="V45" s="52">
        <f>R45</f>
        <v>0.25</v>
      </c>
      <c r="W45" s="53"/>
      <c r="X45" s="19">
        <f t="shared" si="0"/>
        <v>240</v>
      </c>
      <c r="Y45" s="19">
        <f t="shared" si="1"/>
        <v>228</v>
      </c>
      <c r="Z45" s="23">
        <f t="shared" si="2"/>
        <v>0.87986599306799251</v>
      </c>
      <c r="AA45" s="21">
        <v>1</v>
      </c>
    </row>
    <row r="46" spans="1:27" ht="26.25" customHeight="1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89" t="s">
        <v>48</v>
      </c>
      <c r="O46" s="89"/>
      <c r="P46" s="89"/>
      <c r="Q46" s="89"/>
      <c r="R46" s="89">
        <f>SUM(R31:S45)</f>
        <v>6.1599999999999993</v>
      </c>
      <c r="S46" s="89"/>
      <c r="T46" s="89">
        <f>SUM(T31:U45)</f>
        <v>4.7600000000000007</v>
      </c>
      <c r="U46" s="89"/>
      <c r="V46" s="89">
        <f>SUM(V31:W45)</f>
        <v>1.4000000000000001</v>
      </c>
      <c r="W46" s="89"/>
      <c r="X46" s="19"/>
      <c r="Y46" s="19"/>
      <c r="Z46" s="23"/>
      <c r="AA46" s="28">
        <f>SUM(AA31:AA45)</f>
        <v>24</v>
      </c>
    </row>
    <row r="47" spans="1:27" ht="26.25" customHeight="1">
      <c r="A47" s="29"/>
      <c r="B47" s="30" t="s">
        <v>65</v>
      </c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2"/>
      <c r="S47" s="32"/>
      <c r="T47" s="32"/>
      <c r="U47" s="32"/>
      <c r="V47" s="32"/>
      <c r="W47" s="33"/>
      <c r="X47" s="34"/>
      <c r="Y47" s="34"/>
      <c r="Z47" s="34"/>
      <c r="AA47" s="34"/>
    </row>
    <row r="48" spans="1:27" ht="39.75" customHeight="1">
      <c r="A48" s="35">
        <v>1</v>
      </c>
      <c r="B48" s="54" t="s">
        <v>96</v>
      </c>
      <c r="C48" s="54"/>
      <c r="D48" s="54"/>
      <c r="E48" s="54"/>
      <c r="F48" s="54"/>
      <c r="G48" s="54"/>
      <c r="H48" s="54"/>
      <c r="I48" s="54"/>
      <c r="J48" s="50" t="s">
        <v>25</v>
      </c>
      <c r="K48" s="50"/>
      <c r="L48" s="50"/>
      <c r="M48" s="50"/>
      <c r="N48" s="43" t="s">
        <v>26</v>
      </c>
      <c r="O48" s="44"/>
      <c r="P48" s="44"/>
      <c r="Q48" s="45"/>
      <c r="R48" s="51">
        <v>0.45</v>
      </c>
      <c r="S48" s="51"/>
      <c r="T48" s="52"/>
      <c r="U48" s="53"/>
      <c r="V48" s="52">
        <f>R48</f>
        <v>0.45</v>
      </c>
      <c r="W48" s="53"/>
      <c r="X48" s="19">
        <f t="shared" ref="X48" si="7">60/R48</f>
        <v>133.33333333333334</v>
      </c>
      <c r="Y48" s="19">
        <f t="shared" ref="Y48" si="8">X48*0.95</f>
        <v>126.66666666666667</v>
      </c>
      <c r="Z48" s="23">
        <f t="shared" ref="Z48" si="9">AA$6/Y48</f>
        <v>1.5837587875223864</v>
      </c>
      <c r="AA48" s="21">
        <v>1.5</v>
      </c>
    </row>
    <row r="49" spans="1:27" ht="48" customHeight="1">
      <c r="A49" s="35">
        <v>2</v>
      </c>
      <c r="B49" s="48" t="s">
        <v>101</v>
      </c>
      <c r="C49" s="49"/>
      <c r="D49" s="49"/>
      <c r="E49" s="49"/>
      <c r="F49" s="49"/>
      <c r="G49" s="49"/>
      <c r="H49" s="49"/>
      <c r="I49" s="49"/>
      <c r="J49" s="50" t="s">
        <v>66</v>
      </c>
      <c r="K49" s="50"/>
      <c r="L49" s="50"/>
      <c r="M49" s="50"/>
      <c r="N49" s="43" t="s">
        <v>26</v>
      </c>
      <c r="O49" s="44"/>
      <c r="P49" s="44"/>
      <c r="Q49" s="45"/>
      <c r="R49" s="51">
        <v>0.52</v>
      </c>
      <c r="S49" s="51"/>
      <c r="T49" s="52">
        <f t="shared" ref="T49:T51" si="10">R49</f>
        <v>0.52</v>
      </c>
      <c r="U49" s="53"/>
      <c r="V49" s="52"/>
      <c r="W49" s="53"/>
      <c r="X49" s="19">
        <f t="shared" si="0"/>
        <v>115.38461538461539</v>
      </c>
      <c r="Y49" s="19">
        <f t="shared" si="1"/>
        <v>109.61538461538461</v>
      </c>
      <c r="Z49" s="23">
        <f t="shared" si="2"/>
        <v>1.8301212655814245</v>
      </c>
      <c r="AA49" s="21">
        <v>2</v>
      </c>
    </row>
    <row r="50" spans="1:27" ht="36" customHeight="1">
      <c r="A50" s="35">
        <v>3</v>
      </c>
      <c r="B50" s="48" t="s">
        <v>98</v>
      </c>
      <c r="C50" s="49"/>
      <c r="D50" s="49"/>
      <c r="E50" s="49"/>
      <c r="F50" s="49"/>
      <c r="G50" s="49"/>
      <c r="H50" s="49"/>
      <c r="I50" s="49"/>
      <c r="J50" s="50" t="s">
        <v>27</v>
      </c>
      <c r="K50" s="50"/>
      <c r="L50" s="50"/>
      <c r="M50" s="50"/>
      <c r="N50" s="43" t="s">
        <v>26</v>
      </c>
      <c r="O50" s="44"/>
      <c r="P50" s="44"/>
      <c r="Q50" s="45"/>
      <c r="R50" s="51">
        <v>0.42</v>
      </c>
      <c r="S50" s="51"/>
      <c r="T50" s="52">
        <f>R50</f>
        <v>0.42</v>
      </c>
      <c r="U50" s="53"/>
      <c r="V50" s="52"/>
      <c r="W50" s="53"/>
      <c r="X50" s="19">
        <f t="shared" si="0"/>
        <v>142.85714285714286</v>
      </c>
      <c r="Y50" s="19">
        <f t="shared" si="1"/>
        <v>135.71428571428572</v>
      </c>
      <c r="Z50" s="23">
        <f t="shared" si="2"/>
        <v>1.4781748683542273</v>
      </c>
      <c r="AA50" s="21">
        <v>1.5</v>
      </c>
    </row>
    <row r="51" spans="1:27" ht="26.25" customHeight="1">
      <c r="A51" s="35">
        <v>4</v>
      </c>
      <c r="B51" s="54" t="s">
        <v>99</v>
      </c>
      <c r="C51" s="54"/>
      <c r="D51" s="54"/>
      <c r="E51" s="54"/>
      <c r="F51" s="54"/>
      <c r="G51" s="54"/>
      <c r="H51" s="54"/>
      <c r="I51" s="54"/>
      <c r="J51" s="50" t="s">
        <v>29</v>
      </c>
      <c r="K51" s="50"/>
      <c r="L51" s="50"/>
      <c r="M51" s="50"/>
      <c r="N51" s="43" t="s">
        <v>63</v>
      </c>
      <c r="O51" s="44"/>
      <c r="P51" s="44"/>
      <c r="Q51" s="45"/>
      <c r="R51" s="51">
        <v>0.7</v>
      </c>
      <c r="S51" s="51"/>
      <c r="T51" s="52">
        <f t="shared" si="10"/>
        <v>0.7</v>
      </c>
      <c r="U51" s="53"/>
      <c r="V51" s="52"/>
      <c r="W51" s="53"/>
      <c r="X51" s="19">
        <f t="shared" si="0"/>
        <v>85.714285714285722</v>
      </c>
      <c r="Y51" s="19">
        <f t="shared" si="1"/>
        <v>81.428571428571431</v>
      </c>
      <c r="Z51" s="23">
        <f t="shared" si="2"/>
        <v>2.4636247805903788</v>
      </c>
      <c r="AA51" s="21">
        <v>2.5</v>
      </c>
    </row>
    <row r="52" spans="1:27" ht="26.25" customHeight="1">
      <c r="A52" s="35">
        <v>5</v>
      </c>
      <c r="B52" s="54" t="s">
        <v>97</v>
      </c>
      <c r="C52" s="54"/>
      <c r="D52" s="54"/>
      <c r="E52" s="54"/>
      <c r="F52" s="54"/>
      <c r="G52" s="54"/>
      <c r="H52" s="54"/>
      <c r="I52" s="54"/>
      <c r="J52" s="50" t="s">
        <v>27</v>
      </c>
      <c r="K52" s="50"/>
      <c r="L52" s="50"/>
      <c r="M52" s="50"/>
      <c r="N52" s="43" t="s">
        <v>26</v>
      </c>
      <c r="O52" s="44"/>
      <c r="P52" s="44"/>
      <c r="Q52" s="45"/>
      <c r="R52" s="51">
        <v>0.5</v>
      </c>
      <c r="S52" s="51"/>
      <c r="T52" s="52">
        <f>R52</f>
        <v>0.5</v>
      </c>
      <c r="U52" s="53"/>
      <c r="V52" s="52"/>
      <c r="W52" s="53"/>
      <c r="X52" s="19">
        <f t="shared" ref="X52" si="11">60/R52</f>
        <v>120</v>
      </c>
      <c r="Y52" s="19">
        <f t="shared" ref="Y52" si="12">X52*0.95</f>
        <v>114</v>
      </c>
      <c r="Z52" s="23">
        <f t="shared" ref="Z52" si="13">AA$6/Y52</f>
        <v>1.759731986135985</v>
      </c>
      <c r="AA52" s="21">
        <v>2</v>
      </c>
    </row>
    <row r="53" spans="1:27" ht="26.25" customHeight="1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47" t="s">
        <v>48</v>
      </c>
      <c r="O53" s="47"/>
      <c r="P53" s="47"/>
      <c r="Q53" s="47"/>
      <c r="R53" s="47">
        <f>SUM(R48:S52)</f>
        <v>2.59</v>
      </c>
      <c r="S53" s="47"/>
      <c r="T53" s="47">
        <f>SUM(T48:U52)</f>
        <v>2.1399999999999997</v>
      </c>
      <c r="U53" s="47"/>
      <c r="V53" s="47">
        <f>SUM(V48:W52)</f>
        <v>0.45</v>
      </c>
      <c r="W53" s="47"/>
      <c r="X53" s="19"/>
      <c r="Y53" s="19"/>
      <c r="Z53" s="23"/>
      <c r="AA53" s="28">
        <f>SUM(AA48:AA52)</f>
        <v>9.5</v>
      </c>
    </row>
    <row r="54" spans="1:27" ht="26.25" customHeight="1">
      <c r="A54" s="11"/>
      <c r="B54" s="60" t="s">
        <v>67</v>
      </c>
      <c r="C54" s="61"/>
      <c r="D54" s="61"/>
      <c r="E54" s="61"/>
      <c r="F54" s="61"/>
      <c r="G54" s="61"/>
      <c r="H54" s="61"/>
      <c r="I54" s="62"/>
      <c r="J54" s="63"/>
      <c r="K54" s="64"/>
      <c r="L54" s="64"/>
      <c r="M54" s="65"/>
      <c r="N54" s="63"/>
      <c r="O54" s="64"/>
      <c r="P54" s="64"/>
      <c r="Q54" s="65"/>
      <c r="R54" s="63"/>
      <c r="S54" s="65"/>
      <c r="T54" s="63"/>
      <c r="U54" s="64"/>
      <c r="V54" s="14"/>
      <c r="W54" s="25"/>
      <c r="X54" s="26"/>
      <c r="Y54" s="26"/>
      <c r="Z54" s="26"/>
      <c r="AA54" s="26"/>
    </row>
    <row r="55" spans="1:27" ht="26.25" customHeight="1">
      <c r="A55" s="18">
        <v>1</v>
      </c>
      <c r="B55" s="41" t="s">
        <v>68</v>
      </c>
      <c r="C55" s="41"/>
      <c r="D55" s="41"/>
      <c r="E55" s="41"/>
      <c r="F55" s="41"/>
      <c r="G55" s="41"/>
      <c r="H55" s="41"/>
      <c r="I55" s="41"/>
      <c r="J55" s="42" t="s">
        <v>51</v>
      </c>
      <c r="K55" s="42"/>
      <c r="L55" s="42"/>
      <c r="M55" s="42"/>
      <c r="N55" s="43" t="s">
        <v>26</v>
      </c>
      <c r="O55" s="44"/>
      <c r="P55" s="44"/>
      <c r="Q55" s="45"/>
      <c r="R55" s="46">
        <v>0.6</v>
      </c>
      <c r="S55" s="46"/>
      <c r="T55" s="46"/>
      <c r="U55" s="46"/>
      <c r="V55" s="46">
        <f>R55</f>
        <v>0.6</v>
      </c>
      <c r="W55" s="46"/>
      <c r="X55" s="19">
        <f t="shared" ref="X55" si="14">60/R55</f>
        <v>100</v>
      </c>
      <c r="Y55" s="19">
        <f t="shared" ref="Y55" si="15">X55*0.95</f>
        <v>95</v>
      </c>
      <c r="Z55" s="23">
        <f t="shared" ref="Z55" si="16">AA$6/Y55</f>
        <v>2.111678383363182</v>
      </c>
      <c r="AA55" s="21">
        <v>2</v>
      </c>
    </row>
    <row r="56" spans="1:27" ht="26.25" customHeight="1">
      <c r="A56" s="18">
        <v>2</v>
      </c>
      <c r="B56" s="41" t="s">
        <v>69</v>
      </c>
      <c r="C56" s="41"/>
      <c r="D56" s="41"/>
      <c r="E56" s="41"/>
      <c r="F56" s="41"/>
      <c r="G56" s="41"/>
      <c r="H56" s="41"/>
      <c r="I56" s="41"/>
      <c r="J56" s="42" t="s">
        <v>27</v>
      </c>
      <c r="K56" s="42"/>
      <c r="L56" s="42"/>
      <c r="M56" s="42"/>
      <c r="N56" s="43" t="s">
        <v>70</v>
      </c>
      <c r="O56" s="44"/>
      <c r="P56" s="44"/>
      <c r="Q56" s="45"/>
      <c r="R56" s="46">
        <v>0.65</v>
      </c>
      <c r="S56" s="46"/>
      <c r="T56" s="46">
        <f t="shared" ref="T56:T61" si="17">R56</f>
        <v>0.65</v>
      </c>
      <c r="U56" s="46"/>
      <c r="V56" s="46"/>
      <c r="W56" s="46"/>
      <c r="X56" s="19">
        <f t="shared" si="0"/>
        <v>92.307692307692307</v>
      </c>
      <c r="Y56" s="19">
        <f t="shared" si="1"/>
        <v>87.692307692307693</v>
      </c>
      <c r="Z56" s="23">
        <f t="shared" si="2"/>
        <v>2.2876515819767804</v>
      </c>
      <c r="AA56" s="21">
        <v>2.5</v>
      </c>
    </row>
    <row r="57" spans="1:27" ht="26.25" customHeight="1">
      <c r="A57" s="18">
        <v>3</v>
      </c>
      <c r="B57" s="41" t="s">
        <v>86</v>
      </c>
      <c r="C57" s="41"/>
      <c r="D57" s="41"/>
      <c r="E57" s="41"/>
      <c r="F57" s="41"/>
      <c r="G57" s="41"/>
      <c r="H57" s="41"/>
      <c r="I57" s="41"/>
      <c r="J57" s="42" t="s">
        <v>27</v>
      </c>
      <c r="K57" s="42"/>
      <c r="L57" s="42"/>
      <c r="M57" s="42"/>
      <c r="N57" s="43" t="s">
        <v>26</v>
      </c>
      <c r="O57" s="44"/>
      <c r="P57" s="44"/>
      <c r="Q57" s="45"/>
      <c r="R57" s="46">
        <v>0.74</v>
      </c>
      <c r="S57" s="46"/>
      <c r="T57" s="46">
        <f t="shared" si="17"/>
        <v>0.74</v>
      </c>
      <c r="U57" s="46"/>
      <c r="V57" s="46"/>
      <c r="W57" s="46"/>
      <c r="X57" s="19">
        <f t="shared" si="0"/>
        <v>81.081081081081081</v>
      </c>
      <c r="Y57" s="19">
        <f t="shared" si="1"/>
        <v>77.027027027027017</v>
      </c>
      <c r="Z57" s="23">
        <f t="shared" si="2"/>
        <v>2.6044033394812582</v>
      </c>
      <c r="AA57" s="21">
        <v>3</v>
      </c>
    </row>
    <row r="58" spans="1:27" ht="26.25" customHeight="1">
      <c r="A58" s="18">
        <v>4</v>
      </c>
      <c r="B58" s="41" t="s">
        <v>87</v>
      </c>
      <c r="C58" s="41"/>
      <c r="D58" s="41"/>
      <c r="E58" s="41"/>
      <c r="F58" s="41"/>
      <c r="G58" s="41"/>
      <c r="H58" s="41"/>
      <c r="I58" s="41"/>
      <c r="J58" s="42" t="s">
        <v>27</v>
      </c>
      <c r="K58" s="42"/>
      <c r="L58" s="42"/>
      <c r="M58" s="42"/>
      <c r="N58" s="43" t="s">
        <v>26</v>
      </c>
      <c r="O58" s="44"/>
      <c r="P58" s="44"/>
      <c r="Q58" s="45"/>
      <c r="R58" s="46">
        <v>0.65</v>
      </c>
      <c r="S58" s="46"/>
      <c r="T58" s="46">
        <f t="shared" si="17"/>
        <v>0.65</v>
      </c>
      <c r="U58" s="46"/>
      <c r="V58" s="46"/>
      <c r="W58" s="46"/>
      <c r="X58" s="19">
        <f t="shared" si="0"/>
        <v>92.307692307692307</v>
      </c>
      <c r="Y58" s="19">
        <f t="shared" si="1"/>
        <v>87.692307692307693</v>
      </c>
      <c r="Z58" s="23">
        <f t="shared" si="2"/>
        <v>2.2876515819767804</v>
      </c>
      <c r="AA58" s="21">
        <v>2.5</v>
      </c>
    </row>
    <row r="59" spans="1:27" ht="26.25" customHeight="1">
      <c r="A59" s="18">
        <v>5</v>
      </c>
      <c r="B59" s="41" t="s">
        <v>88</v>
      </c>
      <c r="C59" s="41"/>
      <c r="D59" s="41"/>
      <c r="E59" s="41"/>
      <c r="F59" s="41"/>
      <c r="G59" s="41"/>
      <c r="H59" s="41"/>
      <c r="I59" s="41"/>
      <c r="J59" s="42" t="s">
        <v>71</v>
      </c>
      <c r="K59" s="42"/>
      <c r="L59" s="42"/>
      <c r="M59" s="42"/>
      <c r="N59" s="43" t="s">
        <v>90</v>
      </c>
      <c r="O59" s="44"/>
      <c r="P59" s="44"/>
      <c r="Q59" s="45"/>
      <c r="R59" s="46">
        <v>0.84</v>
      </c>
      <c r="S59" s="46"/>
      <c r="T59" s="46">
        <f t="shared" si="17"/>
        <v>0.84</v>
      </c>
      <c r="U59" s="46"/>
      <c r="V59" s="46"/>
      <c r="W59" s="46"/>
      <c r="X59" s="19">
        <f t="shared" si="0"/>
        <v>71.428571428571431</v>
      </c>
      <c r="Y59" s="19">
        <f t="shared" si="1"/>
        <v>67.857142857142861</v>
      </c>
      <c r="Z59" s="23">
        <f t="shared" si="2"/>
        <v>2.9563497367084546</v>
      </c>
      <c r="AA59" s="21">
        <v>3</v>
      </c>
    </row>
    <row r="60" spans="1:27" ht="26.25" customHeight="1">
      <c r="A60" s="18">
        <v>6</v>
      </c>
      <c r="B60" s="41" t="s">
        <v>73</v>
      </c>
      <c r="C60" s="41"/>
      <c r="D60" s="41"/>
      <c r="E60" s="41"/>
      <c r="F60" s="41"/>
      <c r="G60" s="41"/>
      <c r="H60" s="41"/>
      <c r="I60" s="41"/>
      <c r="J60" s="42" t="s">
        <v>27</v>
      </c>
      <c r="K60" s="42"/>
      <c r="L60" s="42"/>
      <c r="M60" s="42"/>
      <c r="N60" s="43" t="s">
        <v>26</v>
      </c>
      <c r="O60" s="44"/>
      <c r="P60" s="44"/>
      <c r="Q60" s="45"/>
      <c r="R60" s="46">
        <v>0.75</v>
      </c>
      <c r="S60" s="46"/>
      <c r="T60" s="46">
        <f t="shared" si="17"/>
        <v>0.75</v>
      </c>
      <c r="U60" s="46"/>
      <c r="V60" s="46"/>
      <c r="W60" s="46"/>
      <c r="X60" s="19">
        <f t="shared" ref="X60:X66" si="18">60/R60</f>
        <v>80</v>
      </c>
      <c r="Y60" s="19">
        <f t="shared" ref="Y60:Y66" si="19">X60*0.95</f>
        <v>76</v>
      </c>
      <c r="Z60" s="23">
        <f t="shared" ref="Z60:Z66" si="20">AA$6/Y60</f>
        <v>2.6395979792039777</v>
      </c>
      <c r="AA60" s="21">
        <v>3</v>
      </c>
    </row>
    <row r="61" spans="1:27" ht="26.25" customHeight="1">
      <c r="A61" s="18">
        <v>7</v>
      </c>
      <c r="B61" s="41" t="s">
        <v>74</v>
      </c>
      <c r="C61" s="41"/>
      <c r="D61" s="41"/>
      <c r="E61" s="41"/>
      <c r="F61" s="41"/>
      <c r="G61" s="41"/>
      <c r="H61" s="41"/>
      <c r="I61" s="41"/>
      <c r="J61" s="42" t="s">
        <v>75</v>
      </c>
      <c r="K61" s="42"/>
      <c r="L61" s="42"/>
      <c r="M61" s="42"/>
      <c r="N61" s="43" t="s">
        <v>72</v>
      </c>
      <c r="O61" s="44"/>
      <c r="P61" s="44"/>
      <c r="Q61" s="45"/>
      <c r="R61" s="59">
        <v>0.95</v>
      </c>
      <c r="S61" s="59"/>
      <c r="T61" s="46">
        <f t="shared" si="17"/>
        <v>0.95</v>
      </c>
      <c r="U61" s="46"/>
      <c r="V61" s="46"/>
      <c r="W61" s="46"/>
      <c r="X61" s="19">
        <f t="shared" si="18"/>
        <v>63.15789473684211</v>
      </c>
      <c r="Y61" s="19">
        <f t="shared" si="19"/>
        <v>60</v>
      </c>
      <c r="Z61" s="23">
        <f t="shared" si="20"/>
        <v>3.3434907736583717</v>
      </c>
      <c r="AA61" s="21">
        <v>3.5</v>
      </c>
    </row>
    <row r="62" spans="1:27" ht="26.25" customHeight="1">
      <c r="A62" s="18">
        <v>8</v>
      </c>
      <c r="B62" s="41" t="s">
        <v>89</v>
      </c>
      <c r="C62" s="41"/>
      <c r="D62" s="41"/>
      <c r="E62" s="41"/>
      <c r="F62" s="41"/>
      <c r="G62" s="41"/>
      <c r="H62" s="41"/>
      <c r="I62" s="41"/>
      <c r="J62" s="42" t="s">
        <v>64</v>
      </c>
      <c r="K62" s="42"/>
      <c r="L62" s="42"/>
      <c r="M62" s="42"/>
      <c r="N62" s="43" t="s">
        <v>26</v>
      </c>
      <c r="O62" s="44"/>
      <c r="P62" s="44"/>
      <c r="Q62" s="45"/>
      <c r="R62" s="46">
        <v>0.41</v>
      </c>
      <c r="S62" s="46"/>
      <c r="T62" s="46"/>
      <c r="U62" s="46"/>
      <c r="V62" s="46">
        <f>R62</f>
        <v>0.41</v>
      </c>
      <c r="W62" s="46"/>
      <c r="X62" s="19">
        <f t="shared" si="18"/>
        <v>146.34146341463415</v>
      </c>
      <c r="Y62" s="19">
        <f t="shared" si="19"/>
        <v>139.02439024390245</v>
      </c>
      <c r="Z62" s="23">
        <f t="shared" si="20"/>
        <v>1.4429802286315077</v>
      </c>
      <c r="AA62" s="21">
        <v>1.5</v>
      </c>
    </row>
    <row r="63" spans="1:27" ht="26.25" customHeight="1">
      <c r="A63" s="18">
        <v>9</v>
      </c>
      <c r="B63" s="41" t="s">
        <v>111</v>
      </c>
      <c r="C63" s="41"/>
      <c r="D63" s="41"/>
      <c r="E63" s="41"/>
      <c r="F63" s="41"/>
      <c r="G63" s="41"/>
      <c r="H63" s="41"/>
      <c r="I63" s="41"/>
      <c r="J63" s="42" t="s">
        <v>25</v>
      </c>
      <c r="K63" s="42"/>
      <c r="L63" s="42"/>
      <c r="M63" s="42"/>
      <c r="N63" s="43" t="s">
        <v>26</v>
      </c>
      <c r="O63" s="44"/>
      <c r="P63" s="44"/>
      <c r="Q63" s="45"/>
      <c r="R63" s="59">
        <v>0.69</v>
      </c>
      <c r="S63" s="59"/>
      <c r="T63" s="46"/>
      <c r="U63" s="46"/>
      <c r="V63" s="46">
        <f>R63</f>
        <v>0.69</v>
      </c>
      <c r="W63" s="46"/>
      <c r="X63" s="19">
        <f t="shared" si="18"/>
        <v>86.956521739130437</v>
      </c>
      <c r="Y63" s="19">
        <f t="shared" si="19"/>
        <v>82.608695652173907</v>
      </c>
      <c r="Z63" s="23">
        <f t="shared" si="20"/>
        <v>2.4284301408676594</v>
      </c>
      <c r="AA63" s="21">
        <v>2.5</v>
      </c>
    </row>
    <row r="64" spans="1:27" ht="26.25" customHeight="1">
      <c r="A64" s="18">
        <v>10</v>
      </c>
      <c r="B64" s="41" t="s">
        <v>112</v>
      </c>
      <c r="C64" s="41"/>
      <c r="D64" s="41"/>
      <c r="E64" s="41"/>
      <c r="F64" s="41"/>
      <c r="G64" s="41"/>
      <c r="H64" s="41"/>
      <c r="I64" s="41"/>
      <c r="J64" s="42" t="s">
        <v>27</v>
      </c>
      <c r="K64" s="42"/>
      <c r="L64" s="42"/>
      <c r="M64" s="42"/>
      <c r="N64" s="43" t="s">
        <v>26</v>
      </c>
      <c r="O64" s="44"/>
      <c r="P64" s="44"/>
      <c r="Q64" s="45"/>
      <c r="R64" s="59">
        <v>0.42</v>
      </c>
      <c r="S64" s="59"/>
      <c r="T64" s="46">
        <f>R64</f>
        <v>0.42</v>
      </c>
      <c r="U64" s="46"/>
      <c r="V64" s="46"/>
      <c r="W64" s="46"/>
      <c r="X64" s="19">
        <f t="shared" si="18"/>
        <v>142.85714285714286</v>
      </c>
      <c r="Y64" s="19">
        <f t="shared" si="19"/>
        <v>135.71428571428572</v>
      </c>
      <c r="Z64" s="23">
        <f t="shared" si="20"/>
        <v>1.4781748683542273</v>
      </c>
      <c r="AA64" s="21">
        <v>1.5</v>
      </c>
    </row>
    <row r="65" spans="1:27" ht="26.25" customHeight="1">
      <c r="A65" s="18">
        <v>11</v>
      </c>
      <c r="B65" s="41" t="s">
        <v>110</v>
      </c>
      <c r="C65" s="41"/>
      <c r="D65" s="41"/>
      <c r="E65" s="41"/>
      <c r="F65" s="41"/>
      <c r="G65" s="41"/>
      <c r="H65" s="41"/>
      <c r="I65" s="41"/>
      <c r="J65" s="42" t="s">
        <v>27</v>
      </c>
      <c r="K65" s="42"/>
      <c r="L65" s="42"/>
      <c r="M65" s="42"/>
      <c r="N65" s="43" t="s">
        <v>72</v>
      </c>
      <c r="O65" s="44"/>
      <c r="P65" s="44"/>
      <c r="Q65" s="45"/>
      <c r="R65" s="42">
        <v>0.62</v>
      </c>
      <c r="S65" s="42"/>
      <c r="T65" s="42">
        <f>R65</f>
        <v>0.62</v>
      </c>
      <c r="U65" s="42"/>
      <c r="V65" s="42"/>
      <c r="W65" s="42"/>
      <c r="X65" s="19">
        <f t="shared" si="18"/>
        <v>96.774193548387103</v>
      </c>
      <c r="Y65" s="19">
        <f t="shared" si="19"/>
        <v>91.935483870967744</v>
      </c>
      <c r="Z65" s="23">
        <f t="shared" si="20"/>
        <v>2.1820676628086213</v>
      </c>
      <c r="AA65" s="21">
        <v>2.5</v>
      </c>
    </row>
    <row r="66" spans="1:27" ht="26.25" customHeight="1">
      <c r="A66" s="18">
        <v>12</v>
      </c>
      <c r="B66" s="41" t="s">
        <v>100</v>
      </c>
      <c r="C66" s="41"/>
      <c r="D66" s="41"/>
      <c r="E66" s="41"/>
      <c r="F66" s="41"/>
      <c r="G66" s="41"/>
      <c r="H66" s="41"/>
      <c r="I66" s="41"/>
      <c r="J66" s="42" t="s">
        <v>59</v>
      </c>
      <c r="K66" s="42"/>
      <c r="L66" s="42"/>
      <c r="M66" s="42"/>
      <c r="N66" s="43" t="s">
        <v>26</v>
      </c>
      <c r="O66" s="44"/>
      <c r="P66" s="44"/>
      <c r="Q66" s="45"/>
      <c r="R66" s="42">
        <v>0.4</v>
      </c>
      <c r="S66" s="42"/>
      <c r="T66" s="42">
        <f>R66</f>
        <v>0.4</v>
      </c>
      <c r="U66" s="42"/>
      <c r="V66" s="42"/>
      <c r="W66" s="42"/>
      <c r="X66" s="19">
        <f t="shared" si="18"/>
        <v>150</v>
      </c>
      <c r="Y66" s="19">
        <f t="shared" si="19"/>
        <v>142.5</v>
      </c>
      <c r="Z66" s="23">
        <f t="shared" si="20"/>
        <v>1.407785588908788</v>
      </c>
      <c r="AA66" s="21">
        <v>1.5</v>
      </c>
    </row>
    <row r="67" spans="1:27" ht="26.25" customHeight="1">
      <c r="A67" s="36"/>
      <c r="B67" s="82"/>
      <c r="C67" s="83"/>
      <c r="D67" s="83"/>
      <c r="E67" s="83"/>
      <c r="F67" s="83"/>
      <c r="G67" s="83"/>
      <c r="H67" s="83"/>
      <c r="I67" s="84"/>
      <c r="J67" s="85"/>
      <c r="K67" s="86"/>
      <c r="L67" s="86"/>
      <c r="M67" s="87"/>
      <c r="N67" s="88" t="s">
        <v>48</v>
      </c>
      <c r="O67" s="89"/>
      <c r="P67" s="89"/>
      <c r="Q67" s="89"/>
      <c r="R67" s="89">
        <f>SUM(R55:S66)</f>
        <v>7.7200000000000015</v>
      </c>
      <c r="S67" s="89"/>
      <c r="T67" s="89">
        <f>SUM(T55:U66)</f>
        <v>6.0200000000000005</v>
      </c>
      <c r="U67" s="89"/>
      <c r="V67" s="89">
        <f>SUM(V55:W66)</f>
        <v>1.7</v>
      </c>
      <c r="W67" s="89"/>
      <c r="X67" s="19"/>
      <c r="Y67" s="19"/>
      <c r="Z67" s="23"/>
      <c r="AA67" s="28">
        <f>SUM(AA55:AA66)</f>
        <v>29</v>
      </c>
    </row>
    <row r="68" spans="1:27" ht="26.25" customHeight="1">
      <c r="A68" s="74" t="s">
        <v>76</v>
      </c>
      <c r="B68" s="75"/>
      <c r="C68" s="75"/>
      <c r="D68" s="75"/>
      <c r="E68" s="75"/>
      <c r="F68" s="75"/>
      <c r="G68" s="75"/>
      <c r="H68" s="75"/>
      <c r="I68" s="75"/>
      <c r="J68" s="75"/>
      <c r="K68" s="75"/>
      <c r="L68" s="75"/>
      <c r="M68" s="75"/>
      <c r="N68" s="75"/>
      <c r="O68" s="75"/>
      <c r="P68" s="75"/>
      <c r="Q68" s="76"/>
      <c r="R68" s="77">
        <f>SUM(R13:S28,R31:S45,R48:S52,R55:S66)</f>
        <v>21.48</v>
      </c>
      <c r="S68" s="78"/>
      <c r="T68" s="77">
        <f t="shared" ref="T68" si="21">SUM(T13:U28,T31:U45,T48:U52,T55:U66)</f>
        <v>16.54</v>
      </c>
      <c r="U68" s="78"/>
      <c r="V68" s="77">
        <f t="shared" ref="V68" si="22">SUM(V13:W28,V31:W45,V48:W52,V55:W66)</f>
        <v>4.9399999999999995</v>
      </c>
      <c r="W68" s="78"/>
      <c r="X68" s="19"/>
      <c r="Y68" s="19"/>
      <c r="Z68" s="23"/>
      <c r="AA68" s="28">
        <f>AA67+AA53+AA46+AA29</f>
        <v>83</v>
      </c>
    </row>
    <row r="69" spans="1:27" ht="26.25" customHeight="1">
      <c r="A69" s="79"/>
      <c r="B69" s="80"/>
      <c r="C69" s="80"/>
      <c r="D69" s="80"/>
      <c r="E69" s="80"/>
      <c r="F69" s="80"/>
      <c r="G69" s="80"/>
      <c r="H69" s="80"/>
      <c r="I69" s="80"/>
      <c r="J69" s="80"/>
      <c r="K69" s="80"/>
      <c r="L69" s="80"/>
      <c r="M69" s="80"/>
      <c r="N69" s="80"/>
      <c r="O69" s="80"/>
      <c r="P69" s="80"/>
      <c r="Q69" s="80"/>
      <c r="R69" s="81"/>
      <c r="S69" s="81"/>
      <c r="T69" s="81"/>
      <c r="U69" s="81"/>
      <c r="V69" s="81"/>
      <c r="W69" s="81"/>
      <c r="X69" s="19"/>
      <c r="Y69" s="19"/>
      <c r="Z69" s="23"/>
      <c r="AA69" s="21"/>
    </row>
    <row r="70" spans="1:27" ht="26.25" customHeight="1">
      <c r="A70" s="37"/>
      <c r="B70" s="66" t="s">
        <v>77</v>
      </c>
      <c r="C70" s="66"/>
      <c r="D70" s="66"/>
      <c r="E70" s="66"/>
      <c r="F70" s="66"/>
      <c r="G70" s="66"/>
      <c r="H70" s="66"/>
      <c r="I70" s="66"/>
      <c r="J70" s="66"/>
      <c r="K70" s="66"/>
      <c r="L70" s="66"/>
      <c r="M70" s="66"/>
      <c r="N70" s="72">
        <v>0.05</v>
      </c>
      <c r="O70" s="72"/>
      <c r="P70" s="72"/>
      <c r="Q70" s="72"/>
      <c r="R70" s="72"/>
      <c r="S70" s="72"/>
      <c r="T70" s="73">
        <f>N70</f>
        <v>0.05</v>
      </c>
      <c r="U70" s="73"/>
      <c r="V70" s="73">
        <f>N70</f>
        <v>0.05</v>
      </c>
      <c r="W70" s="73"/>
      <c r="X70" s="19"/>
      <c r="Y70" s="19"/>
      <c r="Z70" s="23"/>
      <c r="AA70" s="21"/>
    </row>
    <row r="71" spans="1:27" ht="26.25" customHeight="1">
      <c r="A71" s="37"/>
      <c r="B71" s="66" t="s">
        <v>78</v>
      </c>
      <c r="C71" s="66"/>
      <c r="D71" s="66"/>
      <c r="E71" s="66"/>
      <c r="F71" s="66"/>
      <c r="G71" s="66"/>
      <c r="H71" s="66"/>
      <c r="I71" s="66"/>
      <c r="J71" s="66"/>
      <c r="K71" s="66"/>
      <c r="L71" s="66"/>
      <c r="M71" s="66"/>
      <c r="N71" s="72">
        <v>0.05</v>
      </c>
      <c r="O71" s="72"/>
      <c r="P71" s="72"/>
      <c r="Q71" s="72"/>
      <c r="R71" s="72"/>
      <c r="S71" s="72"/>
      <c r="T71" s="73">
        <f>N71</f>
        <v>0.05</v>
      </c>
      <c r="U71" s="73"/>
      <c r="V71" s="73">
        <f>N71</f>
        <v>0.05</v>
      </c>
      <c r="W71" s="46"/>
      <c r="X71" s="19"/>
      <c r="Y71" s="19"/>
      <c r="Z71" s="23"/>
      <c r="AA71" s="21"/>
    </row>
    <row r="72" spans="1:27" ht="26.25" customHeight="1">
      <c r="A72" s="37"/>
      <c r="B72" s="66" t="s">
        <v>79</v>
      </c>
      <c r="C72" s="66"/>
      <c r="D72" s="66"/>
      <c r="E72" s="66"/>
      <c r="F72" s="66"/>
      <c r="G72" s="66"/>
      <c r="H72" s="66"/>
      <c r="I72" s="66"/>
      <c r="J72" s="66"/>
      <c r="K72" s="66"/>
      <c r="L72" s="66"/>
      <c r="M72" s="66"/>
      <c r="N72" s="72">
        <v>0</v>
      </c>
      <c r="O72" s="72"/>
      <c r="P72" s="72"/>
      <c r="Q72" s="72"/>
      <c r="R72" s="72"/>
      <c r="S72" s="72"/>
      <c r="T72" s="73">
        <f>N72</f>
        <v>0</v>
      </c>
      <c r="U72" s="46"/>
      <c r="V72" s="73">
        <f>N72</f>
        <v>0</v>
      </c>
      <c r="W72" s="46"/>
      <c r="X72" s="19"/>
      <c r="Y72" s="19"/>
      <c r="Z72" s="23"/>
      <c r="AA72" s="21"/>
    </row>
    <row r="73" spans="1:27" ht="26.25" customHeight="1">
      <c r="A73" s="38"/>
      <c r="B73" s="66" t="s">
        <v>80</v>
      </c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72">
        <v>0</v>
      </c>
      <c r="O73" s="72"/>
      <c r="P73" s="72"/>
      <c r="Q73" s="72"/>
      <c r="R73" s="72"/>
      <c r="S73" s="72"/>
      <c r="T73" s="73">
        <f>N73</f>
        <v>0</v>
      </c>
      <c r="U73" s="46"/>
      <c r="V73" s="73">
        <f>N73</f>
        <v>0</v>
      </c>
      <c r="W73" s="46"/>
      <c r="X73" s="19"/>
      <c r="Y73" s="19"/>
      <c r="Z73" s="23"/>
      <c r="AA73" s="21"/>
    </row>
    <row r="74" spans="1:27" ht="26.25" customHeight="1">
      <c r="A74" s="66" t="s">
        <v>81</v>
      </c>
      <c r="B74" s="67"/>
      <c r="C74" s="67"/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67"/>
      <c r="O74" s="67"/>
      <c r="P74" s="67"/>
      <c r="Q74" s="67"/>
      <c r="R74" s="68"/>
      <c r="S74" s="69"/>
      <c r="T74" s="70">
        <f>SUM(T70:U73)</f>
        <v>0.1</v>
      </c>
      <c r="U74" s="70"/>
      <c r="V74" s="70">
        <f>SUM(V70:W73)</f>
        <v>0.1</v>
      </c>
      <c r="W74" s="70"/>
      <c r="X74" s="19"/>
      <c r="Y74" s="19"/>
      <c r="Z74" s="23"/>
      <c r="AA74" s="21"/>
    </row>
    <row r="75" spans="1:27" ht="26.25" customHeight="1">
      <c r="A75" s="67" t="s">
        <v>82</v>
      </c>
      <c r="B75" s="67"/>
      <c r="C75" s="67"/>
      <c r="D75" s="67"/>
      <c r="E75" s="67"/>
      <c r="F75" s="67"/>
      <c r="G75" s="67"/>
      <c r="H75" s="67"/>
      <c r="I75" s="67"/>
      <c r="J75" s="67"/>
      <c r="K75" s="67"/>
      <c r="L75" s="67"/>
      <c r="M75" s="67"/>
      <c r="N75" s="67"/>
      <c r="O75" s="67"/>
      <c r="P75" s="67"/>
      <c r="Q75" s="67"/>
      <c r="R75" s="71">
        <f>T75+V75</f>
        <v>23.628</v>
      </c>
      <c r="S75" s="71"/>
      <c r="T75" s="71">
        <f>(T68*T74)+T68</f>
        <v>18.193999999999999</v>
      </c>
      <c r="U75" s="71"/>
      <c r="V75" s="71">
        <f>(V68*V74)+V68</f>
        <v>5.4339999999999993</v>
      </c>
      <c r="W75" s="71"/>
      <c r="X75" s="19"/>
      <c r="Y75" s="19"/>
      <c r="Z75" s="23"/>
      <c r="AA75" s="21"/>
    </row>
  </sheetData>
  <mergeCells count="369">
    <mergeCell ref="A1:W1"/>
    <mergeCell ref="A3:B5"/>
    <mergeCell ref="C3:G5"/>
    <mergeCell ref="H3:H5"/>
    <mergeCell ref="I3:I5"/>
    <mergeCell ref="J3:K5"/>
    <mergeCell ref="L3:P3"/>
    <mergeCell ref="S3:T5"/>
    <mergeCell ref="U3:W5"/>
    <mergeCell ref="A8:C8"/>
    <mergeCell ref="D8:Z9"/>
    <mergeCell ref="B11:I11"/>
    <mergeCell ref="J11:M11"/>
    <mergeCell ref="N11:Q11"/>
    <mergeCell ref="R11:S11"/>
    <mergeCell ref="T11:U11"/>
    <mergeCell ref="V11:W11"/>
    <mergeCell ref="A6:B6"/>
    <mergeCell ref="C6:G6"/>
    <mergeCell ref="J6:K6"/>
    <mergeCell ref="L6:P6"/>
    <mergeCell ref="S6:T6"/>
    <mergeCell ref="U6:W6"/>
    <mergeCell ref="B13:I13"/>
    <mergeCell ref="J13:M13"/>
    <mergeCell ref="N13:Q13"/>
    <mergeCell ref="R13:S13"/>
    <mergeCell ref="T13:U13"/>
    <mergeCell ref="V13:W13"/>
    <mergeCell ref="R12:S12"/>
    <mergeCell ref="T12:U12"/>
    <mergeCell ref="V12:W12"/>
    <mergeCell ref="B15:I15"/>
    <mergeCell ref="J15:M15"/>
    <mergeCell ref="N15:Q15"/>
    <mergeCell ref="R15:S15"/>
    <mergeCell ref="T15:U15"/>
    <mergeCell ref="V15:W15"/>
    <mergeCell ref="B14:I14"/>
    <mergeCell ref="J14:M14"/>
    <mergeCell ref="N14:Q14"/>
    <mergeCell ref="R14:S14"/>
    <mergeCell ref="T14:U14"/>
    <mergeCell ref="V14:W14"/>
    <mergeCell ref="B17:I17"/>
    <mergeCell ref="J17:M17"/>
    <mergeCell ref="N17:Q17"/>
    <mergeCell ref="R17:S17"/>
    <mergeCell ref="T17:U17"/>
    <mergeCell ref="V17:W17"/>
    <mergeCell ref="B16:I16"/>
    <mergeCell ref="J16:M16"/>
    <mergeCell ref="N16:Q16"/>
    <mergeCell ref="R16:S16"/>
    <mergeCell ref="T16:U16"/>
    <mergeCell ref="V16:W16"/>
    <mergeCell ref="B19:I19"/>
    <mergeCell ref="J19:M19"/>
    <mergeCell ref="N19:Q19"/>
    <mergeCell ref="R19:S19"/>
    <mergeCell ref="T19:U19"/>
    <mergeCell ref="V19:W19"/>
    <mergeCell ref="B18:I18"/>
    <mergeCell ref="J18:M18"/>
    <mergeCell ref="N18:Q18"/>
    <mergeCell ref="R18:S18"/>
    <mergeCell ref="T18:U18"/>
    <mergeCell ref="V18:W18"/>
    <mergeCell ref="B21:I21"/>
    <mergeCell ref="J21:M21"/>
    <mergeCell ref="N21:Q21"/>
    <mergeCell ref="R21:S21"/>
    <mergeCell ref="T21:U21"/>
    <mergeCell ref="V21:W21"/>
    <mergeCell ref="B20:I20"/>
    <mergeCell ref="J20:M20"/>
    <mergeCell ref="N20:Q20"/>
    <mergeCell ref="R20:S20"/>
    <mergeCell ref="T20:U20"/>
    <mergeCell ref="V20:W20"/>
    <mergeCell ref="B23:I23"/>
    <mergeCell ref="J23:M23"/>
    <mergeCell ref="N23:Q23"/>
    <mergeCell ref="R23:S23"/>
    <mergeCell ref="T23:U23"/>
    <mergeCell ref="V23:W23"/>
    <mergeCell ref="B22:I22"/>
    <mergeCell ref="J22:M22"/>
    <mergeCell ref="N22:Q22"/>
    <mergeCell ref="R22:S22"/>
    <mergeCell ref="T22:U22"/>
    <mergeCell ref="V22:W22"/>
    <mergeCell ref="B25:I25"/>
    <mergeCell ref="J25:M25"/>
    <mergeCell ref="N25:Q25"/>
    <mergeCell ref="R25:S25"/>
    <mergeCell ref="T25:U25"/>
    <mergeCell ref="V25:W25"/>
    <mergeCell ref="B24:I24"/>
    <mergeCell ref="J24:M24"/>
    <mergeCell ref="N24:Q24"/>
    <mergeCell ref="R24:S24"/>
    <mergeCell ref="T24:U24"/>
    <mergeCell ref="V24:W24"/>
    <mergeCell ref="B28:I28"/>
    <mergeCell ref="J28:M28"/>
    <mergeCell ref="N28:Q28"/>
    <mergeCell ref="R28:S28"/>
    <mergeCell ref="T28:U28"/>
    <mergeCell ref="V28:W28"/>
    <mergeCell ref="B26:I26"/>
    <mergeCell ref="J26:M26"/>
    <mergeCell ref="N26:Q26"/>
    <mergeCell ref="R26:S26"/>
    <mergeCell ref="T26:U26"/>
    <mergeCell ref="V26:W26"/>
    <mergeCell ref="B27:I27"/>
    <mergeCell ref="J27:M27"/>
    <mergeCell ref="N27:Q27"/>
    <mergeCell ref="R27:S27"/>
    <mergeCell ref="T27:U27"/>
    <mergeCell ref="V27:W27"/>
    <mergeCell ref="N29:Q29"/>
    <mergeCell ref="R29:S29"/>
    <mergeCell ref="T29:U29"/>
    <mergeCell ref="V29:W29"/>
    <mergeCell ref="B31:I31"/>
    <mergeCell ref="J31:M31"/>
    <mergeCell ref="N31:Q31"/>
    <mergeCell ref="R31:S31"/>
    <mergeCell ref="T31:U31"/>
    <mergeCell ref="V31:W31"/>
    <mergeCell ref="B37:I37"/>
    <mergeCell ref="J37:M37"/>
    <mergeCell ref="N37:Q37"/>
    <mergeCell ref="R37:S37"/>
    <mergeCell ref="T37:U37"/>
    <mergeCell ref="V37:W37"/>
    <mergeCell ref="B32:I32"/>
    <mergeCell ref="J32:M32"/>
    <mergeCell ref="N32:Q32"/>
    <mergeCell ref="R32:S32"/>
    <mergeCell ref="T32:U32"/>
    <mergeCell ref="V32:W32"/>
    <mergeCell ref="B33:I33"/>
    <mergeCell ref="J33:M33"/>
    <mergeCell ref="N33:Q33"/>
    <mergeCell ref="R33:S33"/>
    <mergeCell ref="T33:U33"/>
    <mergeCell ref="V33:W33"/>
    <mergeCell ref="B34:I34"/>
    <mergeCell ref="J34:M34"/>
    <mergeCell ref="N34:Q34"/>
    <mergeCell ref="R34:S34"/>
    <mergeCell ref="T34:U34"/>
    <mergeCell ref="V34:W34"/>
    <mergeCell ref="B39:I39"/>
    <mergeCell ref="J39:M39"/>
    <mergeCell ref="N39:Q39"/>
    <mergeCell ref="R39:S39"/>
    <mergeCell ref="T39:U39"/>
    <mergeCell ref="V39:W39"/>
    <mergeCell ref="B38:I38"/>
    <mergeCell ref="J38:M38"/>
    <mergeCell ref="N38:Q38"/>
    <mergeCell ref="R38:S38"/>
    <mergeCell ref="T38:U38"/>
    <mergeCell ref="V38:W38"/>
    <mergeCell ref="B41:I41"/>
    <mergeCell ref="J41:M41"/>
    <mergeCell ref="N41:Q41"/>
    <mergeCell ref="R41:S41"/>
    <mergeCell ref="T41:U41"/>
    <mergeCell ref="V41:W41"/>
    <mergeCell ref="B40:I40"/>
    <mergeCell ref="J40:M40"/>
    <mergeCell ref="N40:Q40"/>
    <mergeCell ref="R40:S40"/>
    <mergeCell ref="T40:U40"/>
    <mergeCell ref="V40:W40"/>
    <mergeCell ref="B44:I44"/>
    <mergeCell ref="J44:M44"/>
    <mergeCell ref="N44:Q44"/>
    <mergeCell ref="R44:S44"/>
    <mergeCell ref="T44:U44"/>
    <mergeCell ref="V44:W44"/>
    <mergeCell ref="B42:I42"/>
    <mergeCell ref="J42:M42"/>
    <mergeCell ref="N42:Q42"/>
    <mergeCell ref="R42:S42"/>
    <mergeCell ref="T42:U42"/>
    <mergeCell ref="V42:W42"/>
    <mergeCell ref="B48:I48"/>
    <mergeCell ref="J48:M48"/>
    <mergeCell ref="N46:Q46"/>
    <mergeCell ref="R46:S46"/>
    <mergeCell ref="T46:U46"/>
    <mergeCell ref="V46:W46"/>
    <mergeCell ref="B45:I45"/>
    <mergeCell ref="J45:M45"/>
    <mergeCell ref="N45:Q45"/>
    <mergeCell ref="R45:S45"/>
    <mergeCell ref="T45:U45"/>
    <mergeCell ref="V45:W45"/>
    <mergeCell ref="B58:I58"/>
    <mergeCell ref="J58:M58"/>
    <mergeCell ref="N58:Q58"/>
    <mergeCell ref="R58:S58"/>
    <mergeCell ref="T58:U58"/>
    <mergeCell ref="V58:W58"/>
    <mergeCell ref="B57:I57"/>
    <mergeCell ref="J57:M57"/>
    <mergeCell ref="N57:Q57"/>
    <mergeCell ref="R57:S57"/>
    <mergeCell ref="T57:U57"/>
    <mergeCell ref="V57:W57"/>
    <mergeCell ref="B60:I60"/>
    <mergeCell ref="J60:M60"/>
    <mergeCell ref="N60:Q60"/>
    <mergeCell ref="R60:S60"/>
    <mergeCell ref="T60:U60"/>
    <mergeCell ref="V60:W60"/>
    <mergeCell ref="B59:I59"/>
    <mergeCell ref="J59:M59"/>
    <mergeCell ref="N59:Q59"/>
    <mergeCell ref="R59:S59"/>
    <mergeCell ref="T59:U59"/>
    <mergeCell ref="V59:W59"/>
    <mergeCell ref="B62:I62"/>
    <mergeCell ref="J62:M62"/>
    <mergeCell ref="N62:Q62"/>
    <mergeCell ref="R62:S62"/>
    <mergeCell ref="T62:U62"/>
    <mergeCell ref="V62:W62"/>
    <mergeCell ref="B61:I61"/>
    <mergeCell ref="J61:M61"/>
    <mergeCell ref="N61:Q61"/>
    <mergeCell ref="R61:S61"/>
    <mergeCell ref="T61:U61"/>
    <mergeCell ref="V61:W61"/>
    <mergeCell ref="B67:I67"/>
    <mergeCell ref="J67:M67"/>
    <mergeCell ref="N67:Q67"/>
    <mergeCell ref="R67:S67"/>
    <mergeCell ref="T67:U67"/>
    <mergeCell ref="V67:W67"/>
    <mergeCell ref="B66:I66"/>
    <mergeCell ref="J66:M66"/>
    <mergeCell ref="N66:Q66"/>
    <mergeCell ref="R66:S66"/>
    <mergeCell ref="T66:U66"/>
    <mergeCell ref="V66:W66"/>
    <mergeCell ref="B70:M70"/>
    <mergeCell ref="N70:S70"/>
    <mergeCell ref="T70:U70"/>
    <mergeCell ref="V70:W70"/>
    <mergeCell ref="B71:M71"/>
    <mergeCell ref="N71:S71"/>
    <mergeCell ref="T71:U71"/>
    <mergeCell ref="V71:W71"/>
    <mergeCell ref="A68:Q68"/>
    <mergeCell ref="R68:S68"/>
    <mergeCell ref="T68:U68"/>
    <mergeCell ref="V68:W68"/>
    <mergeCell ref="A69:Q69"/>
    <mergeCell ref="R69:S69"/>
    <mergeCell ref="T69:U69"/>
    <mergeCell ref="V69:W69"/>
    <mergeCell ref="A74:Q74"/>
    <mergeCell ref="R74:S74"/>
    <mergeCell ref="T74:U74"/>
    <mergeCell ref="V74:W74"/>
    <mergeCell ref="A75:Q75"/>
    <mergeCell ref="R75:S75"/>
    <mergeCell ref="T75:U75"/>
    <mergeCell ref="V75:W75"/>
    <mergeCell ref="B72:M72"/>
    <mergeCell ref="N72:S72"/>
    <mergeCell ref="T72:U72"/>
    <mergeCell ref="V72:W72"/>
    <mergeCell ref="B73:M73"/>
    <mergeCell ref="N73:S73"/>
    <mergeCell ref="T73:U73"/>
    <mergeCell ref="V73:W73"/>
    <mergeCell ref="B55:I55"/>
    <mergeCell ref="J55:M55"/>
    <mergeCell ref="N55:Q55"/>
    <mergeCell ref="R55:S55"/>
    <mergeCell ref="T55:U55"/>
    <mergeCell ref="V55:W55"/>
    <mergeCell ref="N53:Q53"/>
    <mergeCell ref="R53:S53"/>
    <mergeCell ref="B54:I54"/>
    <mergeCell ref="J54:M54"/>
    <mergeCell ref="N54:Q54"/>
    <mergeCell ref="R54:S54"/>
    <mergeCell ref="T54:U54"/>
    <mergeCell ref="B65:I65"/>
    <mergeCell ref="J65:M65"/>
    <mergeCell ref="N65:Q65"/>
    <mergeCell ref="R65:S65"/>
    <mergeCell ref="T65:U65"/>
    <mergeCell ref="V65:W65"/>
    <mergeCell ref="B56:I56"/>
    <mergeCell ref="J56:M56"/>
    <mergeCell ref="N56:Q56"/>
    <mergeCell ref="R56:S56"/>
    <mergeCell ref="T56:U56"/>
    <mergeCell ref="V56:W56"/>
    <mergeCell ref="B64:I64"/>
    <mergeCell ref="J64:M64"/>
    <mergeCell ref="N64:Q64"/>
    <mergeCell ref="R64:S64"/>
    <mergeCell ref="T64:U64"/>
    <mergeCell ref="V64:W64"/>
    <mergeCell ref="B63:I63"/>
    <mergeCell ref="J63:M63"/>
    <mergeCell ref="N63:Q63"/>
    <mergeCell ref="R63:S63"/>
    <mergeCell ref="T63:U63"/>
    <mergeCell ref="V63:W63"/>
    <mergeCell ref="N52:Q52"/>
    <mergeCell ref="R52:S52"/>
    <mergeCell ref="T52:U52"/>
    <mergeCell ref="V52:W52"/>
    <mergeCell ref="B51:I51"/>
    <mergeCell ref="J51:M51"/>
    <mergeCell ref="B35:I35"/>
    <mergeCell ref="J35:M35"/>
    <mergeCell ref="N35:Q35"/>
    <mergeCell ref="R35:S35"/>
    <mergeCell ref="T35:U35"/>
    <mergeCell ref="V35:W35"/>
    <mergeCell ref="B36:I36"/>
    <mergeCell ref="J36:M36"/>
    <mergeCell ref="N36:Q36"/>
    <mergeCell ref="R36:S36"/>
    <mergeCell ref="T36:U36"/>
    <mergeCell ref="V36:W36"/>
    <mergeCell ref="B49:I49"/>
    <mergeCell ref="J49:M49"/>
    <mergeCell ref="N49:Q49"/>
    <mergeCell ref="R49:S49"/>
    <mergeCell ref="T49:U49"/>
    <mergeCell ref="V49:W49"/>
    <mergeCell ref="B43:I43"/>
    <mergeCell ref="J43:M43"/>
    <mergeCell ref="N43:Q43"/>
    <mergeCell ref="R43:S43"/>
    <mergeCell ref="T43:U43"/>
    <mergeCell ref="V43:W43"/>
    <mergeCell ref="T53:U53"/>
    <mergeCell ref="V53:W53"/>
    <mergeCell ref="B50:I50"/>
    <mergeCell ref="J50:M50"/>
    <mergeCell ref="N50:Q50"/>
    <mergeCell ref="R50:S50"/>
    <mergeCell ref="T50:U50"/>
    <mergeCell ref="V50:W50"/>
    <mergeCell ref="N51:Q51"/>
    <mergeCell ref="R51:S51"/>
    <mergeCell ref="T51:U51"/>
    <mergeCell ref="V51:W51"/>
    <mergeCell ref="N48:Q48"/>
    <mergeCell ref="R48:S48"/>
    <mergeCell ref="T48:U48"/>
    <mergeCell ref="V48:W48"/>
    <mergeCell ref="B52:I52"/>
    <mergeCell ref="J52:M52"/>
  </mergeCells>
  <pageMargins left="0.47244094488188981" right="0.19685039370078741" top="0.39370078740157483" bottom="0.35433070866141736" header="0.31496062992125984" footer="0.31496062992125984"/>
  <pageSetup paperSize="9" scale="29" orientation="portrait" r:id="rId1"/>
  <headerFooter>
    <oddFooter>&amp;L&amp;22Prepared By:&amp;C&amp;22Checked By:&amp;R&amp;22Approved By: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SHAMANTHU BR</cp:lastModifiedBy>
  <cp:revision/>
  <cp:lastPrinted>2025-11-05T11:16:29Z</cp:lastPrinted>
  <dcterms:created xsi:type="dcterms:W3CDTF">2025-04-16T08:02:57Z</dcterms:created>
  <dcterms:modified xsi:type="dcterms:W3CDTF">2026-01-29T12:36:52Z</dcterms:modified>
  <cp:category/>
  <cp:contentStatus/>
</cp:coreProperties>
</file>