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" i="1" l="1"/>
  <c r="AA85" i="1"/>
  <c r="T86" i="1"/>
  <c r="V86" i="1"/>
  <c r="R86" i="1"/>
  <c r="X34" i="1" l="1"/>
  <c r="Y34" i="1"/>
  <c r="X35" i="1"/>
  <c r="Y35" i="1"/>
  <c r="X36" i="1"/>
  <c r="Y36" i="1"/>
  <c r="T36" i="1"/>
  <c r="V35" i="1"/>
  <c r="V34" i="1"/>
  <c r="R70" i="1"/>
  <c r="R55" i="1"/>
  <c r="AA66" i="1"/>
  <c r="R66" i="1"/>
  <c r="R30" i="1"/>
  <c r="R85" i="1"/>
  <c r="AA30" i="1"/>
  <c r="AA86" i="1" s="1"/>
  <c r="AA55" i="1"/>
  <c r="AA46" i="1"/>
  <c r="R46" i="1"/>
  <c r="V91" i="1"/>
  <c r="T91" i="1"/>
  <c r="V90" i="1"/>
  <c r="T90" i="1"/>
  <c r="V89" i="1"/>
  <c r="T89" i="1"/>
  <c r="V88" i="1"/>
  <c r="V92" i="1" s="1"/>
  <c r="T88" i="1"/>
  <c r="T92" i="1" s="1"/>
  <c r="X84" i="1"/>
  <c r="Y84" i="1" s="1"/>
  <c r="T84" i="1"/>
  <c r="X83" i="1"/>
  <c r="Y83" i="1" s="1"/>
  <c r="T83" i="1"/>
  <c r="X82" i="1"/>
  <c r="Y82" i="1" s="1"/>
  <c r="T82" i="1"/>
  <c r="X81" i="1"/>
  <c r="Y81" i="1" s="1"/>
  <c r="V81" i="1"/>
  <c r="X80" i="1"/>
  <c r="Y80" i="1" s="1"/>
  <c r="T80" i="1"/>
  <c r="X79" i="1"/>
  <c r="Y79" i="1" s="1"/>
  <c r="V79" i="1"/>
  <c r="X78" i="1"/>
  <c r="Y78" i="1" s="1"/>
  <c r="T78" i="1"/>
  <c r="X77" i="1"/>
  <c r="Y77" i="1" s="1"/>
  <c r="T77" i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T85" i="1" s="1"/>
  <c r="X72" i="1"/>
  <c r="Y72" i="1" s="1"/>
  <c r="V72" i="1"/>
  <c r="V85" i="1" s="1"/>
  <c r="V70" i="1"/>
  <c r="X69" i="1"/>
  <c r="Y69" i="1" s="1"/>
  <c r="T69" i="1"/>
  <c r="X68" i="1"/>
  <c r="Y68" i="1" s="1"/>
  <c r="T68" i="1"/>
  <c r="T70" i="1" s="1"/>
  <c r="X65" i="1"/>
  <c r="Y65" i="1" s="1"/>
  <c r="T65" i="1"/>
  <c r="X64" i="1"/>
  <c r="Y64" i="1" s="1"/>
  <c r="T64" i="1"/>
  <c r="X63" i="1"/>
  <c r="Y63" i="1" s="1"/>
  <c r="T63" i="1"/>
  <c r="X62" i="1"/>
  <c r="Y62" i="1" s="1"/>
  <c r="V62" i="1"/>
  <c r="X61" i="1"/>
  <c r="Y61" i="1" s="1"/>
  <c r="V61" i="1"/>
  <c r="X60" i="1"/>
  <c r="Y60" i="1" s="1"/>
  <c r="V60" i="1"/>
  <c r="X59" i="1"/>
  <c r="Y59" i="1" s="1"/>
  <c r="V59" i="1"/>
  <c r="X58" i="1"/>
  <c r="Y58" i="1" s="1"/>
  <c r="T58" i="1"/>
  <c r="T66" i="1" s="1"/>
  <c r="X57" i="1"/>
  <c r="Y57" i="1" s="1"/>
  <c r="V57" i="1"/>
  <c r="X54" i="1"/>
  <c r="Y54" i="1" s="1"/>
  <c r="T54" i="1"/>
  <c r="X53" i="1"/>
  <c r="Y53" i="1" s="1"/>
  <c r="T53" i="1"/>
  <c r="X52" i="1"/>
  <c r="Y52" i="1" s="1"/>
  <c r="T52" i="1"/>
  <c r="X51" i="1"/>
  <c r="Y51" i="1" s="1"/>
  <c r="T51" i="1"/>
  <c r="X50" i="1"/>
  <c r="Y50" i="1" s="1"/>
  <c r="V50" i="1"/>
  <c r="V55" i="1" s="1"/>
  <c r="X49" i="1"/>
  <c r="Y49" i="1" s="1"/>
  <c r="T49" i="1"/>
  <c r="X48" i="1"/>
  <c r="Y48" i="1" s="1"/>
  <c r="T48" i="1"/>
  <c r="T55" i="1" s="1"/>
  <c r="X45" i="1"/>
  <c r="Y45" i="1" s="1"/>
  <c r="V45" i="1"/>
  <c r="X44" i="1"/>
  <c r="Y44" i="1" s="1"/>
  <c r="T44" i="1"/>
  <c r="X43" i="1"/>
  <c r="Y43" i="1" s="1"/>
  <c r="T43" i="1"/>
  <c r="X42" i="1"/>
  <c r="Y42" i="1" s="1"/>
  <c r="T42" i="1"/>
  <c r="X41" i="1"/>
  <c r="Y41" i="1" s="1"/>
  <c r="T41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3" i="1"/>
  <c r="Y33" i="1" s="1"/>
  <c r="T33" i="1"/>
  <c r="T46" i="1" s="1"/>
  <c r="X32" i="1"/>
  <c r="Y32" i="1" s="1"/>
  <c r="V32" i="1"/>
  <c r="V46" i="1" s="1"/>
  <c r="X29" i="1"/>
  <c r="Y29" i="1" s="1"/>
  <c r="T29" i="1"/>
  <c r="X28" i="1"/>
  <c r="Y28" i="1" s="1"/>
  <c r="V28" i="1"/>
  <c r="X27" i="1"/>
  <c r="Y27" i="1" s="1"/>
  <c r="V27" i="1"/>
  <c r="X26" i="1"/>
  <c r="Y26" i="1" s="1"/>
  <c r="T26" i="1"/>
  <c r="X25" i="1"/>
  <c r="Y25" i="1" s="1"/>
  <c r="V25" i="1"/>
  <c r="X24" i="1"/>
  <c r="Y24" i="1" s="1"/>
  <c r="V24" i="1"/>
  <c r="X23" i="1"/>
  <c r="Y23" i="1" s="1"/>
  <c r="T23" i="1"/>
  <c r="X22" i="1"/>
  <c r="Y22" i="1" s="1"/>
  <c r="T22" i="1"/>
  <c r="X21" i="1"/>
  <c r="Y21" i="1" s="1"/>
  <c r="T21" i="1"/>
  <c r="X20" i="1"/>
  <c r="Y20" i="1" s="1"/>
  <c r="T20" i="1"/>
  <c r="X19" i="1"/>
  <c r="Y19" i="1" s="1"/>
  <c r="T19" i="1"/>
  <c r="X18" i="1"/>
  <c r="Y18" i="1" s="1"/>
  <c r="V18" i="1"/>
  <c r="X17" i="1"/>
  <c r="Y17" i="1" s="1"/>
  <c r="T17" i="1"/>
  <c r="X16" i="1"/>
  <c r="Y16" i="1" s="1"/>
  <c r="V16" i="1"/>
  <c r="X15" i="1"/>
  <c r="Y15" i="1" s="1"/>
  <c r="T15" i="1"/>
  <c r="X14" i="1"/>
  <c r="Y14" i="1" s="1"/>
  <c r="T14" i="1"/>
  <c r="X13" i="1"/>
  <c r="Y13" i="1" s="1"/>
  <c r="V13" i="1"/>
  <c r="U3" i="1"/>
  <c r="T30" i="1" l="1"/>
  <c r="T93" i="1"/>
  <c r="V30" i="1"/>
  <c r="V66" i="1"/>
  <c r="V93" i="1"/>
  <c r="R93" i="1" s="1"/>
  <c r="Y5" i="1" s="1"/>
  <c r="Y6" i="1" l="1"/>
  <c r="AA6" i="1" s="1"/>
  <c r="Z84" i="1" s="1"/>
  <c r="Z83" i="1"/>
  <c r="Z82" i="1"/>
  <c r="Z81" i="1"/>
  <c r="Z80" i="1"/>
  <c r="Z79" i="1"/>
  <c r="Z78" i="1"/>
  <c r="Z77" i="1"/>
  <c r="Z76" i="1"/>
  <c r="Z75" i="1"/>
  <c r="Z74" i="1"/>
  <c r="Z73" i="1"/>
  <c r="Z69" i="1"/>
  <c r="Z68" i="1"/>
  <c r="Z65" i="1"/>
  <c r="Z64" i="1"/>
  <c r="Z63" i="1"/>
  <c r="Z62" i="1"/>
  <c r="Z61" i="1"/>
  <c r="Z60" i="1"/>
  <c r="Z59" i="1"/>
  <c r="Z58" i="1"/>
  <c r="Z57" i="1"/>
  <c r="Z53" i="1"/>
  <c r="Z52" i="1"/>
  <c r="Z51" i="1"/>
  <c r="Z50" i="1"/>
  <c r="Z49" i="1"/>
  <c r="Z48" i="1"/>
  <c r="Z45" i="1"/>
  <c r="Z44" i="1"/>
  <c r="Z43" i="1"/>
  <c r="Z42" i="1"/>
  <c r="Z41" i="1"/>
  <c r="Z40" i="1"/>
  <c r="Z39" i="1"/>
  <c r="Z38" i="1"/>
  <c r="Z37" i="1"/>
  <c r="Z33" i="1"/>
  <c r="Z32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54" i="1" l="1"/>
  <c r="Z72" i="1"/>
  <c r="Z34" i="1"/>
  <c r="Z35" i="1"/>
  <c r="Z36" i="1"/>
</calcChain>
</file>

<file path=xl/sharedStrings.xml><?xml version="1.0" encoding="utf-8"?>
<sst xmlns="http://schemas.openxmlformats.org/spreadsheetml/2006/main" count="234" uniqueCount="135">
  <si>
    <t>SMV &amp; Operation Breakdown</t>
  </si>
  <si>
    <t>Buyer:</t>
  </si>
  <si>
    <t>Tommy (AI Tailored- Business)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</si>
  <si>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</si>
  <si>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</si>
  <si>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</si>
  <si>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</si>
  <si>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</si>
  <si>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</si>
  <si>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</si>
  <si>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</si>
  <si>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</si>
  <si>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</si>
  <si>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</si>
  <si>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Bone Patch Collar, round neckband, Self Fold Placket, single Round cuff 2 bttn 1 B/H, side seam -FOA, 1 mm stitch at shoulder, 1mm top stitch on yoke,Horizontal button hole, EMB @ chest,Gusset Finish, Button Wrapping,Pocket Attach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</si>
  <si>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</si>
  <si>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</si>
  <si>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</si>
  <si>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</si>
  <si>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</si>
  <si>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</si>
  <si>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</si>
  <si>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</si>
  <si>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</si>
  <si>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</si>
  <si>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</si>
  <si>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</si>
  <si>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</si>
  <si>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</si>
  <si>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</si>
  <si>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</si>
  <si>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</si>
  <si>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</si>
  <si>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</si>
  <si>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</si>
  <si>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</si>
  <si>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</si>
  <si>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</si>
  <si>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</si>
  <si>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</si>
  <si>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</si>
  <si>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</si>
  <si>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</si>
  <si>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</si>
  <si>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</si>
  <si>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</si>
  <si>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</si>
  <si>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</si>
  <si>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</si>
  <si>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</si>
  <si>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</si>
  <si>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</si>
  <si>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</si>
  <si>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</si>
  <si>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Iron- Left Placket (Self Fold)</t>
  </si>
  <si>
    <t>Neck Stitch</t>
  </si>
  <si>
    <t>Pocket marking</t>
  </si>
  <si>
    <t>Helper Table</t>
  </si>
  <si>
    <t>Pocket Iron</t>
  </si>
  <si>
    <t>Pocket Attach-Round shape</t>
  </si>
  <si>
    <t>Right placket hem</t>
  </si>
  <si>
    <t>30mm</t>
  </si>
  <si>
    <t>Button button hole X 6</t>
  </si>
  <si>
    <t>B/Hole M/C</t>
  </si>
  <si>
    <t>Horizontal button hole X 1</t>
  </si>
  <si>
    <t>Button Marking</t>
  </si>
  <si>
    <t>Button sew front X 6</t>
  </si>
  <si>
    <t>Button M/C</t>
  </si>
  <si>
    <t>Corporate Button X 1</t>
  </si>
  <si>
    <t>Extra button sew X 2</t>
  </si>
  <si>
    <t>Wash care label attach</t>
  </si>
  <si>
    <t>Pairing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</si>
  <si>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</si>
  <si>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</si>
  <si>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</si>
  <si>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</si>
  <si>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</si>
  <si>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</si>
  <si>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>25mm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</si>
  <si>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</si>
  <si>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</si>
  <si>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</si>
  <si>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</si>
  <si>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</si>
  <si>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</si>
  <si>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Cuff Run - Round</t>
  </si>
  <si>
    <t>Cuff raw edge trimming-Round</t>
  </si>
  <si>
    <t>SNEC</t>
  </si>
  <si>
    <t>Cuff turning &amp; Shape-Round</t>
  </si>
  <si>
    <t>Turning M/C</t>
  </si>
  <si>
    <t>Cuff Blocking</t>
  </si>
  <si>
    <t>Blocking M/C</t>
  </si>
  <si>
    <t xml:space="preserve">Iron the cuff  </t>
  </si>
  <si>
    <t>Top stitch cuff fused-Close-Round</t>
  </si>
  <si>
    <t>Buttonhole on cuff X 1</t>
  </si>
  <si>
    <t xml:space="preserve">Button X2 </t>
  </si>
  <si>
    <t>Back</t>
  </si>
  <si>
    <t>Sew Main Label-2 Side &amp; Secondry Lable Attach-2 side, Size label</t>
  </si>
  <si>
    <t>Pattren Sewer M/C</t>
  </si>
  <si>
    <t xml:space="preserve">Yoke Attach 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</si>
  <si>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</si>
  <si>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</si>
  <si>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</si>
  <si>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</si>
  <si>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</si>
  <si>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</si>
  <si>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</si>
  <si>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</si>
  <si>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</si>
  <si>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Gusset Iron</t>
  </si>
  <si>
    <t>Bottom hem with Gusset</t>
  </si>
  <si>
    <t>4mm</t>
  </si>
  <si>
    <t>Gusset Finish</t>
  </si>
  <si>
    <t>Button Wrapping</t>
  </si>
  <si>
    <t>Wraping M/C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</si>
  <si>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</si>
  <si>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</si>
  <si>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</si>
  <si>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</si>
  <si>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</si>
  <si>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</si>
  <si>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</si>
  <si>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</si>
  <si>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MW0MW44205-AI COTLIN JACQUARD</t>
  </si>
  <si>
    <t>60%cotton 40%Linen</t>
  </si>
  <si>
    <t>Sp’26</t>
  </si>
  <si>
    <t>Sleeve pleat &amp; trim</t>
  </si>
  <si>
    <t>Neck band hem with tape</t>
  </si>
  <si>
    <t>Neckband attach</t>
  </si>
  <si>
    <t>Pick attach</t>
  </si>
  <si>
    <t>Collar attach</t>
  </si>
  <si>
    <t>Collar finish</t>
  </si>
  <si>
    <t>Sleeve attach</t>
  </si>
  <si>
    <t>Bottom serging</t>
  </si>
  <si>
    <t>Cuff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</si>
</sst>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2" fontId="6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3"/>
  <sheetViews>
    <sheetView tabSelected="1" topLeftCell="A62" zoomScale="55" zoomScaleNormal="55" workbookViewId="0">
      <selection activeCell="Z86" sqref="Z86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44" t="s">
        <v>1</v>
      </c>
      <c r="B3" s="44"/>
      <c r="C3" s="45" t="s">
        <v>2</v>
      </c>
      <c r="D3" s="45"/>
      <c r="E3" s="45"/>
      <c r="F3" s="45"/>
      <c r="G3" s="45"/>
      <c r="H3" s="47"/>
      <c r="I3" s="47"/>
      <c r="J3" s="44" t="s">
        <v>3</v>
      </c>
      <c r="K3" s="44"/>
      <c r="L3" s="48"/>
      <c r="M3" s="48"/>
      <c r="N3" s="48"/>
      <c r="O3" s="48"/>
      <c r="P3" s="48"/>
      <c r="Q3" s="6"/>
      <c r="R3" s="6"/>
      <c r="S3" s="44" t="s">
        <v>4</v>
      </c>
      <c r="T3" s="44"/>
      <c r="U3" s="49">
        <f ca="1">TODAY()</f>
        <v>46053</v>
      </c>
      <c r="V3" s="49"/>
      <c r="W3" s="49"/>
      <c r="X3" s="2"/>
      <c r="Y3" s="2"/>
      <c r="Z3" s="2"/>
      <c r="AA3" s="2"/>
    </row>
    <row r="4" spans="1:27" ht="26.25" customHeight="1">
      <c r="A4" s="44"/>
      <c r="B4" s="44"/>
      <c r="C4" s="45"/>
      <c r="D4" s="45"/>
      <c r="E4" s="45"/>
      <c r="F4" s="45"/>
      <c r="G4" s="45"/>
      <c r="H4" s="47"/>
      <c r="I4" s="47"/>
      <c r="J4" s="44"/>
      <c r="K4" s="44"/>
      <c r="L4" s="5"/>
      <c r="M4" s="5"/>
      <c r="N4" s="5"/>
      <c r="O4" s="5"/>
      <c r="P4" s="5"/>
      <c r="Q4" s="5"/>
      <c r="R4" s="5"/>
      <c r="S4" s="44"/>
      <c r="T4" s="44"/>
      <c r="U4" s="49"/>
      <c r="V4" s="49"/>
      <c r="W4" s="49"/>
      <c r="X4" s="2"/>
      <c r="Y4" s="2"/>
      <c r="Z4" s="2"/>
      <c r="AA4" s="2"/>
    </row>
    <row r="5" spans="1:27" ht="26.25" customHeight="1">
      <c r="A5" s="44"/>
      <c r="B5" s="44"/>
      <c r="C5" s="46"/>
      <c r="D5" s="46"/>
      <c r="E5" s="46"/>
      <c r="F5" s="46"/>
      <c r="G5" s="46"/>
      <c r="H5" s="47"/>
      <c r="I5" s="47"/>
      <c r="J5" s="44"/>
      <c r="K5" s="44"/>
      <c r="L5" s="42" t="s">
        <v>123</v>
      </c>
      <c r="M5" s="41"/>
      <c r="N5" s="41"/>
      <c r="O5" s="41"/>
      <c r="P5" s="41"/>
      <c r="Q5" s="41"/>
      <c r="R5" s="41"/>
      <c r="S5" s="44"/>
      <c r="T5" s="44"/>
      <c r="U5" s="50"/>
      <c r="V5" s="50"/>
      <c r="W5" s="50"/>
      <c r="X5" s="7" t="s">
        <v>5</v>
      </c>
      <c r="Y5" s="8">
        <f>540/R93</f>
        <v>17.230926321835412</v>
      </c>
      <c r="Z5" s="7" t="s">
        <v>6</v>
      </c>
      <c r="AA5" s="8">
        <v>95</v>
      </c>
    </row>
    <row r="6" spans="1:27" ht="39.75" customHeight="1">
      <c r="A6" s="44" t="s">
        <v>7</v>
      </c>
      <c r="B6" s="44"/>
      <c r="C6" s="55" t="s">
        <v>125</v>
      </c>
      <c r="D6" s="55"/>
      <c r="E6" s="55"/>
      <c r="F6" s="55"/>
      <c r="G6" s="55"/>
      <c r="H6" s="6"/>
      <c r="I6" s="6"/>
      <c r="J6" s="44" t="s">
        <v>8</v>
      </c>
      <c r="K6" s="44"/>
      <c r="L6" s="56" t="s">
        <v>124</v>
      </c>
      <c r="M6" s="56"/>
      <c r="N6" s="56"/>
      <c r="O6" s="56"/>
      <c r="P6" s="56"/>
      <c r="Q6" s="6"/>
      <c r="R6" s="6"/>
      <c r="S6" s="44" t="s">
        <v>9</v>
      </c>
      <c r="T6" s="44"/>
      <c r="U6" s="57" t="s">
        <v>10</v>
      </c>
      <c r="V6" s="57"/>
      <c r="W6" s="57"/>
      <c r="X6" s="7" t="s">
        <v>11</v>
      </c>
      <c r="Y6" s="8">
        <f>Y5*AA5</f>
        <v>1636.9380005743642</v>
      </c>
      <c r="Z6" s="7" t="s">
        <v>12</v>
      </c>
      <c r="AA6" s="8">
        <f>Y6/9</f>
        <v>181.88200006381825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44" t="s">
        <v>13</v>
      </c>
      <c r="B8" s="44"/>
      <c r="C8" s="44"/>
      <c r="D8" s="51" t="s">
        <v>14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2"/>
    </row>
    <row r="9" spans="1:27" ht="26.25">
      <c r="A9" s="4"/>
      <c r="B9" s="4"/>
      <c r="C9" s="5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15</v>
      </c>
      <c r="B11" s="52" t="s">
        <v>16</v>
      </c>
      <c r="C11" s="53"/>
      <c r="D11" s="53"/>
      <c r="E11" s="53"/>
      <c r="F11" s="53"/>
      <c r="G11" s="53"/>
      <c r="H11" s="53"/>
      <c r="I11" s="54"/>
      <c r="J11" s="52" t="s">
        <v>17</v>
      </c>
      <c r="K11" s="53"/>
      <c r="L11" s="53"/>
      <c r="M11" s="54"/>
      <c r="N11" s="52" t="s">
        <v>18</v>
      </c>
      <c r="O11" s="53"/>
      <c r="P11" s="53"/>
      <c r="Q11" s="54"/>
      <c r="R11" s="52" t="s">
        <v>19</v>
      </c>
      <c r="S11" s="54"/>
      <c r="T11" s="52" t="s">
        <v>20</v>
      </c>
      <c r="U11" s="54"/>
      <c r="V11" s="52" t="s">
        <v>21</v>
      </c>
      <c r="W11" s="54"/>
      <c r="X11" s="10" t="s">
        <v>22</v>
      </c>
      <c r="Y11" s="10" t="s">
        <v>23</v>
      </c>
      <c r="Z11" s="10" t="s">
        <v>24</v>
      </c>
      <c r="AA11" s="10" t="s">
        <v>25</v>
      </c>
    </row>
    <row r="12" spans="1:27" ht="26.25" customHeight="1">
      <c r="A12" s="11"/>
      <c r="B12" s="12" t="s">
        <v>26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58"/>
      <c r="S12" s="58"/>
      <c r="T12" s="58"/>
      <c r="U12" s="58"/>
      <c r="V12" s="58"/>
      <c r="W12" s="58"/>
      <c r="X12" s="15"/>
      <c r="Y12" s="16"/>
      <c r="Z12" s="16"/>
      <c r="AA12" s="17"/>
    </row>
    <row r="13" spans="1:27" ht="26.25" customHeight="1">
      <c r="A13" s="18">
        <v>1</v>
      </c>
      <c r="B13" s="59" t="s">
        <v>27</v>
      </c>
      <c r="C13" s="59"/>
      <c r="D13" s="59"/>
      <c r="E13" s="59"/>
      <c r="F13" s="59"/>
      <c r="G13" s="59"/>
      <c r="H13" s="59"/>
      <c r="I13" s="59"/>
      <c r="J13" s="60" t="s">
        <v>28</v>
      </c>
      <c r="K13" s="60"/>
      <c r="L13" s="60"/>
      <c r="M13" s="60"/>
      <c r="N13" s="61" t="s">
        <v>29</v>
      </c>
      <c r="O13" s="62"/>
      <c r="P13" s="62"/>
      <c r="Q13" s="63"/>
      <c r="R13" s="64">
        <v>0.28999999999999998</v>
      </c>
      <c r="S13" s="64"/>
      <c r="T13" s="64"/>
      <c r="U13" s="64"/>
      <c r="V13" s="64">
        <f>R13</f>
        <v>0.28999999999999998</v>
      </c>
      <c r="W13" s="64"/>
      <c r="X13" s="19">
        <f t="shared" ref="X13:X76" si="0">60/R13</f>
        <v>206.89655172413794</v>
      </c>
      <c r="Y13" s="19">
        <f t="shared" ref="Y13:Y76" si="1">X13*0.95</f>
        <v>196.55172413793102</v>
      </c>
      <c r="Z13" s="20">
        <f t="shared" ref="Z13:Z76" si="2">AA$6/Y13</f>
        <v>0.92536456172819825</v>
      </c>
      <c r="AA13" s="21">
        <v>1</v>
      </c>
    </row>
    <row r="14" spans="1:27" ht="26.25" customHeight="1">
      <c r="A14" s="18">
        <v>2</v>
      </c>
      <c r="B14" s="59" t="s">
        <v>30</v>
      </c>
      <c r="C14" s="59"/>
      <c r="D14" s="59"/>
      <c r="E14" s="59"/>
      <c r="F14" s="59"/>
      <c r="G14" s="59"/>
      <c r="H14" s="59"/>
      <c r="I14" s="59"/>
      <c r="J14" s="60" t="s">
        <v>31</v>
      </c>
      <c r="K14" s="60"/>
      <c r="L14" s="60"/>
      <c r="M14" s="60"/>
      <c r="N14" s="61" t="s">
        <v>29</v>
      </c>
      <c r="O14" s="62"/>
      <c r="P14" s="62"/>
      <c r="Q14" s="63"/>
      <c r="R14" s="64">
        <v>0.81</v>
      </c>
      <c r="S14" s="64"/>
      <c r="T14" s="64">
        <f>R14</f>
        <v>0.81</v>
      </c>
      <c r="U14" s="64"/>
      <c r="V14" s="64"/>
      <c r="W14" s="64"/>
      <c r="X14" s="19">
        <f t="shared" si="0"/>
        <v>74.074074074074076</v>
      </c>
      <c r="Y14" s="19">
        <f t="shared" si="1"/>
        <v>70.370370370370367</v>
      </c>
      <c r="Z14" s="20">
        <f t="shared" si="2"/>
        <v>2.584638948275312</v>
      </c>
      <c r="AA14" s="21">
        <v>2.5</v>
      </c>
    </row>
    <row r="15" spans="1:27" ht="26.25" customHeight="1">
      <c r="A15" s="18">
        <v>3</v>
      </c>
      <c r="B15" s="59" t="s">
        <v>32</v>
      </c>
      <c r="C15" s="59"/>
      <c r="D15" s="59"/>
      <c r="E15" s="59"/>
      <c r="F15" s="59"/>
      <c r="G15" s="59"/>
      <c r="H15" s="59"/>
      <c r="I15" s="59"/>
      <c r="J15" s="60" t="s">
        <v>33</v>
      </c>
      <c r="K15" s="60"/>
      <c r="L15" s="60"/>
      <c r="M15" s="60"/>
      <c r="N15" s="61" t="s">
        <v>29</v>
      </c>
      <c r="O15" s="62"/>
      <c r="P15" s="62"/>
      <c r="Q15" s="63"/>
      <c r="R15" s="64">
        <v>0.52</v>
      </c>
      <c r="S15" s="64"/>
      <c r="T15" s="64">
        <f>R15</f>
        <v>0.52</v>
      </c>
      <c r="U15" s="64"/>
      <c r="V15" s="64"/>
      <c r="W15" s="64"/>
      <c r="X15" s="19">
        <f t="shared" si="0"/>
        <v>115.38461538461539</v>
      </c>
      <c r="Y15" s="19">
        <f t="shared" si="1"/>
        <v>109.61538461538461</v>
      </c>
      <c r="Z15" s="20">
        <f t="shared" si="2"/>
        <v>1.659274386547114</v>
      </c>
      <c r="AA15" s="21">
        <v>2</v>
      </c>
    </row>
    <row r="16" spans="1:27" ht="26.25" customHeight="1">
      <c r="A16" s="18">
        <v>4</v>
      </c>
      <c r="B16" s="59" t="s">
        <v>34</v>
      </c>
      <c r="C16" s="59"/>
      <c r="D16" s="59"/>
      <c r="E16" s="59"/>
      <c r="F16" s="59"/>
      <c r="G16" s="59"/>
      <c r="H16" s="59"/>
      <c r="I16" s="59"/>
      <c r="J16" s="60" t="s">
        <v>35</v>
      </c>
      <c r="K16" s="60"/>
      <c r="L16" s="60"/>
      <c r="M16" s="60"/>
      <c r="N16" s="61" t="s">
        <v>29</v>
      </c>
      <c r="O16" s="62"/>
      <c r="P16" s="62"/>
      <c r="Q16" s="63"/>
      <c r="R16" s="64">
        <v>0.24</v>
      </c>
      <c r="S16" s="64"/>
      <c r="T16" s="64"/>
      <c r="U16" s="64"/>
      <c r="V16" s="64">
        <f>R16</f>
        <v>0.24</v>
      </c>
      <c r="W16" s="64"/>
      <c r="X16" s="19">
        <f t="shared" si="0"/>
        <v>250</v>
      </c>
      <c r="Y16" s="19">
        <f t="shared" si="1"/>
        <v>237.5</v>
      </c>
      <c r="Z16" s="20">
        <f t="shared" si="2"/>
        <v>0.76581894763712954</v>
      </c>
      <c r="AA16" s="21">
        <v>1</v>
      </c>
    </row>
    <row r="17" spans="1:27" ht="26.25" customHeight="1">
      <c r="A17" s="18">
        <v>5</v>
      </c>
      <c r="B17" s="59" t="s">
        <v>36</v>
      </c>
      <c r="C17" s="59"/>
      <c r="D17" s="59"/>
      <c r="E17" s="59"/>
      <c r="F17" s="59"/>
      <c r="G17" s="59"/>
      <c r="H17" s="59"/>
      <c r="I17" s="59"/>
      <c r="J17" s="60" t="s">
        <v>33</v>
      </c>
      <c r="K17" s="60"/>
      <c r="L17" s="60"/>
      <c r="M17" s="60"/>
      <c r="N17" s="61" t="s">
        <v>29</v>
      </c>
      <c r="O17" s="62"/>
      <c r="P17" s="62"/>
      <c r="Q17" s="63"/>
      <c r="R17" s="64">
        <v>0.4</v>
      </c>
      <c r="S17" s="64"/>
      <c r="T17" s="64">
        <f>R17</f>
        <v>0.4</v>
      </c>
      <c r="U17" s="64"/>
      <c r="V17" s="64"/>
      <c r="W17" s="64"/>
      <c r="X17" s="19">
        <f t="shared" si="0"/>
        <v>150</v>
      </c>
      <c r="Y17" s="19">
        <f t="shared" si="1"/>
        <v>142.5</v>
      </c>
      <c r="Z17" s="20">
        <f t="shared" si="2"/>
        <v>1.2763649127285492</v>
      </c>
      <c r="AA17" s="21">
        <v>1.5</v>
      </c>
    </row>
    <row r="18" spans="1:27" ht="26.25" customHeight="1">
      <c r="A18" s="18">
        <v>6</v>
      </c>
      <c r="B18" s="59" t="s">
        <v>37</v>
      </c>
      <c r="C18" s="59"/>
      <c r="D18" s="59"/>
      <c r="E18" s="59"/>
      <c r="F18" s="59"/>
      <c r="G18" s="59"/>
      <c r="H18" s="59"/>
      <c r="I18" s="59"/>
      <c r="J18" s="60" t="s">
        <v>38</v>
      </c>
      <c r="K18" s="60"/>
      <c r="L18" s="60"/>
      <c r="M18" s="60"/>
      <c r="N18" s="61" t="s">
        <v>29</v>
      </c>
      <c r="O18" s="62"/>
      <c r="P18" s="62"/>
      <c r="Q18" s="63"/>
      <c r="R18" s="64">
        <v>0.15</v>
      </c>
      <c r="S18" s="64"/>
      <c r="T18" s="65"/>
      <c r="U18" s="66"/>
      <c r="V18" s="65">
        <f>R18</f>
        <v>0.15</v>
      </c>
      <c r="W18" s="66"/>
      <c r="X18" s="19">
        <f t="shared" si="0"/>
        <v>400</v>
      </c>
      <c r="Y18" s="19">
        <f t="shared" si="1"/>
        <v>380</v>
      </c>
      <c r="Z18" s="20">
        <f t="shared" si="2"/>
        <v>0.47863684227320591</v>
      </c>
      <c r="AA18" s="21">
        <v>0.5</v>
      </c>
    </row>
    <row r="19" spans="1:27" ht="26.25" customHeight="1">
      <c r="A19" s="18">
        <v>7</v>
      </c>
      <c r="B19" s="59" t="s">
        <v>39</v>
      </c>
      <c r="C19" s="59"/>
      <c r="D19" s="59"/>
      <c r="E19" s="59"/>
      <c r="F19" s="59"/>
      <c r="G19" s="59"/>
      <c r="H19" s="59"/>
      <c r="I19" s="59"/>
      <c r="J19" s="60" t="s">
        <v>33</v>
      </c>
      <c r="K19" s="60"/>
      <c r="L19" s="60"/>
      <c r="M19" s="60"/>
      <c r="N19" s="61" t="s">
        <v>40</v>
      </c>
      <c r="O19" s="62"/>
      <c r="P19" s="62"/>
      <c r="Q19" s="63"/>
      <c r="R19" s="64">
        <v>0.21</v>
      </c>
      <c r="S19" s="64"/>
      <c r="T19" s="64">
        <f>R19</f>
        <v>0.21</v>
      </c>
      <c r="U19" s="64"/>
      <c r="V19" s="64"/>
      <c r="W19" s="64"/>
      <c r="X19" s="19">
        <f t="shared" si="0"/>
        <v>285.71428571428572</v>
      </c>
      <c r="Y19" s="19">
        <f t="shared" si="1"/>
        <v>271.42857142857144</v>
      </c>
      <c r="Z19" s="20">
        <f t="shared" si="2"/>
        <v>0.67009157918248829</v>
      </c>
      <c r="AA19" s="21">
        <v>1</v>
      </c>
    </row>
    <row r="20" spans="1:27" ht="26.25" customHeight="1">
      <c r="A20" s="18">
        <v>8</v>
      </c>
      <c r="B20" s="59" t="s">
        <v>41</v>
      </c>
      <c r="C20" s="59"/>
      <c r="D20" s="59"/>
      <c r="E20" s="59"/>
      <c r="F20" s="59"/>
      <c r="G20" s="59"/>
      <c r="H20" s="59"/>
      <c r="I20" s="59"/>
      <c r="J20" s="60" t="s">
        <v>33</v>
      </c>
      <c r="K20" s="60"/>
      <c r="L20" s="60"/>
      <c r="M20" s="60"/>
      <c r="N20" s="61" t="s">
        <v>29</v>
      </c>
      <c r="O20" s="62"/>
      <c r="P20" s="62"/>
      <c r="Q20" s="63"/>
      <c r="R20" s="64">
        <v>0.34</v>
      </c>
      <c r="S20" s="64"/>
      <c r="T20" s="64">
        <f>R20</f>
        <v>0.34</v>
      </c>
      <c r="U20" s="64"/>
      <c r="V20" s="64"/>
      <c r="W20" s="64"/>
      <c r="X20" s="19">
        <f t="shared" si="0"/>
        <v>176.47058823529412</v>
      </c>
      <c r="Y20" s="19">
        <f t="shared" si="1"/>
        <v>167.64705882352939</v>
      </c>
      <c r="Z20" s="20">
        <f t="shared" si="2"/>
        <v>1.084910175819267</v>
      </c>
      <c r="AA20" s="21">
        <v>1</v>
      </c>
    </row>
    <row r="21" spans="1:27" ht="26.25" customHeight="1">
      <c r="A21" s="18">
        <v>9</v>
      </c>
      <c r="B21" s="137" t="s">
        <v>127</v>
      </c>
      <c r="C21" s="59"/>
      <c r="D21" s="59"/>
      <c r="E21" s="59"/>
      <c r="F21" s="59"/>
      <c r="G21" s="59"/>
      <c r="H21" s="59"/>
      <c r="I21" s="59"/>
      <c r="J21" s="60" t="s">
        <v>33</v>
      </c>
      <c r="K21" s="60"/>
      <c r="L21" s="60"/>
      <c r="M21" s="60"/>
      <c r="N21" s="61" t="s">
        <v>29</v>
      </c>
      <c r="O21" s="62"/>
      <c r="P21" s="62"/>
      <c r="Q21" s="63"/>
      <c r="R21" s="64">
        <v>0.3</v>
      </c>
      <c r="S21" s="64"/>
      <c r="T21" s="64">
        <f>R21</f>
        <v>0.3</v>
      </c>
      <c r="U21" s="64"/>
      <c r="V21" s="64"/>
      <c r="W21" s="64"/>
      <c r="X21" s="19">
        <f t="shared" si="0"/>
        <v>200</v>
      </c>
      <c r="Y21" s="19">
        <f t="shared" si="1"/>
        <v>190</v>
      </c>
      <c r="Z21" s="20">
        <f t="shared" si="2"/>
        <v>0.95727368454641182</v>
      </c>
      <c r="AA21" s="21">
        <v>1</v>
      </c>
    </row>
    <row r="22" spans="1:27" ht="26.25" customHeight="1">
      <c r="A22" s="18">
        <v>10</v>
      </c>
      <c r="B22" s="137" t="s">
        <v>128</v>
      </c>
      <c r="C22" s="59"/>
      <c r="D22" s="59"/>
      <c r="E22" s="59"/>
      <c r="F22" s="59"/>
      <c r="G22" s="59"/>
      <c r="H22" s="59"/>
      <c r="I22" s="59"/>
      <c r="J22" s="60" t="s">
        <v>33</v>
      </c>
      <c r="K22" s="60"/>
      <c r="L22" s="60"/>
      <c r="M22" s="60"/>
      <c r="N22" s="61" t="s">
        <v>29</v>
      </c>
      <c r="O22" s="62"/>
      <c r="P22" s="62"/>
      <c r="Q22" s="63"/>
      <c r="R22" s="64">
        <v>0.5</v>
      </c>
      <c r="S22" s="64"/>
      <c r="T22" s="64">
        <f>R22</f>
        <v>0.5</v>
      </c>
      <c r="U22" s="64"/>
      <c r="V22" s="64"/>
      <c r="W22" s="64"/>
      <c r="X22" s="19">
        <f t="shared" si="0"/>
        <v>120</v>
      </c>
      <c r="Y22" s="19">
        <f t="shared" si="1"/>
        <v>114</v>
      </c>
      <c r="Z22" s="20">
        <f t="shared" si="2"/>
        <v>1.5954561409106864</v>
      </c>
      <c r="AA22" s="21">
        <v>2</v>
      </c>
    </row>
    <row r="23" spans="1:27" ht="26.25" customHeight="1">
      <c r="A23" s="18">
        <v>11</v>
      </c>
      <c r="B23" s="137" t="s">
        <v>129</v>
      </c>
      <c r="C23" s="59"/>
      <c r="D23" s="59"/>
      <c r="E23" s="59"/>
      <c r="F23" s="59"/>
      <c r="G23" s="59"/>
      <c r="H23" s="59"/>
      <c r="I23" s="59"/>
      <c r="J23" s="60" t="s">
        <v>33</v>
      </c>
      <c r="K23" s="60"/>
      <c r="L23" s="60"/>
      <c r="M23" s="60"/>
      <c r="N23" s="61" t="s">
        <v>29</v>
      </c>
      <c r="O23" s="62"/>
      <c r="P23" s="62"/>
      <c r="Q23" s="63"/>
      <c r="R23" s="64">
        <v>0.5</v>
      </c>
      <c r="S23" s="64"/>
      <c r="T23" s="64">
        <f>R23</f>
        <v>0.5</v>
      </c>
      <c r="U23" s="64"/>
      <c r="V23" s="64"/>
      <c r="W23" s="64"/>
      <c r="X23" s="19">
        <f t="shared" si="0"/>
        <v>120</v>
      </c>
      <c r="Y23" s="19">
        <f t="shared" si="1"/>
        <v>114</v>
      </c>
      <c r="Z23" s="20">
        <f t="shared" si="2"/>
        <v>1.5954561409106864</v>
      </c>
      <c r="AA23" s="21">
        <v>2</v>
      </c>
    </row>
    <row r="24" spans="1:27" ht="26.25" customHeight="1">
      <c r="A24" s="18">
        <v>12</v>
      </c>
      <c r="B24" s="59" t="s">
        <v>42</v>
      </c>
      <c r="C24" s="59"/>
      <c r="D24" s="59"/>
      <c r="E24" s="59"/>
      <c r="F24" s="59"/>
      <c r="G24" s="59"/>
      <c r="H24" s="59"/>
      <c r="I24" s="59"/>
      <c r="J24" s="60" t="s">
        <v>43</v>
      </c>
      <c r="K24" s="60"/>
      <c r="L24" s="60"/>
      <c r="M24" s="60"/>
      <c r="N24" s="61" t="s">
        <v>29</v>
      </c>
      <c r="O24" s="62"/>
      <c r="P24" s="62"/>
      <c r="Q24" s="63"/>
      <c r="R24" s="64">
        <v>0.25</v>
      </c>
      <c r="S24" s="64"/>
      <c r="T24" s="64"/>
      <c r="U24" s="64"/>
      <c r="V24" s="64">
        <f>R24</f>
        <v>0.25</v>
      </c>
      <c r="W24" s="64"/>
      <c r="X24" s="19">
        <f t="shared" si="0"/>
        <v>240</v>
      </c>
      <c r="Y24" s="19">
        <f t="shared" si="1"/>
        <v>228</v>
      </c>
      <c r="Z24" s="20">
        <f t="shared" si="2"/>
        <v>0.79772807045534322</v>
      </c>
      <c r="AA24" s="21">
        <v>1</v>
      </c>
    </row>
    <row r="25" spans="1:27" ht="26.25" customHeight="1">
      <c r="A25" s="18">
        <v>13</v>
      </c>
      <c r="B25" s="59" t="s">
        <v>44</v>
      </c>
      <c r="C25" s="59"/>
      <c r="D25" s="59"/>
      <c r="E25" s="59"/>
      <c r="F25" s="59"/>
      <c r="G25" s="59"/>
      <c r="H25" s="59"/>
      <c r="I25" s="59"/>
      <c r="J25" s="60" t="s">
        <v>45</v>
      </c>
      <c r="K25" s="60"/>
      <c r="L25" s="60"/>
      <c r="M25" s="60"/>
      <c r="N25" s="61" t="s">
        <v>29</v>
      </c>
      <c r="O25" s="62"/>
      <c r="P25" s="62"/>
      <c r="Q25" s="63"/>
      <c r="R25" s="67">
        <v>0.25</v>
      </c>
      <c r="S25" s="67"/>
      <c r="T25" s="64"/>
      <c r="U25" s="64"/>
      <c r="V25" s="64">
        <f>R25</f>
        <v>0.25</v>
      </c>
      <c r="W25" s="64"/>
      <c r="X25" s="19">
        <f t="shared" si="0"/>
        <v>240</v>
      </c>
      <c r="Y25" s="19">
        <f t="shared" si="1"/>
        <v>228</v>
      </c>
      <c r="Z25" s="20">
        <f t="shared" si="2"/>
        <v>0.79772807045534322</v>
      </c>
      <c r="AA25" s="21">
        <v>1</v>
      </c>
    </row>
    <row r="26" spans="1:27" ht="26.25" customHeight="1">
      <c r="A26" s="18">
        <v>14</v>
      </c>
      <c r="B26" s="68" t="s">
        <v>122</v>
      </c>
      <c r="C26" s="68"/>
      <c r="D26" s="68"/>
      <c r="E26" s="68"/>
      <c r="F26" s="68"/>
      <c r="G26" s="68"/>
      <c r="H26" s="68"/>
      <c r="I26" s="68"/>
      <c r="J26" s="69" t="s">
        <v>33</v>
      </c>
      <c r="K26" s="69"/>
      <c r="L26" s="69"/>
      <c r="M26" s="69"/>
      <c r="N26" s="61" t="s">
        <v>29</v>
      </c>
      <c r="O26" s="62"/>
      <c r="P26" s="62"/>
      <c r="Q26" s="63"/>
      <c r="R26" s="67">
        <v>0.27</v>
      </c>
      <c r="S26" s="67"/>
      <c r="T26" s="64">
        <f>R26</f>
        <v>0.27</v>
      </c>
      <c r="U26" s="64"/>
      <c r="V26" s="64"/>
      <c r="W26" s="64"/>
      <c r="X26" s="19">
        <f t="shared" si="0"/>
        <v>222.2222222222222</v>
      </c>
      <c r="Y26" s="19">
        <f t="shared" si="1"/>
        <v>211.11111111111109</v>
      </c>
      <c r="Z26" s="20">
        <f t="shared" si="2"/>
        <v>0.86154631609177079</v>
      </c>
      <c r="AA26" s="21">
        <v>1</v>
      </c>
    </row>
    <row r="27" spans="1:27" ht="26.25" customHeight="1">
      <c r="A27" s="18">
        <v>15</v>
      </c>
      <c r="B27" s="59" t="s">
        <v>46</v>
      </c>
      <c r="C27" s="59"/>
      <c r="D27" s="59"/>
      <c r="E27" s="59"/>
      <c r="F27" s="59"/>
      <c r="G27" s="59"/>
      <c r="H27" s="59"/>
      <c r="I27" s="59"/>
      <c r="J27" s="60" t="s">
        <v>47</v>
      </c>
      <c r="K27" s="60"/>
      <c r="L27" s="60"/>
      <c r="M27" s="60"/>
      <c r="N27" s="61" t="s">
        <v>29</v>
      </c>
      <c r="O27" s="62"/>
      <c r="P27" s="62"/>
      <c r="Q27" s="63"/>
      <c r="R27" s="64">
        <v>0.24</v>
      </c>
      <c r="S27" s="64"/>
      <c r="T27" s="67"/>
      <c r="U27" s="67"/>
      <c r="V27" s="67">
        <f>R27</f>
        <v>0.24</v>
      </c>
      <c r="W27" s="67"/>
      <c r="X27" s="19">
        <f t="shared" si="0"/>
        <v>250</v>
      </c>
      <c r="Y27" s="19">
        <f t="shared" si="1"/>
        <v>237.5</v>
      </c>
      <c r="Z27" s="20">
        <f t="shared" si="2"/>
        <v>0.76581894763712954</v>
      </c>
      <c r="AA27" s="21">
        <v>1</v>
      </c>
    </row>
    <row r="28" spans="1:27" ht="26.25" customHeight="1">
      <c r="A28" s="18">
        <v>16</v>
      </c>
      <c r="B28" s="59" t="s">
        <v>48</v>
      </c>
      <c r="C28" s="59"/>
      <c r="D28" s="59"/>
      <c r="E28" s="59"/>
      <c r="F28" s="59"/>
      <c r="G28" s="59"/>
      <c r="H28" s="59"/>
      <c r="I28" s="59"/>
      <c r="J28" s="60" t="s">
        <v>49</v>
      </c>
      <c r="K28" s="60"/>
      <c r="L28" s="60"/>
      <c r="M28" s="60"/>
      <c r="N28" s="61" t="s">
        <v>29</v>
      </c>
      <c r="O28" s="62"/>
      <c r="P28" s="62"/>
      <c r="Q28" s="63"/>
      <c r="R28" s="64">
        <v>0.26</v>
      </c>
      <c r="S28" s="64"/>
      <c r="T28" s="64"/>
      <c r="U28" s="64"/>
      <c r="V28" s="64">
        <f>R28</f>
        <v>0.26</v>
      </c>
      <c r="W28" s="64"/>
      <c r="X28" s="19">
        <f t="shared" si="0"/>
        <v>230.76923076923077</v>
      </c>
      <c r="Y28" s="19">
        <f t="shared" si="1"/>
        <v>219.23076923076923</v>
      </c>
      <c r="Z28" s="20">
        <f t="shared" si="2"/>
        <v>0.82963719327355701</v>
      </c>
      <c r="AA28" s="21">
        <v>1</v>
      </c>
    </row>
    <row r="29" spans="1:27" ht="26.25" customHeight="1">
      <c r="A29" s="18">
        <v>17</v>
      </c>
      <c r="B29" s="59" t="s">
        <v>50</v>
      </c>
      <c r="C29" s="59"/>
      <c r="D29" s="59"/>
      <c r="E29" s="59"/>
      <c r="F29" s="59"/>
      <c r="G29" s="59"/>
      <c r="H29" s="59"/>
      <c r="I29" s="59"/>
      <c r="J29" s="70" t="s">
        <v>51</v>
      </c>
      <c r="K29" s="60"/>
      <c r="L29" s="60"/>
      <c r="M29" s="60"/>
      <c r="N29" s="61" t="s">
        <v>29</v>
      </c>
      <c r="O29" s="62"/>
      <c r="P29" s="62"/>
      <c r="Q29" s="63"/>
      <c r="R29" s="64">
        <v>0.28000000000000003</v>
      </c>
      <c r="S29" s="64"/>
      <c r="T29" s="64">
        <f>R29</f>
        <v>0.28000000000000003</v>
      </c>
      <c r="U29" s="64"/>
      <c r="V29" s="64"/>
      <c r="W29" s="64"/>
      <c r="X29" s="19">
        <f t="shared" si="0"/>
        <v>214.28571428571428</v>
      </c>
      <c r="Y29" s="19">
        <f t="shared" si="1"/>
        <v>203.57142857142856</v>
      </c>
      <c r="Z29" s="20">
        <f t="shared" si="2"/>
        <v>0.89345543890998447</v>
      </c>
      <c r="AA29" s="21">
        <v>1</v>
      </c>
    </row>
    <row r="30" spans="1:27" ht="26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71" t="s">
        <v>52</v>
      </c>
      <c r="O30" s="71"/>
      <c r="P30" s="71"/>
      <c r="Q30" s="71"/>
      <c r="R30" s="72">
        <f>SUM(R13:S29)</f>
        <v>5.81</v>
      </c>
      <c r="S30" s="72"/>
      <c r="T30" s="72">
        <f>SUM(T13:U29)</f>
        <v>4.13</v>
      </c>
      <c r="U30" s="72"/>
      <c r="V30" s="72">
        <f>SUM(V13:W29)</f>
        <v>1.6800000000000002</v>
      </c>
      <c r="W30" s="72"/>
      <c r="X30" s="19"/>
      <c r="Y30" s="19"/>
      <c r="Z30" s="23"/>
      <c r="AA30" s="24">
        <f>SUM(AA13:AA29)</f>
        <v>21.5</v>
      </c>
    </row>
    <row r="31" spans="1:27" ht="26.25" customHeight="1">
      <c r="A31" s="11"/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  <c r="S31" s="14"/>
      <c r="T31" s="14"/>
      <c r="U31" s="14"/>
      <c r="V31" s="14"/>
      <c r="W31" s="25"/>
      <c r="X31" s="26"/>
      <c r="Y31" s="26"/>
      <c r="Z31" s="26"/>
      <c r="AA31" s="26"/>
    </row>
    <row r="32" spans="1:27" ht="26.25" customHeight="1">
      <c r="A32" s="27">
        <v>1</v>
      </c>
      <c r="B32" s="73" t="s">
        <v>54</v>
      </c>
      <c r="C32" s="74"/>
      <c r="D32" s="74"/>
      <c r="E32" s="74"/>
      <c r="F32" s="74"/>
      <c r="G32" s="74"/>
      <c r="H32" s="74"/>
      <c r="I32" s="75"/>
      <c r="J32" s="60" t="s">
        <v>28</v>
      </c>
      <c r="K32" s="60"/>
      <c r="L32" s="60"/>
      <c r="M32" s="60"/>
      <c r="N32" s="61" t="s">
        <v>29</v>
      </c>
      <c r="O32" s="62"/>
      <c r="P32" s="62"/>
      <c r="Q32" s="63"/>
      <c r="R32" s="69">
        <v>0.41</v>
      </c>
      <c r="S32" s="69"/>
      <c r="T32" s="67"/>
      <c r="U32" s="67"/>
      <c r="V32" s="76">
        <f>R32</f>
        <v>0.41</v>
      </c>
      <c r="W32" s="76"/>
      <c r="X32" s="19">
        <f t="shared" si="0"/>
        <v>146.34146341463415</v>
      </c>
      <c r="Y32" s="19">
        <f t="shared" si="1"/>
        <v>139.02439024390245</v>
      </c>
      <c r="Z32" s="23">
        <f t="shared" si="2"/>
        <v>1.3082740355467628</v>
      </c>
      <c r="AA32" s="21">
        <v>1.5</v>
      </c>
    </row>
    <row r="33" spans="1:27" ht="26.25" customHeight="1">
      <c r="A33" s="27">
        <v>2</v>
      </c>
      <c r="B33" s="73" t="s">
        <v>55</v>
      </c>
      <c r="C33" s="74"/>
      <c r="D33" s="74"/>
      <c r="E33" s="74"/>
      <c r="F33" s="74"/>
      <c r="G33" s="74"/>
      <c r="H33" s="74"/>
      <c r="I33" s="75"/>
      <c r="J33" s="60" t="s">
        <v>31</v>
      </c>
      <c r="K33" s="60"/>
      <c r="L33" s="60"/>
      <c r="M33" s="60"/>
      <c r="N33" s="61" t="s">
        <v>29</v>
      </c>
      <c r="O33" s="62"/>
      <c r="P33" s="62"/>
      <c r="Q33" s="63"/>
      <c r="R33" s="69">
        <v>0.15</v>
      </c>
      <c r="S33" s="69"/>
      <c r="T33" s="67">
        <f>R33</f>
        <v>0.15</v>
      </c>
      <c r="U33" s="67"/>
      <c r="V33" s="64"/>
      <c r="W33" s="64"/>
      <c r="X33" s="19">
        <f>60/R33</f>
        <v>400</v>
      </c>
      <c r="Y33" s="19">
        <f>X33*0.95</f>
        <v>380</v>
      </c>
      <c r="Z33" s="23">
        <f>AA$6/Y33</f>
        <v>0.47863684227320591</v>
      </c>
      <c r="AA33" s="21">
        <v>0.5</v>
      </c>
    </row>
    <row r="34" spans="1:27" ht="26.25" customHeight="1">
      <c r="A34" s="27">
        <v>3</v>
      </c>
      <c r="B34" s="73" t="s">
        <v>56</v>
      </c>
      <c r="C34" s="74"/>
      <c r="D34" s="74"/>
      <c r="E34" s="74"/>
      <c r="F34" s="74"/>
      <c r="G34" s="74"/>
      <c r="H34" s="74"/>
      <c r="I34" s="75"/>
      <c r="J34" s="60" t="s">
        <v>57</v>
      </c>
      <c r="K34" s="60"/>
      <c r="L34" s="60"/>
      <c r="M34" s="60"/>
      <c r="N34" s="61" t="s">
        <v>29</v>
      </c>
      <c r="O34" s="62"/>
      <c r="P34" s="62"/>
      <c r="Q34" s="63"/>
      <c r="R34" s="80">
        <v>0.1</v>
      </c>
      <c r="S34" s="80"/>
      <c r="T34" s="81"/>
      <c r="U34" s="81"/>
      <c r="V34" s="82">
        <f>R34</f>
        <v>0.1</v>
      </c>
      <c r="W34" s="82"/>
      <c r="X34" s="19">
        <f t="shared" ref="X34:X36" si="3">60/R34</f>
        <v>600</v>
      </c>
      <c r="Y34" s="19">
        <f t="shared" ref="Y34:Y36" si="4">X34*0.95</f>
        <v>570</v>
      </c>
      <c r="Z34" s="23">
        <f t="shared" ref="Z34:Z36" si="5">AA$6/Y34</f>
        <v>0.31909122818213731</v>
      </c>
      <c r="AA34" s="21">
        <v>0.5</v>
      </c>
    </row>
    <row r="35" spans="1:27" ht="26.25" customHeight="1">
      <c r="A35" s="27">
        <v>4</v>
      </c>
      <c r="B35" s="73" t="s">
        <v>58</v>
      </c>
      <c r="C35" s="74"/>
      <c r="D35" s="74"/>
      <c r="E35" s="74"/>
      <c r="F35" s="74"/>
      <c r="G35" s="74"/>
      <c r="H35" s="74"/>
      <c r="I35" s="75"/>
      <c r="J35" s="60" t="s">
        <v>28</v>
      </c>
      <c r="K35" s="60"/>
      <c r="L35" s="60"/>
      <c r="M35" s="60"/>
      <c r="N35" s="61" t="s">
        <v>29</v>
      </c>
      <c r="O35" s="62"/>
      <c r="P35" s="62"/>
      <c r="Q35" s="63"/>
      <c r="R35" s="69">
        <v>0.55000000000000004</v>
      </c>
      <c r="S35" s="69"/>
      <c r="T35" s="67"/>
      <c r="U35" s="67"/>
      <c r="V35" s="64">
        <f>R35</f>
        <v>0.55000000000000004</v>
      </c>
      <c r="W35" s="64"/>
      <c r="X35" s="19">
        <f t="shared" si="3"/>
        <v>109.09090909090908</v>
      </c>
      <c r="Y35" s="19">
        <f t="shared" si="4"/>
        <v>103.63636363636363</v>
      </c>
      <c r="Z35" s="23">
        <f t="shared" si="5"/>
        <v>1.7550017550017551</v>
      </c>
      <c r="AA35" s="21">
        <v>2</v>
      </c>
    </row>
    <row r="36" spans="1:27" ht="26.25" customHeight="1">
      <c r="A36" s="27">
        <v>5</v>
      </c>
      <c r="B36" s="73" t="s">
        <v>59</v>
      </c>
      <c r="C36" s="74"/>
      <c r="D36" s="74"/>
      <c r="E36" s="74"/>
      <c r="F36" s="74"/>
      <c r="G36" s="74"/>
      <c r="H36" s="74"/>
      <c r="I36" s="75"/>
      <c r="J36" s="60" t="s">
        <v>31</v>
      </c>
      <c r="K36" s="60"/>
      <c r="L36" s="60"/>
      <c r="M36" s="60"/>
      <c r="N36" s="61" t="s">
        <v>29</v>
      </c>
      <c r="O36" s="62"/>
      <c r="P36" s="62"/>
      <c r="Q36" s="63"/>
      <c r="R36" s="69">
        <v>0.9</v>
      </c>
      <c r="S36" s="69"/>
      <c r="T36" s="67">
        <f>R36</f>
        <v>0.9</v>
      </c>
      <c r="U36" s="67"/>
      <c r="V36" s="64"/>
      <c r="W36" s="64"/>
      <c r="X36" s="19">
        <f t="shared" si="3"/>
        <v>66.666666666666671</v>
      </c>
      <c r="Y36" s="19">
        <f t="shared" si="4"/>
        <v>63.333333333333336</v>
      </c>
      <c r="Z36" s="23">
        <f t="shared" si="5"/>
        <v>2.8718210536392355</v>
      </c>
      <c r="AA36" s="21">
        <v>3</v>
      </c>
    </row>
    <row r="37" spans="1:27" ht="26.25" customHeight="1">
      <c r="A37" s="27">
        <v>6</v>
      </c>
      <c r="B37" s="77" t="s">
        <v>60</v>
      </c>
      <c r="C37" s="78"/>
      <c r="D37" s="78"/>
      <c r="E37" s="78"/>
      <c r="F37" s="78"/>
      <c r="G37" s="78"/>
      <c r="H37" s="78"/>
      <c r="I37" s="79"/>
      <c r="J37" s="60" t="s">
        <v>31</v>
      </c>
      <c r="K37" s="60"/>
      <c r="L37" s="60"/>
      <c r="M37" s="60"/>
      <c r="N37" s="61" t="s">
        <v>61</v>
      </c>
      <c r="O37" s="62"/>
      <c r="P37" s="62"/>
      <c r="Q37" s="63"/>
      <c r="R37" s="69">
        <v>0.4</v>
      </c>
      <c r="S37" s="69"/>
      <c r="T37" s="67">
        <f>R37</f>
        <v>0.4</v>
      </c>
      <c r="U37" s="67"/>
      <c r="V37" s="76"/>
      <c r="W37" s="76"/>
      <c r="X37" s="19">
        <f t="shared" si="0"/>
        <v>150</v>
      </c>
      <c r="Y37" s="19">
        <f t="shared" si="1"/>
        <v>142.5</v>
      </c>
      <c r="Z37" s="23">
        <f t="shared" si="2"/>
        <v>1.2763649127285492</v>
      </c>
      <c r="AA37" s="21">
        <v>1.5</v>
      </c>
    </row>
    <row r="38" spans="1:27" ht="26.25" customHeight="1">
      <c r="A38" s="27">
        <v>7</v>
      </c>
      <c r="B38" s="59" t="s">
        <v>62</v>
      </c>
      <c r="C38" s="59"/>
      <c r="D38" s="59"/>
      <c r="E38" s="59"/>
      <c r="F38" s="59"/>
      <c r="G38" s="59"/>
      <c r="H38" s="59"/>
      <c r="I38" s="59"/>
      <c r="J38" s="60" t="s">
        <v>63</v>
      </c>
      <c r="K38" s="60"/>
      <c r="L38" s="60"/>
      <c r="M38" s="60"/>
      <c r="N38" s="61" t="s">
        <v>29</v>
      </c>
      <c r="O38" s="62"/>
      <c r="P38" s="62"/>
      <c r="Q38" s="63"/>
      <c r="R38" s="64">
        <v>0.66</v>
      </c>
      <c r="S38" s="64"/>
      <c r="T38" s="64">
        <f>R38</f>
        <v>0.66</v>
      </c>
      <c r="U38" s="64"/>
      <c r="V38" s="64"/>
      <c r="W38" s="64"/>
      <c r="X38" s="19">
        <f t="shared" si="0"/>
        <v>90.909090909090907</v>
      </c>
      <c r="Y38" s="19">
        <f t="shared" si="1"/>
        <v>86.36363636363636</v>
      </c>
      <c r="Z38" s="23">
        <f t="shared" si="2"/>
        <v>2.1060021060021064</v>
      </c>
      <c r="AA38" s="21">
        <v>2.5</v>
      </c>
    </row>
    <row r="39" spans="1:27" ht="26.25" customHeight="1">
      <c r="A39" s="27">
        <v>8</v>
      </c>
      <c r="B39" s="59" t="s">
        <v>64</v>
      </c>
      <c r="C39" s="59"/>
      <c r="D39" s="59"/>
      <c r="E39" s="59"/>
      <c r="F39" s="59"/>
      <c r="G39" s="59"/>
      <c r="H39" s="59"/>
      <c r="I39" s="59"/>
      <c r="J39" s="60" t="s">
        <v>63</v>
      </c>
      <c r="K39" s="60"/>
      <c r="L39" s="60"/>
      <c r="M39" s="60"/>
      <c r="N39" s="61" t="s">
        <v>29</v>
      </c>
      <c r="O39" s="62"/>
      <c r="P39" s="62"/>
      <c r="Q39" s="63"/>
      <c r="R39" s="64">
        <v>0.2</v>
      </c>
      <c r="S39" s="64"/>
      <c r="T39" s="64">
        <f>R39</f>
        <v>0.2</v>
      </c>
      <c r="U39" s="64"/>
      <c r="V39" s="64"/>
      <c r="W39" s="64"/>
      <c r="X39" s="19">
        <f t="shared" si="0"/>
        <v>300</v>
      </c>
      <c r="Y39" s="19">
        <f t="shared" si="1"/>
        <v>285</v>
      </c>
      <c r="Z39" s="23">
        <f t="shared" si="2"/>
        <v>0.63818245636427462</v>
      </c>
      <c r="AA39" s="21">
        <v>1</v>
      </c>
    </row>
    <row r="40" spans="1:27" ht="26.25" customHeight="1">
      <c r="A40" s="27">
        <v>9</v>
      </c>
      <c r="B40" s="59" t="s">
        <v>65</v>
      </c>
      <c r="C40" s="59"/>
      <c r="D40" s="59"/>
      <c r="E40" s="59"/>
      <c r="F40" s="59"/>
      <c r="G40" s="59"/>
      <c r="H40" s="59"/>
      <c r="I40" s="59"/>
      <c r="J40" s="60" t="s">
        <v>57</v>
      </c>
      <c r="K40" s="60"/>
      <c r="L40" s="60"/>
      <c r="M40" s="60"/>
      <c r="N40" s="61" t="s">
        <v>29</v>
      </c>
      <c r="O40" s="62"/>
      <c r="P40" s="62"/>
      <c r="Q40" s="63"/>
      <c r="R40" s="83">
        <v>0.3</v>
      </c>
      <c r="S40" s="83"/>
      <c r="T40" s="64"/>
      <c r="U40" s="64"/>
      <c r="V40" s="64">
        <f>R40</f>
        <v>0.3</v>
      </c>
      <c r="W40" s="64"/>
      <c r="X40" s="19">
        <f t="shared" si="0"/>
        <v>200</v>
      </c>
      <c r="Y40" s="19">
        <f t="shared" si="1"/>
        <v>190</v>
      </c>
      <c r="Z40" s="23">
        <f t="shared" si="2"/>
        <v>0.95727368454641182</v>
      </c>
      <c r="AA40" s="21">
        <v>1</v>
      </c>
    </row>
    <row r="41" spans="1:27" ht="26.25" customHeight="1">
      <c r="A41" s="27">
        <v>10</v>
      </c>
      <c r="B41" s="59" t="s">
        <v>66</v>
      </c>
      <c r="C41" s="59"/>
      <c r="D41" s="59"/>
      <c r="E41" s="59"/>
      <c r="F41" s="59"/>
      <c r="G41" s="59"/>
      <c r="H41" s="59"/>
      <c r="I41" s="59"/>
      <c r="J41" s="60" t="s">
        <v>67</v>
      </c>
      <c r="K41" s="60"/>
      <c r="L41" s="60"/>
      <c r="M41" s="60"/>
      <c r="N41" s="61" t="s">
        <v>29</v>
      </c>
      <c r="O41" s="62"/>
      <c r="P41" s="62"/>
      <c r="Q41" s="63"/>
      <c r="R41" s="64">
        <v>0.56000000000000005</v>
      </c>
      <c r="S41" s="64"/>
      <c r="T41" s="64">
        <f>R41</f>
        <v>0.56000000000000005</v>
      </c>
      <c r="U41" s="64"/>
      <c r="V41" s="64"/>
      <c r="W41" s="64"/>
      <c r="X41" s="19">
        <f t="shared" si="0"/>
        <v>107.14285714285714</v>
      </c>
      <c r="Y41" s="19">
        <f t="shared" si="1"/>
        <v>101.78571428571428</v>
      </c>
      <c r="Z41" s="23">
        <f t="shared" si="2"/>
        <v>1.7869108778199689</v>
      </c>
      <c r="AA41" s="21">
        <v>2</v>
      </c>
    </row>
    <row r="42" spans="1:27" ht="26.25" customHeight="1">
      <c r="A42" s="27">
        <v>11</v>
      </c>
      <c r="B42" s="59" t="s">
        <v>68</v>
      </c>
      <c r="C42" s="59"/>
      <c r="D42" s="59"/>
      <c r="E42" s="59"/>
      <c r="F42" s="59"/>
      <c r="G42" s="59"/>
      <c r="H42" s="59"/>
      <c r="I42" s="59"/>
      <c r="J42" s="60" t="s">
        <v>67</v>
      </c>
      <c r="K42" s="60"/>
      <c r="L42" s="60"/>
      <c r="M42" s="60"/>
      <c r="N42" s="61" t="s">
        <v>29</v>
      </c>
      <c r="O42" s="62"/>
      <c r="P42" s="62"/>
      <c r="Q42" s="63"/>
      <c r="R42" s="64">
        <v>0.2</v>
      </c>
      <c r="S42" s="64"/>
      <c r="T42" s="64">
        <f>R42</f>
        <v>0.2</v>
      </c>
      <c r="U42" s="64"/>
      <c r="V42" s="64"/>
      <c r="W42" s="64"/>
      <c r="X42" s="19">
        <f>60/R42</f>
        <v>300</v>
      </c>
      <c r="Y42" s="19">
        <f>X42*0.95</f>
        <v>285</v>
      </c>
      <c r="Z42" s="23">
        <f>AA$6/Y42</f>
        <v>0.63818245636427462</v>
      </c>
      <c r="AA42" s="21">
        <v>1</v>
      </c>
    </row>
    <row r="43" spans="1:27" ht="26.25" customHeight="1">
      <c r="A43" s="27">
        <v>12</v>
      </c>
      <c r="B43" s="59" t="s">
        <v>69</v>
      </c>
      <c r="C43" s="59"/>
      <c r="D43" s="59"/>
      <c r="E43" s="59"/>
      <c r="F43" s="59"/>
      <c r="G43" s="59"/>
      <c r="H43" s="59"/>
      <c r="I43" s="59"/>
      <c r="J43" s="60" t="s">
        <v>67</v>
      </c>
      <c r="K43" s="60"/>
      <c r="L43" s="60"/>
      <c r="M43" s="60"/>
      <c r="N43" s="61" t="s">
        <v>29</v>
      </c>
      <c r="O43" s="62"/>
      <c r="P43" s="62"/>
      <c r="Q43" s="63"/>
      <c r="R43" s="64">
        <v>0.3</v>
      </c>
      <c r="S43" s="64"/>
      <c r="T43" s="64">
        <f>R43</f>
        <v>0.3</v>
      </c>
      <c r="U43" s="64"/>
      <c r="V43" s="64"/>
      <c r="W43" s="64"/>
      <c r="X43" s="19">
        <f t="shared" si="0"/>
        <v>200</v>
      </c>
      <c r="Y43" s="19">
        <f t="shared" si="1"/>
        <v>190</v>
      </c>
      <c r="Z43" s="23">
        <f t="shared" si="2"/>
        <v>0.95727368454641182</v>
      </c>
      <c r="AA43" s="21">
        <v>1</v>
      </c>
    </row>
    <row r="44" spans="1:27" ht="26.25" customHeight="1">
      <c r="A44" s="27">
        <v>13</v>
      </c>
      <c r="B44" s="84" t="s">
        <v>70</v>
      </c>
      <c r="C44" s="85"/>
      <c r="D44" s="85"/>
      <c r="E44" s="85"/>
      <c r="F44" s="85"/>
      <c r="G44" s="85"/>
      <c r="H44" s="85"/>
      <c r="I44" s="86"/>
      <c r="J44" s="87" t="s">
        <v>31</v>
      </c>
      <c r="K44" s="88"/>
      <c r="L44" s="88"/>
      <c r="M44" s="89"/>
      <c r="N44" s="61" t="s">
        <v>29</v>
      </c>
      <c r="O44" s="62"/>
      <c r="P44" s="62"/>
      <c r="Q44" s="63"/>
      <c r="R44" s="92">
        <v>0.5</v>
      </c>
      <c r="S44" s="93"/>
      <c r="T44" s="92">
        <f>R44</f>
        <v>0.5</v>
      </c>
      <c r="U44" s="93"/>
      <c r="V44" s="92"/>
      <c r="W44" s="93"/>
      <c r="X44" s="19">
        <f t="shared" si="0"/>
        <v>120</v>
      </c>
      <c r="Y44" s="19">
        <f t="shared" si="1"/>
        <v>114</v>
      </c>
      <c r="Z44" s="23">
        <f t="shared" si="2"/>
        <v>1.5954561409106864</v>
      </c>
      <c r="AA44" s="21">
        <v>2</v>
      </c>
    </row>
    <row r="45" spans="1:27" ht="26.25" customHeight="1">
      <c r="A45" s="27">
        <v>14</v>
      </c>
      <c r="B45" s="84" t="s">
        <v>71</v>
      </c>
      <c r="C45" s="85"/>
      <c r="D45" s="85"/>
      <c r="E45" s="85"/>
      <c r="F45" s="85"/>
      <c r="G45" s="85"/>
      <c r="H45" s="85"/>
      <c r="I45" s="86"/>
      <c r="J45" s="87" t="s">
        <v>57</v>
      </c>
      <c r="K45" s="88"/>
      <c r="L45" s="88"/>
      <c r="M45" s="89"/>
      <c r="N45" s="61" t="s">
        <v>29</v>
      </c>
      <c r="O45" s="62"/>
      <c r="P45" s="62"/>
      <c r="Q45" s="63"/>
      <c r="R45" s="90">
        <v>0.25</v>
      </c>
      <c r="S45" s="91"/>
      <c r="T45" s="92"/>
      <c r="U45" s="93"/>
      <c r="V45" s="92">
        <f>R45</f>
        <v>0.25</v>
      </c>
      <c r="W45" s="93"/>
      <c r="X45" s="19">
        <f t="shared" si="0"/>
        <v>240</v>
      </c>
      <c r="Y45" s="19">
        <f t="shared" si="1"/>
        <v>228</v>
      </c>
      <c r="Z45" s="23">
        <f t="shared" si="2"/>
        <v>0.79772807045534322</v>
      </c>
      <c r="AA45" s="21">
        <v>1</v>
      </c>
    </row>
    <row r="46" spans="1:27" ht="26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71" t="s">
        <v>52</v>
      </c>
      <c r="O46" s="71"/>
      <c r="P46" s="71"/>
      <c r="Q46" s="71"/>
      <c r="R46" s="71">
        <f>SUM(R32:S45)</f>
        <v>5.48</v>
      </c>
      <c r="S46" s="71"/>
      <c r="T46" s="71">
        <f>SUM(T32:U45)</f>
        <v>3.8700000000000006</v>
      </c>
      <c r="U46" s="71"/>
      <c r="V46" s="71">
        <f>SUM(V32:W45)</f>
        <v>1.61</v>
      </c>
      <c r="W46" s="71"/>
      <c r="X46" s="19"/>
      <c r="Y46" s="19"/>
      <c r="Z46" s="23"/>
      <c r="AA46" s="28">
        <f>SUM(AA32:AA45)</f>
        <v>20.5</v>
      </c>
    </row>
    <row r="47" spans="1:27" ht="26.25" customHeight="1">
      <c r="A47" s="29"/>
      <c r="B47" s="30" t="s">
        <v>72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2"/>
      <c r="S47" s="32"/>
      <c r="T47" s="32"/>
      <c r="U47" s="32"/>
      <c r="V47" s="32"/>
      <c r="W47" s="33"/>
      <c r="X47" s="34"/>
      <c r="Y47" s="34"/>
      <c r="Z47" s="34"/>
      <c r="AA47" s="34"/>
    </row>
    <row r="48" spans="1:27" ht="26.25" customHeight="1">
      <c r="A48" s="35">
        <v>1</v>
      </c>
      <c r="B48" s="94" t="s">
        <v>73</v>
      </c>
      <c r="C48" s="95"/>
      <c r="D48" s="95"/>
      <c r="E48" s="95"/>
      <c r="F48" s="95"/>
      <c r="G48" s="95"/>
      <c r="H48" s="95"/>
      <c r="I48" s="96"/>
      <c r="J48" s="97" t="s">
        <v>31</v>
      </c>
      <c r="K48" s="98"/>
      <c r="L48" s="98"/>
      <c r="M48" s="99"/>
      <c r="N48" s="97" t="s">
        <v>74</v>
      </c>
      <c r="O48" s="98"/>
      <c r="P48" s="98"/>
      <c r="Q48" s="99"/>
      <c r="R48" s="92">
        <v>0.53</v>
      </c>
      <c r="S48" s="93"/>
      <c r="T48" s="100">
        <f>R48</f>
        <v>0.53</v>
      </c>
      <c r="U48" s="101"/>
      <c r="V48" s="100"/>
      <c r="W48" s="101"/>
      <c r="X48" s="19">
        <f t="shared" ref="X48:X65" si="6">60/R48</f>
        <v>113.20754716981132</v>
      </c>
      <c r="Y48" s="19">
        <f t="shared" ref="Y48:Y65" si="7">X48*0.95</f>
        <v>107.54716981132074</v>
      </c>
      <c r="Z48" s="23">
        <f t="shared" ref="Z48:Z54" si="8">AA$6/Y48</f>
        <v>1.6911835093653278</v>
      </c>
      <c r="AA48" s="21">
        <v>2</v>
      </c>
    </row>
    <row r="49" spans="1:27" ht="26.25" customHeight="1">
      <c r="A49" s="35">
        <v>2</v>
      </c>
      <c r="B49" s="94" t="s">
        <v>75</v>
      </c>
      <c r="C49" s="95"/>
      <c r="D49" s="95"/>
      <c r="E49" s="95"/>
      <c r="F49" s="95"/>
      <c r="G49" s="95"/>
      <c r="H49" s="95"/>
      <c r="I49" s="96"/>
      <c r="J49" s="87" t="s">
        <v>31</v>
      </c>
      <c r="K49" s="88"/>
      <c r="L49" s="88"/>
      <c r="M49" s="89"/>
      <c r="N49" s="97" t="s">
        <v>29</v>
      </c>
      <c r="O49" s="98"/>
      <c r="P49" s="98"/>
      <c r="Q49" s="99"/>
      <c r="R49" s="92">
        <v>0.3</v>
      </c>
      <c r="S49" s="93"/>
      <c r="T49" s="100">
        <f>R49</f>
        <v>0.3</v>
      </c>
      <c r="U49" s="101"/>
      <c r="V49" s="100"/>
      <c r="W49" s="102"/>
      <c r="X49" s="19">
        <f t="shared" si="6"/>
        <v>200</v>
      </c>
      <c r="Y49" s="19">
        <f t="shared" si="7"/>
        <v>190</v>
      </c>
      <c r="Z49" s="23">
        <f t="shared" si="8"/>
        <v>0.95727368454641182</v>
      </c>
      <c r="AA49" s="21">
        <v>1</v>
      </c>
    </row>
    <row r="50" spans="1:27" ht="26.25" customHeight="1">
      <c r="A50" s="35">
        <v>3</v>
      </c>
      <c r="B50" s="94" t="s">
        <v>76</v>
      </c>
      <c r="C50" s="95"/>
      <c r="D50" s="95"/>
      <c r="E50" s="95"/>
      <c r="F50" s="95"/>
      <c r="G50" s="95"/>
      <c r="H50" s="95"/>
      <c r="I50" s="96"/>
      <c r="J50" s="97" t="s">
        <v>77</v>
      </c>
      <c r="K50" s="98"/>
      <c r="L50" s="98"/>
      <c r="M50" s="99"/>
      <c r="N50" s="97" t="s">
        <v>78</v>
      </c>
      <c r="O50" s="98"/>
      <c r="P50" s="98"/>
      <c r="Q50" s="99"/>
      <c r="R50" s="92">
        <v>0.4</v>
      </c>
      <c r="S50" s="93"/>
      <c r="T50" s="100"/>
      <c r="U50" s="101"/>
      <c r="V50" s="100">
        <f>R50</f>
        <v>0.4</v>
      </c>
      <c r="W50" s="101"/>
      <c r="X50" s="19">
        <f t="shared" si="6"/>
        <v>150</v>
      </c>
      <c r="Y50" s="19">
        <f t="shared" si="7"/>
        <v>142.5</v>
      </c>
      <c r="Z50" s="23">
        <f t="shared" si="8"/>
        <v>1.2763649127285492</v>
      </c>
      <c r="AA50" s="21">
        <v>1.5</v>
      </c>
    </row>
    <row r="51" spans="1:27" ht="26.25" customHeight="1">
      <c r="A51" s="35">
        <v>4</v>
      </c>
      <c r="B51" s="94" t="s">
        <v>79</v>
      </c>
      <c r="C51" s="95"/>
      <c r="D51" s="95"/>
      <c r="E51" s="95"/>
      <c r="F51" s="95"/>
      <c r="G51" s="95"/>
      <c r="H51" s="95"/>
      <c r="I51" s="96"/>
      <c r="J51" s="97" t="s">
        <v>31</v>
      </c>
      <c r="K51" s="98"/>
      <c r="L51" s="98"/>
      <c r="M51" s="99"/>
      <c r="N51" s="97" t="s">
        <v>29</v>
      </c>
      <c r="O51" s="98"/>
      <c r="P51" s="98"/>
      <c r="Q51" s="99"/>
      <c r="R51" s="92">
        <v>1.2</v>
      </c>
      <c r="S51" s="93"/>
      <c r="T51" s="100">
        <f>R51</f>
        <v>1.2</v>
      </c>
      <c r="U51" s="101"/>
      <c r="V51" s="100"/>
      <c r="W51" s="101"/>
      <c r="X51" s="19">
        <f t="shared" si="6"/>
        <v>50</v>
      </c>
      <c r="Y51" s="19">
        <f t="shared" si="7"/>
        <v>47.5</v>
      </c>
      <c r="Z51" s="23">
        <f t="shared" si="8"/>
        <v>3.8290947381856473</v>
      </c>
      <c r="AA51" s="21">
        <v>4</v>
      </c>
    </row>
    <row r="52" spans="1:27" ht="26.25" customHeight="1">
      <c r="A52" s="35">
        <v>5</v>
      </c>
      <c r="B52" s="94" t="s">
        <v>126</v>
      </c>
      <c r="C52" s="95"/>
      <c r="D52" s="95"/>
      <c r="E52" s="95"/>
      <c r="F52" s="95"/>
      <c r="G52" s="95"/>
      <c r="H52" s="95"/>
      <c r="I52" s="96"/>
      <c r="J52" s="97" t="s">
        <v>87</v>
      </c>
      <c r="K52" s="98"/>
      <c r="L52" s="98"/>
      <c r="M52" s="99"/>
      <c r="N52" s="97" t="s">
        <v>29</v>
      </c>
      <c r="O52" s="98"/>
      <c r="P52" s="98"/>
      <c r="Q52" s="99"/>
      <c r="R52" s="92">
        <v>0.4</v>
      </c>
      <c r="S52" s="93"/>
      <c r="T52" s="100">
        <f>R52</f>
        <v>0.4</v>
      </c>
      <c r="U52" s="101"/>
      <c r="V52" s="100"/>
      <c r="W52" s="101"/>
      <c r="X52" s="19">
        <f t="shared" si="6"/>
        <v>150</v>
      </c>
      <c r="Y52" s="19">
        <f t="shared" si="7"/>
        <v>142.5</v>
      </c>
      <c r="Z52" s="23">
        <f t="shared" si="8"/>
        <v>1.2763649127285492</v>
      </c>
      <c r="AA52" s="21">
        <v>1.5</v>
      </c>
    </row>
    <row r="53" spans="1:27" ht="26.25" customHeight="1">
      <c r="A53" s="36">
        <v>6</v>
      </c>
      <c r="B53" s="94" t="s">
        <v>80</v>
      </c>
      <c r="C53" s="95"/>
      <c r="D53" s="95"/>
      <c r="E53" s="95"/>
      <c r="F53" s="95"/>
      <c r="G53" s="95"/>
      <c r="H53" s="95"/>
      <c r="I53" s="96"/>
      <c r="J53" s="97" t="s">
        <v>63</v>
      </c>
      <c r="K53" s="98"/>
      <c r="L53" s="98"/>
      <c r="M53" s="99"/>
      <c r="N53" s="97" t="s">
        <v>29</v>
      </c>
      <c r="O53" s="98"/>
      <c r="P53" s="98"/>
      <c r="Q53" s="99"/>
      <c r="R53" s="92">
        <v>0.23</v>
      </c>
      <c r="S53" s="93"/>
      <c r="T53" s="100">
        <f>R53</f>
        <v>0.23</v>
      </c>
      <c r="U53" s="101"/>
      <c r="V53" s="100"/>
      <c r="W53" s="101"/>
      <c r="X53" s="19">
        <f t="shared" si="6"/>
        <v>260.86956521739131</v>
      </c>
      <c r="Y53" s="19">
        <f t="shared" si="7"/>
        <v>247.82608695652172</v>
      </c>
      <c r="Z53" s="23">
        <f t="shared" si="8"/>
        <v>0.73390982481891587</v>
      </c>
      <c r="AA53" s="21">
        <v>1</v>
      </c>
    </row>
    <row r="54" spans="1:27" ht="26.25" customHeight="1">
      <c r="A54" s="36">
        <v>7</v>
      </c>
      <c r="B54" s="84" t="s">
        <v>81</v>
      </c>
      <c r="C54" s="85"/>
      <c r="D54" s="85"/>
      <c r="E54" s="85"/>
      <c r="F54" s="85"/>
      <c r="G54" s="85"/>
      <c r="H54" s="85"/>
      <c r="I54" s="86"/>
      <c r="J54" s="87" t="s">
        <v>67</v>
      </c>
      <c r="K54" s="88"/>
      <c r="L54" s="88"/>
      <c r="M54" s="89"/>
      <c r="N54" s="87" t="s">
        <v>29</v>
      </c>
      <c r="O54" s="88"/>
      <c r="P54" s="88"/>
      <c r="Q54" s="89"/>
      <c r="R54" s="92">
        <v>0.27</v>
      </c>
      <c r="S54" s="93"/>
      <c r="T54" s="92">
        <f>R54</f>
        <v>0.27</v>
      </c>
      <c r="U54" s="93"/>
      <c r="V54" s="92"/>
      <c r="W54" s="93"/>
      <c r="X54" s="19">
        <f t="shared" si="6"/>
        <v>222.2222222222222</v>
      </c>
      <c r="Y54" s="19">
        <f t="shared" si="7"/>
        <v>211.11111111111109</v>
      </c>
      <c r="Z54" s="23">
        <f t="shared" si="8"/>
        <v>0.86154631609177079</v>
      </c>
      <c r="AA54" s="21">
        <v>1</v>
      </c>
    </row>
    <row r="55" spans="1:27" ht="26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103" t="s">
        <v>52</v>
      </c>
      <c r="O55" s="103"/>
      <c r="P55" s="103"/>
      <c r="Q55" s="103"/>
      <c r="R55" s="103">
        <f>SUM(R48:S54)</f>
        <v>3.3299999999999996</v>
      </c>
      <c r="S55" s="103"/>
      <c r="T55" s="103">
        <f>SUM(T48:U54)</f>
        <v>2.93</v>
      </c>
      <c r="U55" s="103"/>
      <c r="V55" s="103">
        <f>SUM(V48:W54)</f>
        <v>0.4</v>
      </c>
      <c r="W55" s="103"/>
      <c r="X55" s="19"/>
      <c r="Y55" s="19"/>
      <c r="Z55" s="23"/>
      <c r="AA55" s="28">
        <f>SUM(AA48:AA54)</f>
        <v>12</v>
      </c>
    </row>
    <row r="56" spans="1:27" ht="26.25" customHeight="1">
      <c r="A56" s="29"/>
      <c r="B56" s="30" t="s">
        <v>82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2"/>
      <c r="S56" s="32"/>
      <c r="T56" s="32"/>
      <c r="U56" s="32"/>
      <c r="V56" s="32"/>
      <c r="W56" s="33"/>
      <c r="X56" s="34"/>
      <c r="Y56" s="34"/>
      <c r="Z56" s="34"/>
      <c r="AA56" s="34"/>
    </row>
    <row r="57" spans="1:27" ht="26.25" customHeight="1">
      <c r="A57" s="37">
        <v>1</v>
      </c>
      <c r="B57" s="84" t="s">
        <v>83</v>
      </c>
      <c r="C57" s="85"/>
      <c r="D57" s="85"/>
      <c r="E57" s="85"/>
      <c r="F57" s="85"/>
      <c r="G57" s="85"/>
      <c r="H57" s="85"/>
      <c r="I57" s="86"/>
      <c r="J57" s="87" t="s">
        <v>84</v>
      </c>
      <c r="K57" s="88"/>
      <c r="L57" s="88"/>
      <c r="M57" s="89"/>
      <c r="N57" s="87" t="s">
        <v>29</v>
      </c>
      <c r="O57" s="88"/>
      <c r="P57" s="88"/>
      <c r="Q57" s="89"/>
      <c r="R57" s="92">
        <v>0.3</v>
      </c>
      <c r="S57" s="93"/>
      <c r="T57" s="92"/>
      <c r="U57" s="93"/>
      <c r="V57" s="92">
        <f>R57</f>
        <v>0.3</v>
      </c>
      <c r="W57" s="93"/>
      <c r="X57" s="19">
        <f t="shared" si="6"/>
        <v>200</v>
      </c>
      <c r="Y57" s="19">
        <f t="shared" si="7"/>
        <v>190</v>
      </c>
      <c r="Z57" s="23">
        <f t="shared" ref="Z57:Z65" si="9">AA$6/Y57</f>
        <v>0.95727368454641182</v>
      </c>
      <c r="AA57" s="21">
        <v>1</v>
      </c>
    </row>
    <row r="58" spans="1:27" ht="26.25" customHeight="1">
      <c r="A58" s="37">
        <v>2</v>
      </c>
      <c r="B58" s="84" t="s">
        <v>85</v>
      </c>
      <c r="C58" s="85"/>
      <c r="D58" s="85"/>
      <c r="E58" s="85"/>
      <c r="F58" s="85"/>
      <c r="G58" s="85"/>
      <c r="H58" s="85"/>
      <c r="I58" s="86"/>
      <c r="J58" s="87" t="s">
        <v>31</v>
      </c>
      <c r="K58" s="88"/>
      <c r="L58" s="88"/>
      <c r="M58" s="89"/>
      <c r="N58" s="87" t="s">
        <v>29</v>
      </c>
      <c r="O58" s="88"/>
      <c r="P58" s="88"/>
      <c r="Q58" s="89"/>
      <c r="R58" s="92">
        <v>0.52</v>
      </c>
      <c r="S58" s="93"/>
      <c r="T58" s="92">
        <f>R58</f>
        <v>0.52</v>
      </c>
      <c r="U58" s="93"/>
      <c r="V58" s="92"/>
      <c r="W58" s="93"/>
      <c r="X58" s="19">
        <f t="shared" si="6"/>
        <v>115.38461538461539</v>
      </c>
      <c r="Y58" s="19">
        <f t="shared" si="7"/>
        <v>109.61538461538461</v>
      </c>
      <c r="Z58" s="23">
        <f t="shared" si="9"/>
        <v>1.659274386547114</v>
      </c>
      <c r="AA58" s="21">
        <v>2</v>
      </c>
    </row>
    <row r="59" spans="1:27" ht="26.25" customHeight="1">
      <c r="A59" s="37">
        <v>3</v>
      </c>
      <c r="B59" s="84" t="s">
        <v>86</v>
      </c>
      <c r="C59" s="85"/>
      <c r="D59" s="85"/>
      <c r="E59" s="85"/>
      <c r="F59" s="85"/>
      <c r="G59" s="85"/>
      <c r="H59" s="85"/>
      <c r="I59" s="86"/>
      <c r="J59" s="87" t="s">
        <v>87</v>
      </c>
      <c r="K59" s="88"/>
      <c r="L59" s="88"/>
      <c r="M59" s="89"/>
      <c r="N59" s="87" t="s">
        <v>29</v>
      </c>
      <c r="O59" s="88"/>
      <c r="P59" s="88"/>
      <c r="Q59" s="89"/>
      <c r="R59" s="92">
        <v>0.26</v>
      </c>
      <c r="S59" s="93"/>
      <c r="T59" s="92"/>
      <c r="U59" s="93"/>
      <c r="V59" s="92">
        <f>R59</f>
        <v>0.26</v>
      </c>
      <c r="W59" s="93"/>
      <c r="X59" s="19">
        <f t="shared" si="6"/>
        <v>230.76923076923077</v>
      </c>
      <c r="Y59" s="19">
        <f t="shared" si="7"/>
        <v>219.23076923076923</v>
      </c>
      <c r="Z59" s="23">
        <f t="shared" si="9"/>
        <v>0.82963719327355701</v>
      </c>
      <c r="AA59" s="21">
        <v>1</v>
      </c>
    </row>
    <row r="60" spans="1:27" ht="26.25" customHeight="1">
      <c r="A60" s="37">
        <v>4</v>
      </c>
      <c r="B60" s="84" t="s">
        <v>88</v>
      </c>
      <c r="C60" s="85"/>
      <c r="D60" s="85"/>
      <c r="E60" s="85"/>
      <c r="F60" s="85"/>
      <c r="G60" s="85"/>
      <c r="H60" s="85"/>
      <c r="I60" s="86"/>
      <c r="J60" s="87" t="s">
        <v>89</v>
      </c>
      <c r="K60" s="88"/>
      <c r="L60" s="88"/>
      <c r="M60" s="89"/>
      <c r="N60" s="87" t="s">
        <v>29</v>
      </c>
      <c r="O60" s="88"/>
      <c r="P60" s="88"/>
      <c r="Q60" s="89"/>
      <c r="R60" s="92">
        <v>0.25</v>
      </c>
      <c r="S60" s="93"/>
      <c r="T60" s="92"/>
      <c r="U60" s="93"/>
      <c r="V60" s="92">
        <f>R60</f>
        <v>0.25</v>
      </c>
      <c r="W60" s="93"/>
      <c r="X60" s="19">
        <f t="shared" si="6"/>
        <v>240</v>
      </c>
      <c r="Y60" s="19">
        <f t="shared" si="7"/>
        <v>228</v>
      </c>
      <c r="Z60" s="23">
        <f t="shared" si="9"/>
        <v>0.79772807045534322</v>
      </c>
      <c r="AA60" s="21">
        <v>1</v>
      </c>
    </row>
    <row r="61" spans="1:27" ht="26.25" customHeight="1">
      <c r="A61" s="37">
        <v>5</v>
      </c>
      <c r="B61" s="84" t="s">
        <v>90</v>
      </c>
      <c r="C61" s="85"/>
      <c r="D61" s="85"/>
      <c r="E61" s="85"/>
      <c r="F61" s="85"/>
      <c r="G61" s="85"/>
      <c r="H61" s="85"/>
      <c r="I61" s="86"/>
      <c r="J61" s="87" t="s">
        <v>91</v>
      </c>
      <c r="K61" s="88"/>
      <c r="L61" s="88"/>
      <c r="M61" s="89"/>
      <c r="N61" s="87" t="s">
        <v>29</v>
      </c>
      <c r="O61" s="88"/>
      <c r="P61" s="88"/>
      <c r="Q61" s="89"/>
      <c r="R61" s="92">
        <v>0.25</v>
      </c>
      <c r="S61" s="93"/>
      <c r="T61" s="92"/>
      <c r="U61" s="93"/>
      <c r="V61" s="92">
        <f>R61</f>
        <v>0.25</v>
      </c>
      <c r="W61" s="93"/>
      <c r="X61" s="19">
        <f t="shared" si="6"/>
        <v>240</v>
      </c>
      <c r="Y61" s="19">
        <f t="shared" si="7"/>
        <v>228</v>
      </c>
      <c r="Z61" s="23">
        <f t="shared" si="9"/>
        <v>0.79772807045534322</v>
      </c>
      <c r="AA61" s="21">
        <v>1</v>
      </c>
    </row>
    <row r="62" spans="1:27" ht="26.25" customHeight="1">
      <c r="A62" s="37">
        <v>6</v>
      </c>
      <c r="B62" s="84" t="s">
        <v>92</v>
      </c>
      <c r="C62" s="85"/>
      <c r="D62" s="85"/>
      <c r="E62" s="85"/>
      <c r="F62" s="85"/>
      <c r="G62" s="85"/>
      <c r="H62" s="85"/>
      <c r="I62" s="86"/>
      <c r="J62" s="87" t="s">
        <v>28</v>
      </c>
      <c r="K62" s="88"/>
      <c r="L62" s="88"/>
      <c r="M62" s="89"/>
      <c r="N62" s="87" t="s">
        <v>29</v>
      </c>
      <c r="O62" s="88"/>
      <c r="P62" s="88"/>
      <c r="Q62" s="89"/>
      <c r="R62" s="92">
        <v>0.45</v>
      </c>
      <c r="S62" s="93"/>
      <c r="T62" s="92"/>
      <c r="U62" s="93"/>
      <c r="V62" s="92">
        <f>R62</f>
        <v>0.45</v>
      </c>
      <c r="W62" s="93"/>
      <c r="X62" s="19">
        <f t="shared" si="6"/>
        <v>133.33333333333334</v>
      </c>
      <c r="Y62" s="19">
        <f t="shared" si="7"/>
        <v>126.66666666666667</v>
      </c>
      <c r="Z62" s="23">
        <f t="shared" si="9"/>
        <v>1.4359105268196177</v>
      </c>
      <c r="AA62" s="21">
        <v>1.5</v>
      </c>
    </row>
    <row r="63" spans="1:27" ht="26.25" customHeight="1">
      <c r="A63" s="37">
        <v>7</v>
      </c>
      <c r="B63" s="84" t="s">
        <v>93</v>
      </c>
      <c r="C63" s="85"/>
      <c r="D63" s="85"/>
      <c r="E63" s="85"/>
      <c r="F63" s="85"/>
      <c r="G63" s="85"/>
      <c r="H63" s="85"/>
      <c r="I63" s="86"/>
      <c r="J63" s="87" t="s">
        <v>31</v>
      </c>
      <c r="K63" s="88"/>
      <c r="L63" s="88"/>
      <c r="M63" s="89"/>
      <c r="N63" s="87" t="s">
        <v>29</v>
      </c>
      <c r="O63" s="88"/>
      <c r="P63" s="88"/>
      <c r="Q63" s="89"/>
      <c r="R63" s="92">
        <v>0.52</v>
      </c>
      <c r="S63" s="93"/>
      <c r="T63" s="92">
        <f>R63</f>
        <v>0.52</v>
      </c>
      <c r="U63" s="93"/>
      <c r="V63" s="92"/>
      <c r="W63" s="93"/>
      <c r="X63" s="19">
        <f t="shared" si="6"/>
        <v>115.38461538461539</v>
      </c>
      <c r="Y63" s="19">
        <f t="shared" si="7"/>
        <v>109.61538461538461</v>
      </c>
      <c r="Z63" s="23">
        <f t="shared" si="9"/>
        <v>1.659274386547114</v>
      </c>
      <c r="AA63" s="21">
        <v>2</v>
      </c>
    </row>
    <row r="64" spans="1:27" ht="26.25" customHeight="1">
      <c r="A64" s="37">
        <v>8</v>
      </c>
      <c r="B64" s="84" t="s">
        <v>94</v>
      </c>
      <c r="C64" s="85"/>
      <c r="D64" s="85"/>
      <c r="E64" s="85"/>
      <c r="F64" s="85"/>
      <c r="G64" s="85"/>
      <c r="H64" s="85"/>
      <c r="I64" s="86"/>
      <c r="J64" s="87" t="s">
        <v>63</v>
      </c>
      <c r="K64" s="88"/>
      <c r="L64" s="88"/>
      <c r="M64" s="89"/>
      <c r="N64" s="87" t="s">
        <v>29</v>
      </c>
      <c r="O64" s="88"/>
      <c r="P64" s="88"/>
      <c r="Q64" s="89"/>
      <c r="R64" s="92">
        <v>0.28999999999999998</v>
      </c>
      <c r="S64" s="93"/>
      <c r="T64" s="92">
        <f>R64</f>
        <v>0.28999999999999998</v>
      </c>
      <c r="U64" s="93"/>
      <c r="V64" s="92"/>
      <c r="W64" s="93"/>
      <c r="X64" s="19">
        <f t="shared" si="6"/>
        <v>206.89655172413794</v>
      </c>
      <c r="Y64" s="19">
        <f t="shared" si="7"/>
        <v>196.55172413793102</v>
      </c>
      <c r="Z64" s="23">
        <f t="shared" si="9"/>
        <v>0.92536456172819825</v>
      </c>
      <c r="AA64" s="21">
        <v>1</v>
      </c>
    </row>
    <row r="65" spans="1:27" ht="26.25" customHeight="1">
      <c r="A65" s="37">
        <v>9</v>
      </c>
      <c r="B65" s="84" t="s">
        <v>95</v>
      </c>
      <c r="C65" s="85"/>
      <c r="D65" s="85"/>
      <c r="E65" s="85"/>
      <c r="F65" s="85"/>
      <c r="G65" s="85"/>
      <c r="H65" s="85"/>
      <c r="I65" s="86"/>
      <c r="J65" s="87" t="s">
        <v>67</v>
      </c>
      <c r="K65" s="88"/>
      <c r="L65" s="88"/>
      <c r="M65" s="89"/>
      <c r="N65" s="87" t="s">
        <v>29</v>
      </c>
      <c r="O65" s="88"/>
      <c r="P65" s="88"/>
      <c r="Q65" s="89"/>
      <c r="R65" s="92">
        <v>0.27</v>
      </c>
      <c r="S65" s="93"/>
      <c r="T65" s="92">
        <f>R65</f>
        <v>0.27</v>
      </c>
      <c r="U65" s="93"/>
      <c r="V65" s="92"/>
      <c r="W65" s="93"/>
      <c r="X65" s="19">
        <f t="shared" si="6"/>
        <v>222.2222222222222</v>
      </c>
      <c r="Y65" s="19">
        <f t="shared" si="7"/>
        <v>211.11111111111109</v>
      </c>
      <c r="Z65" s="23">
        <f t="shared" si="9"/>
        <v>0.86154631609177079</v>
      </c>
      <c r="AA65" s="21">
        <v>1</v>
      </c>
    </row>
    <row r="66" spans="1:27" ht="26.25" customHeight="1">
      <c r="A66" s="37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103" t="s">
        <v>52</v>
      </c>
      <c r="O66" s="103"/>
      <c r="P66" s="103"/>
      <c r="Q66" s="103"/>
      <c r="R66" s="103">
        <f>SUM(R57:S65)</f>
        <v>3.1100000000000003</v>
      </c>
      <c r="S66" s="103"/>
      <c r="T66" s="103">
        <f>SUM(T57:U65)</f>
        <v>1.6</v>
      </c>
      <c r="U66" s="103"/>
      <c r="V66" s="103">
        <f>SUM(V57:W65)</f>
        <v>1.51</v>
      </c>
      <c r="W66" s="103"/>
      <c r="X66" s="19"/>
      <c r="Y66" s="19"/>
      <c r="Z66" s="23"/>
      <c r="AA66" s="28">
        <f>SUM(AA57:AA65)</f>
        <v>11.5</v>
      </c>
    </row>
    <row r="67" spans="1:27" ht="26.25" customHeight="1">
      <c r="A67" s="29"/>
      <c r="B67" s="30" t="s">
        <v>96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2"/>
      <c r="S67" s="32"/>
      <c r="T67" s="32"/>
      <c r="U67" s="32"/>
      <c r="V67" s="32"/>
      <c r="W67" s="33"/>
      <c r="X67" s="34"/>
      <c r="Y67" s="34"/>
      <c r="Z67" s="34"/>
      <c r="AA67" s="34"/>
    </row>
    <row r="68" spans="1:27" ht="47.25" customHeight="1">
      <c r="A68" s="37">
        <v>1</v>
      </c>
      <c r="B68" s="107" t="s">
        <v>97</v>
      </c>
      <c r="C68" s="108"/>
      <c r="D68" s="108"/>
      <c r="E68" s="108"/>
      <c r="F68" s="108"/>
      <c r="G68" s="108"/>
      <c r="H68" s="108"/>
      <c r="I68" s="108"/>
      <c r="J68" s="105" t="s">
        <v>98</v>
      </c>
      <c r="K68" s="105"/>
      <c r="L68" s="105"/>
      <c r="M68" s="105"/>
      <c r="N68" s="61" t="s">
        <v>29</v>
      </c>
      <c r="O68" s="62"/>
      <c r="P68" s="62"/>
      <c r="Q68" s="63"/>
      <c r="R68" s="106">
        <v>0.52</v>
      </c>
      <c r="S68" s="106"/>
      <c r="T68" s="92">
        <f t="shared" ref="T68:T69" si="10">R68</f>
        <v>0.52</v>
      </c>
      <c r="U68" s="93"/>
      <c r="V68" s="92"/>
      <c r="W68" s="93"/>
      <c r="X68" s="19">
        <f t="shared" si="0"/>
        <v>115.38461538461539</v>
      </c>
      <c r="Y68" s="19">
        <f t="shared" si="1"/>
        <v>109.61538461538461</v>
      </c>
      <c r="Z68" s="23">
        <f t="shared" si="2"/>
        <v>1.659274386547114</v>
      </c>
      <c r="AA68" s="21">
        <v>2</v>
      </c>
    </row>
    <row r="69" spans="1:27" ht="26.25" customHeight="1">
      <c r="A69" s="37">
        <v>2</v>
      </c>
      <c r="B69" s="104" t="s">
        <v>99</v>
      </c>
      <c r="C69" s="104"/>
      <c r="D69" s="104"/>
      <c r="E69" s="104"/>
      <c r="F69" s="104"/>
      <c r="G69" s="104"/>
      <c r="H69" s="104"/>
      <c r="I69" s="104"/>
      <c r="J69" s="105" t="s">
        <v>33</v>
      </c>
      <c r="K69" s="105"/>
      <c r="L69" s="105"/>
      <c r="M69" s="105"/>
      <c r="N69" s="61" t="s">
        <v>74</v>
      </c>
      <c r="O69" s="62"/>
      <c r="P69" s="62"/>
      <c r="Q69" s="63"/>
      <c r="R69" s="106">
        <v>0.6</v>
      </c>
      <c r="S69" s="106"/>
      <c r="T69" s="92">
        <f t="shared" si="10"/>
        <v>0.6</v>
      </c>
      <c r="U69" s="93"/>
      <c r="V69" s="92"/>
      <c r="W69" s="93"/>
      <c r="X69" s="19">
        <f t="shared" si="0"/>
        <v>100</v>
      </c>
      <c r="Y69" s="19">
        <f t="shared" si="1"/>
        <v>95</v>
      </c>
      <c r="Z69" s="23">
        <f t="shared" si="2"/>
        <v>1.9145473690928236</v>
      </c>
      <c r="AA69" s="21">
        <v>2</v>
      </c>
    </row>
    <row r="70" spans="1:27" ht="26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103" t="s">
        <v>52</v>
      </c>
      <c r="O70" s="103"/>
      <c r="P70" s="103"/>
      <c r="Q70" s="103"/>
      <c r="R70" s="103">
        <f>SUM(R68:S69)</f>
        <v>1.1200000000000001</v>
      </c>
      <c r="S70" s="103"/>
      <c r="T70" s="103">
        <f>SUM(T68:U69)</f>
        <v>1.1200000000000001</v>
      </c>
      <c r="U70" s="103"/>
      <c r="V70" s="103">
        <f>SUM(V68:W69)</f>
        <v>0</v>
      </c>
      <c r="W70" s="103"/>
      <c r="X70" s="19"/>
      <c r="Y70" s="19"/>
      <c r="Z70" s="23"/>
      <c r="AA70" s="28">
        <f>SUM(AA68:AA69)</f>
        <v>4</v>
      </c>
    </row>
    <row r="71" spans="1:27" ht="26.25" customHeight="1">
      <c r="A71" s="11"/>
      <c r="B71" s="132" t="s">
        <v>100</v>
      </c>
      <c r="C71" s="133"/>
      <c r="D71" s="133"/>
      <c r="E71" s="133"/>
      <c r="F71" s="133"/>
      <c r="G71" s="133"/>
      <c r="H71" s="133"/>
      <c r="I71" s="134"/>
      <c r="J71" s="135"/>
      <c r="K71" s="58"/>
      <c r="L71" s="58"/>
      <c r="M71" s="136"/>
      <c r="N71" s="135"/>
      <c r="O71" s="58"/>
      <c r="P71" s="58"/>
      <c r="Q71" s="136"/>
      <c r="R71" s="135"/>
      <c r="S71" s="136"/>
      <c r="T71" s="135"/>
      <c r="U71" s="58"/>
      <c r="V71" s="14"/>
      <c r="W71" s="25"/>
      <c r="X71" s="26"/>
      <c r="Y71" s="26"/>
      <c r="Z71" s="26"/>
      <c r="AA71" s="26"/>
    </row>
    <row r="72" spans="1:27" ht="26.25" customHeight="1">
      <c r="A72" s="18">
        <v>1</v>
      </c>
      <c r="B72" s="59" t="s">
        <v>101</v>
      </c>
      <c r="C72" s="59"/>
      <c r="D72" s="59"/>
      <c r="E72" s="59"/>
      <c r="F72" s="59"/>
      <c r="G72" s="59"/>
      <c r="H72" s="59"/>
      <c r="I72" s="59"/>
      <c r="J72" s="60" t="s">
        <v>57</v>
      </c>
      <c r="K72" s="60"/>
      <c r="L72" s="60"/>
      <c r="M72" s="60"/>
      <c r="N72" s="61" t="s">
        <v>29</v>
      </c>
      <c r="O72" s="62"/>
      <c r="P72" s="62"/>
      <c r="Q72" s="63"/>
      <c r="R72" s="64">
        <v>0.6</v>
      </c>
      <c r="S72" s="64"/>
      <c r="T72" s="64"/>
      <c r="U72" s="64"/>
      <c r="V72" s="64">
        <f>R72</f>
        <v>0.6</v>
      </c>
      <c r="W72" s="64"/>
      <c r="X72" s="19">
        <f t="shared" ref="X72" si="11">60/R72</f>
        <v>100</v>
      </c>
      <c r="Y72" s="19">
        <f t="shared" ref="Y72" si="12">X72*0.95</f>
        <v>95</v>
      </c>
      <c r="Z72" s="23">
        <f t="shared" ref="Z72" si="13">AA$6/Y72</f>
        <v>1.9145473690928236</v>
      </c>
      <c r="AA72" s="21">
        <v>2</v>
      </c>
    </row>
    <row r="73" spans="1:27" ht="26.25" customHeight="1">
      <c r="A73" s="18">
        <v>2</v>
      </c>
      <c r="B73" s="59" t="s">
        <v>102</v>
      </c>
      <c r="C73" s="59"/>
      <c r="D73" s="59"/>
      <c r="E73" s="59"/>
      <c r="F73" s="59"/>
      <c r="G73" s="59"/>
      <c r="H73" s="59"/>
      <c r="I73" s="59"/>
      <c r="J73" s="60" t="s">
        <v>31</v>
      </c>
      <c r="K73" s="60"/>
      <c r="L73" s="60"/>
      <c r="M73" s="60"/>
      <c r="N73" s="61" t="s">
        <v>103</v>
      </c>
      <c r="O73" s="62"/>
      <c r="P73" s="62"/>
      <c r="Q73" s="63"/>
      <c r="R73" s="64">
        <v>0.65</v>
      </c>
      <c r="S73" s="64"/>
      <c r="T73" s="64">
        <f t="shared" ref="T73:T78" si="14">R73</f>
        <v>0.65</v>
      </c>
      <c r="U73" s="64"/>
      <c r="V73" s="64"/>
      <c r="W73" s="64"/>
      <c r="X73" s="19">
        <f t="shared" si="0"/>
        <v>92.307692307692307</v>
      </c>
      <c r="Y73" s="19">
        <f t="shared" si="1"/>
        <v>87.692307692307693</v>
      </c>
      <c r="Z73" s="23">
        <f t="shared" si="2"/>
        <v>2.0740929831838923</v>
      </c>
      <c r="AA73" s="21">
        <v>2.5</v>
      </c>
    </row>
    <row r="74" spans="1:27" ht="26.25" customHeight="1">
      <c r="A74" s="18">
        <v>3</v>
      </c>
      <c r="B74" s="59" t="s">
        <v>130</v>
      </c>
      <c r="C74" s="59"/>
      <c r="D74" s="59"/>
      <c r="E74" s="59"/>
      <c r="F74" s="59"/>
      <c r="G74" s="59"/>
      <c r="H74" s="59"/>
      <c r="I74" s="59"/>
      <c r="J74" s="60" t="s">
        <v>31</v>
      </c>
      <c r="K74" s="60"/>
      <c r="L74" s="60"/>
      <c r="M74" s="60"/>
      <c r="N74" s="61" t="s">
        <v>29</v>
      </c>
      <c r="O74" s="62"/>
      <c r="P74" s="62"/>
      <c r="Q74" s="63"/>
      <c r="R74" s="64">
        <v>0.74</v>
      </c>
      <c r="S74" s="64"/>
      <c r="T74" s="64">
        <f t="shared" si="14"/>
        <v>0.74</v>
      </c>
      <c r="U74" s="64"/>
      <c r="V74" s="64"/>
      <c r="W74" s="64"/>
      <c r="X74" s="19">
        <f t="shared" si="0"/>
        <v>81.081081081081081</v>
      </c>
      <c r="Y74" s="19">
        <f t="shared" si="1"/>
        <v>77.027027027027017</v>
      </c>
      <c r="Z74" s="23">
        <f t="shared" si="2"/>
        <v>2.3612750885478162</v>
      </c>
      <c r="AA74" s="21">
        <v>2.5</v>
      </c>
    </row>
    <row r="75" spans="1:27" ht="26.25" customHeight="1">
      <c r="A75" s="18">
        <v>4</v>
      </c>
      <c r="B75" s="59" t="s">
        <v>131</v>
      </c>
      <c r="C75" s="59"/>
      <c r="D75" s="59"/>
      <c r="E75" s="59"/>
      <c r="F75" s="59"/>
      <c r="G75" s="59"/>
      <c r="H75" s="59"/>
      <c r="I75" s="59"/>
      <c r="J75" s="60" t="s">
        <v>31</v>
      </c>
      <c r="K75" s="60"/>
      <c r="L75" s="60"/>
      <c r="M75" s="60"/>
      <c r="N75" s="61" t="s">
        <v>29</v>
      </c>
      <c r="O75" s="62"/>
      <c r="P75" s="62"/>
      <c r="Q75" s="63"/>
      <c r="R75" s="64">
        <v>0.65</v>
      </c>
      <c r="S75" s="64"/>
      <c r="T75" s="64">
        <f t="shared" si="14"/>
        <v>0.65</v>
      </c>
      <c r="U75" s="64"/>
      <c r="V75" s="64"/>
      <c r="W75" s="64"/>
      <c r="X75" s="19">
        <f t="shared" si="0"/>
        <v>92.307692307692307</v>
      </c>
      <c r="Y75" s="19">
        <f t="shared" si="1"/>
        <v>87.692307692307693</v>
      </c>
      <c r="Z75" s="23">
        <f t="shared" si="2"/>
        <v>2.0740929831838923</v>
      </c>
      <c r="AA75" s="21">
        <v>2.5</v>
      </c>
    </row>
    <row r="76" spans="1:27" ht="26.25" customHeight="1">
      <c r="A76" s="18">
        <v>5</v>
      </c>
      <c r="B76" s="59" t="s">
        <v>132</v>
      </c>
      <c r="C76" s="59"/>
      <c r="D76" s="59"/>
      <c r="E76" s="59"/>
      <c r="F76" s="59"/>
      <c r="G76" s="59"/>
      <c r="H76" s="59"/>
      <c r="I76" s="59"/>
      <c r="J76" s="60" t="s">
        <v>104</v>
      </c>
      <c r="K76" s="60"/>
      <c r="L76" s="60"/>
      <c r="M76" s="60"/>
      <c r="N76" s="61" t="s">
        <v>105</v>
      </c>
      <c r="O76" s="62"/>
      <c r="P76" s="62"/>
      <c r="Q76" s="63"/>
      <c r="R76" s="64">
        <v>0.84</v>
      </c>
      <c r="S76" s="64"/>
      <c r="T76" s="64">
        <f t="shared" si="14"/>
        <v>0.84</v>
      </c>
      <c r="U76" s="64"/>
      <c r="V76" s="64"/>
      <c r="W76" s="64"/>
      <c r="X76" s="19">
        <f t="shared" si="0"/>
        <v>71.428571428571431</v>
      </c>
      <c r="Y76" s="19">
        <f t="shared" si="1"/>
        <v>67.857142857142861</v>
      </c>
      <c r="Z76" s="23">
        <f t="shared" si="2"/>
        <v>2.6803663167299532</v>
      </c>
      <c r="AA76" s="21">
        <v>3</v>
      </c>
    </row>
    <row r="77" spans="1:27" ht="26.25" customHeight="1">
      <c r="A77" s="18">
        <v>6</v>
      </c>
      <c r="B77" s="59" t="s">
        <v>106</v>
      </c>
      <c r="C77" s="59"/>
      <c r="D77" s="59"/>
      <c r="E77" s="59"/>
      <c r="F77" s="59"/>
      <c r="G77" s="59"/>
      <c r="H77" s="59"/>
      <c r="I77" s="59"/>
      <c r="J77" s="60" t="s">
        <v>31</v>
      </c>
      <c r="K77" s="60"/>
      <c r="L77" s="60"/>
      <c r="M77" s="60"/>
      <c r="N77" s="61" t="s">
        <v>29</v>
      </c>
      <c r="O77" s="62"/>
      <c r="P77" s="62"/>
      <c r="Q77" s="63"/>
      <c r="R77" s="64">
        <v>0.75</v>
      </c>
      <c r="S77" s="64"/>
      <c r="T77" s="64">
        <f t="shared" si="14"/>
        <v>0.75</v>
      </c>
      <c r="U77" s="64"/>
      <c r="V77" s="64"/>
      <c r="W77" s="64"/>
      <c r="X77" s="19">
        <f t="shared" ref="X77:X84" si="15">60/R77</f>
        <v>80</v>
      </c>
      <c r="Y77" s="19">
        <f t="shared" ref="Y77:Y84" si="16">X77*0.95</f>
        <v>76</v>
      </c>
      <c r="Z77" s="23">
        <f t="shared" ref="Z77:Z84" si="17">AA$6/Y77</f>
        <v>2.3931842113660298</v>
      </c>
      <c r="AA77" s="21">
        <v>2.5</v>
      </c>
    </row>
    <row r="78" spans="1:27" ht="26.25" customHeight="1">
      <c r="A78" s="18">
        <v>7</v>
      </c>
      <c r="B78" s="59" t="s">
        <v>107</v>
      </c>
      <c r="C78" s="59"/>
      <c r="D78" s="59"/>
      <c r="E78" s="59"/>
      <c r="F78" s="59"/>
      <c r="G78" s="59"/>
      <c r="H78" s="59"/>
      <c r="I78" s="59"/>
      <c r="J78" s="60" t="s">
        <v>108</v>
      </c>
      <c r="K78" s="60"/>
      <c r="L78" s="60"/>
      <c r="M78" s="60"/>
      <c r="N78" s="61" t="s">
        <v>105</v>
      </c>
      <c r="O78" s="62"/>
      <c r="P78" s="62"/>
      <c r="Q78" s="63"/>
      <c r="R78" s="67">
        <v>0.95</v>
      </c>
      <c r="S78" s="67"/>
      <c r="T78" s="64">
        <f t="shared" si="14"/>
        <v>0.95</v>
      </c>
      <c r="U78" s="64"/>
      <c r="V78" s="64"/>
      <c r="W78" s="64"/>
      <c r="X78" s="19">
        <f t="shared" si="15"/>
        <v>63.15789473684211</v>
      </c>
      <c r="Y78" s="19">
        <f t="shared" si="16"/>
        <v>60</v>
      </c>
      <c r="Z78" s="23">
        <f t="shared" si="17"/>
        <v>3.0313666677303042</v>
      </c>
      <c r="AA78" s="21">
        <v>3</v>
      </c>
    </row>
    <row r="79" spans="1:27" ht="26.25" customHeight="1">
      <c r="A79" s="18">
        <v>8</v>
      </c>
      <c r="B79" s="59" t="s">
        <v>133</v>
      </c>
      <c r="C79" s="59"/>
      <c r="D79" s="59"/>
      <c r="E79" s="59"/>
      <c r="F79" s="59"/>
      <c r="G79" s="59"/>
      <c r="H79" s="59"/>
      <c r="I79" s="59"/>
      <c r="J79" s="60" t="s">
        <v>87</v>
      </c>
      <c r="K79" s="60"/>
      <c r="L79" s="60"/>
      <c r="M79" s="60"/>
      <c r="N79" s="61" t="s">
        <v>29</v>
      </c>
      <c r="O79" s="62"/>
      <c r="P79" s="62"/>
      <c r="Q79" s="63"/>
      <c r="R79" s="64">
        <v>0.41</v>
      </c>
      <c r="S79" s="64"/>
      <c r="T79" s="64"/>
      <c r="U79" s="64"/>
      <c r="V79" s="64">
        <f>R79</f>
        <v>0.41</v>
      </c>
      <c r="W79" s="64"/>
      <c r="X79" s="19">
        <f t="shared" si="15"/>
        <v>146.34146341463415</v>
      </c>
      <c r="Y79" s="19">
        <f t="shared" si="16"/>
        <v>139.02439024390245</v>
      </c>
      <c r="Z79" s="23">
        <f t="shared" si="17"/>
        <v>1.3082740355467628</v>
      </c>
      <c r="AA79" s="21">
        <v>1.5</v>
      </c>
    </row>
    <row r="80" spans="1:27" ht="26.25" customHeight="1">
      <c r="A80" s="18">
        <v>9</v>
      </c>
      <c r="B80" s="59" t="s">
        <v>134</v>
      </c>
      <c r="C80" s="59"/>
      <c r="D80" s="59"/>
      <c r="E80" s="59"/>
      <c r="F80" s="59"/>
      <c r="G80" s="59"/>
      <c r="H80" s="59"/>
      <c r="I80" s="59"/>
      <c r="J80" s="60" t="s">
        <v>31</v>
      </c>
      <c r="K80" s="60"/>
      <c r="L80" s="60"/>
      <c r="M80" s="60"/>
      <c r="N80" s="61" t="s">
        <v>29</v>
      </c>
      <c r="O80" s="62"/>
      <c r="P80" s="62"/>
      <c r="Q80" s="63"/>
      <c r="R80" s="67">
        <v>1.1000000000000001</v>
      </c>
      <c r="S80" s="67"/>
      <c r="T80" s="64">
        <f>R80</f>
        <v>1.1000000000000001</v>
      </c>
      <c r="U80" s="64"/>
      <c r="V80" s="64"/>
      <c r="W80" s="64"/>
      <c r="X80" s="19">
        <f t="shared" si="15"/>
        <v>54.54545454545454</v>
      </c>
      <c r="Y80" s="19">
        <f t="shared" si="16"/>
        <v>51.818181818181813</v>
      </c>
      <c r="Z80" s="23">
        <f t="shared" si="17"/>
        <v>3.5100035100035103</v>
      </c>
      <c r="AA80" s="21">
        <v>3.5</v>
      </c>
    </row>
    <row r="81" spans="1:27" ht="26.25" customHeight="1">
      <c r="A81" s="18">
        <v>10</v>
      </c>
      <c r="B81" s="59" t="s">
        <v>109</v>
      </c>
      <c r="C81" s="59"/>
      <c r="D81" s="59"/>
      <c r="E81" s="59"/>
      <c r="F81" s="59"/>
      <c r="G81" s="59"/>
      <c r="H81" s="59"/>
      <c r="I81" s="59"/>
      <c r="J81" s="60" t="s">
        <v>84</v>
      </c>
      <c r="K81" s="60"/>
      <c r="L81" s="60"/>
      <c r="M81" s="60"/>
      <c r="N81" s="61" t="s">
        <v>29</v>
      </c>
      <c r="O81" s="62"/>
      <c r="P81" s="62"/>
      <c r="Q81" s="63"/>
      <c r="R81" s="60">
        <v>0.4</v>
      </c>
      <c r="S81" s="60"/>
      <c r="T81" s="60"/>
      <c r="U81" s="60"/>
      <c r="V81" s="60">
        <f>R81</f>
        <v>0.4</v>
      </c>
      <c r="W81" s="60"/>
      <c r="X81" s="19">
        <f>60/R81</f>
        <v>150</v>
      </c>
      <c r="Y81" s="19">
        <f>X81*0.95</f>
        <v>142.5</v>
      </c>
      <c r="Z81" s="23">
        <f>AA$6/Y81</f>
        <v>1.2763649127285492</v>
      </c>
      <c r="AA81" s="21">
        <v>1.5</v>
      </c>
    </row>
    <row r="82" spans="1:27" ht="26.25" customHeight="1">
      <c r="A82" s="18">
        <v>11</v>
      </c>
      <c r="B82" s="59" t="s">
        <v>110</v>
      </c>
      <c r="C82" s="59"/>
      <c r="D82" s="59"/>
      <c r="E82" s="59"/>
      <c r="F82" s="59"/>
      <c r="G82" s="59"/>
      <c r="H82" s="59"/>
      <c r="I82" s="59"/>
      <c r="J82" s="60" t="s">
        <v>31</v>
      </c>
      <c r="K82" s="60"/>
      <c r="L82" s="60"/>
      <c r="M82" s="60"/>
      <c r="N82" s="61" t="s">
        <v>111</v>
      </c>
      <c r="O82" s="62"/>
      <c r="P82" s="62"/>
      <c r="Q82" s="63"/>
      <c r="R82" s="60">
        <v>0.75</v>
      </c>
      <c r="S82" s="60"/>
      <c r="T82" s="60">
        <f>R82</f>
        <v>0.75</v>
      </c>
      <c r="U82" s="60"/>
      <c r="V82" s="60"/>
      <c r="W82" s="60"/>
      <c r="X82" s="19">
        <f t="shared" si="15"/>
        <v>80</v>
      </c>
      <c r="Y82" s="19">
        <f t="shared" si="16"/>
        <v>76</v>
      </c>
      <c r="Z82" s="23">
        <f t="shared" si="17"/>
        <v>2.3931842113660298</v>
      </c>
      <c r="AA82" s="21">
        <v>2.5</v>
      </c>
    </row>
    <row r="83" spans="1:27" ht="26.25" customHeight="1">
      <c r="A83" s="18">
        <v>12</v>
      </c>
      <c r="B83" s="77" t="s">
        <v>112</v>
      </c>
      <c r="C83" s="78"/>
      <c r="D83" s="78"/>
      <c r="E83" s="78"/>
      <c r="F83" s="78"/>
      <c r="G83" s="78"/>
      <c r="H83" s="78"/>
      <c r="I83" s="79"/>
      <c r="J83" s="61" t="s">
        <v>31</v>
      </c>
      <c r="K83" s="62"/>
      <c r="L83" s="62"/>
      <c r="M83" s="63"/>
      <c r="N83" s="61" t="s">
        <v>29</v>
      </c>
      <c r="O83" s="62"/>
      <c r="P83" s="62"/>
      <c r="Q83" s="63"/>
      <c r="R83" s="60">
        <v>0.8</v>
      </c>
      <c r="S83" s="60"/>
      <c r="T83" s="60">
        <f>R83</f>
        <v>0.8</v>
      </c>
      <c r="U83" s="60"/>
      <c r="V83" s="60"/>
      <c r="W83" s="60"/>
      <c r="X83" s="19">
        <f t="shared" si="15"/>
        <v>75</v>
      </c>
      <c r="Y83" s="19">
        <f t="shared" si="16"/>
        <v>71.25</v>
      </c>
      <c r="Z83" s="23">
        <f t="shared" si="17"/>
        <v>2.5527298254570985</v>
      </c>
      <c r="AA83" s="21">
        <v>2.5</v>
      </c>
    </row>
    <row r="84" spans="1:27" ht="26.25" customHeight="1">
      <c r="A84" s="18">
        <v>13</v>
      </c>
      <c r="B84" s="59" t="s">
        <v>113</v>
      </c>
      <c r="C84" s="59"/>
      <c r="D84" s="59"/>
      <c r="E84" s="59"/>
      <c r="F84" s="59"/>
      <c r="G84" s="59"/>
      <c r="H84" s="59"/>
      <c r="I84" s="59"/>
      <c r="J84" s="60" t="s">
        <v>114</v>
      </c>
      <c r="K84" s="60"/>
      <c r="L84" s="60"/>
      <c r="M84" s="60"/>
      <c r="N84" s="61" t="s">
        <v>29</v>
      </c>
      <c r="O84" s="62"/>
      <c r="P84" s="62"/>
      <c r="Q84" s="63"/>
      <c r="R84" s="60">
        <v>1</v>
      </c>
      <c r="S84" s="60"/>
      <c r="T84" s="60">
        <f>R84</f>
        <v>1</v>
      </c>
      <c r="U84" s="60"/>
      <c r="V84" s="60"/>
      <c r="W84" s="60"/>
      <c r="X84" s="19">
        <f t="shared" si="15"/>
        <v>60</v>
      </c>
      <c r="Y84" s="19">
        <f t="shared" si="16"/>
        <v>57</v>
      </c>
      <c r="Z84" s="23">
        <f t="shared" si="17"/>
        <v>3.1909122818213729</v>
      </c>
      <c r="AA84" s="21">
        <v>3.5</v>
      </c>
    </row>
    <row r="85" spans="1:27" ht="26.25" customHeight="1">
      <c r="A85" s="38"/>
      <c r="B85" s="109"/>
      <c r="C85" s="110"/>
      <c r="D85" s="110"/>
      <c r="E85" s="110"/>
      <c r="F85" s="110"/>
      <c r="G85" s="110"/>
      <c r="H85" s="110"/>
      <c r="I85" s="111"/>
      <c r="J85" s="112"/>
      <c r="K85" s="113"/>
      <c r="L85" s="113"/>
      <c r="M85" s="114"/>
      <c r="N85" s="115" t="s">
        <v>52</v>
      </c>
      <c r="O85" s="71"/>
      <c r="P85" s="71"/>
      <c r="Q85" s="71"/>
      <c r="R85" s="71">
        <f>SUM(R72:S84)</f>
        <v>9.6400000000000023</v>
      </c>
      <c r="S85" s="71"/>
      <c r="T85" s="71">
        <f>SUM(T72:U84)</f>
        <v>8.23</v>
      </c>
      <c r="U85" s="71"/>
      <c r="V85" s="71">
        <f>SUM(V72:W84)</f>
        <v>1.4100000000000001</v>
      </c>
      <c r="W85" s="71"/>
      <c r="X85" s="19"/>
      <c r="Y85" s="19"/>
      <c r="Z85" s="23"/>
      <c r="AA85" s="28">
        <f>SUM(AA72:AA84)</f>
        <v>33</v>
      </c>
    </row>
    <row r="86" spans="1:27" ht="26.25" customHeight="1">
      <c r="A86" s="119" t="s">
        <v>115</v>
      </c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1"/>
      <c r="R86" s="122">
        <f>SUM(R13:S29,R32:S45,R68:S69,R72:S84,R57:S65,R48:S54)</f>
        <v>28.49</v>
      </c>
      <c r="S86" s="123"/>
      <c r="T86" s="122">
        <f t="shared" ref="T86:W86" si="18">SUM(T13:U29,T32:U45,T68:U69,T72:U84,T57:U65,T48:U54)</f>
        <v>21.88</v>
      </c>
      <c r="U86" s="123"/>
      <c r="V86" s="122">
        <f t="shared" ref="V86:W86" si="19">SUM(V13:W29,V32:W45,V68:W69,V72:W84,V57:W65,V48:W54)</f>
        <v>6.61</v>
      </c>
      <c r="W86" s="123"/>
      <c r="X86" s="19"/>
      <c r="Y86" s="19"/>
      <c r="Z86" s="23"/>
      <c r="AA86" s="28">
        <f>AA85+AA70+AA46+AA30+AA66+AA55</f>
        <v>102.5</v>
      </c>
    </row>
    <row r="87" spans="1:27" ht="26.25" customHeight="1">
      <c r="A87" s="124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6"/>
      <c r="S87" s="126"/>
      <c r="T87" s="126"/>
      <c r="U87" s="126"/>
      <c r="V87" s="126"/>
      <c r="W87" s="126"/>
      <c r="X87" s="19"/>
      <c r="Y87" s="19"/>
      <c r="Z87" s="23"/>
      <c r="AA87" s="21"/>
    </row>
    <row r="88" spans="1:27" ht="26.25" customHeight="1">
      <c r="A88" s="39"/>
      <c r="B88" s="116" t="s">
        <v>116</v>
      </c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7">
        <v>0.05</v>
      </c>
      <c r="O88" s="117"/>
      <c r="P88" s="117"/>
      <c r="Q88" s="117"/>
      <c r="R88" s="117"/>
      <c r="S88" s="117"/>
      <c r="T88" s="118">
        <f>N88</f>
        <v>0.05</v>
      </c>
      <c r="U88" s="118"/>
      <c r="V88" s="118">
        <f>N88</f>
        <v>0.05</v>
      </c>
      <c r="W88" s="118"/>
      <c r="X88" s="19"/>
      <c r="Y88" s="19"/>
      <c r="Z88" s="23"/>
      <c r="AA88" s="21"/>
    </row>
    <row r="89" spans="1:27" ht="26.25" customHeight="1">
      <c r="A89" s="39"/>
      <c r="B89" s="116" t="s">
        <v>117</v>
      </c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7">
        <v>0.05</v>
      </c>
      <c r="O89" s="117"/>
      <c r="P89" s="117"/>
      <c r="Q89" s="117"/>
      <c r="R89" s="117"/>
      <c r="S89" s="117"/>
      <c r="T89" s="118">
        <f>N89</f>
        <v>0.05</v>
      </c>
      <c r="U89" s="118"/>
      <c r="V89" s="118">
        <f>N89</f>
        <v>0.05</v>
      </c>
      <c r="W89" s="64"/>
      <c r="X89" s="19"/>
      <c r="Y89" s="19"/>
      <c r="Z89" s="23"/>
      <c r="AA89" s="21"/>
    </row>
    <row r="90" spans="1:27" ht="26.25" customHeight="1">
      <c r="A90" s="39"/>
      <c r="B90" s="116" t="s">
        <v>118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7">
        <v>0</v>
      </c>
      <c r="O90" s="117"/>
      <c r="P90" s="117"/>
      <c r="Q90" s="117"/>
      <c r="R90" s="117"/>
      <c r="S90" s="117"/>
      <c r="T90" s="118">
        <f>N90</f>
        <v>0</v>
      </c>
      <c r="U90" s="64"/>
      <c r="V90" s="118">
        <f>N90</f>
        <v>0</v>
      </c>
      <c r="W90" s="64"/>
      <c r="X90" s="19"/>
      <c r="Y90" s="19"/>
      <c r="Z90" s="23"/>
      <c r="AA90" s="21"/>
    </row>
    <row r="91" spans="1:27" ht="26.25" customHeight="1">
      <c r="A91" s="40"/>
      <c r="B91" s="116" t="s">
        <v>119</v>
      </c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7">
        <v>0</v>
      </c>
      <c r="O91" s="117"/>
      <c r="P91" s="117"/>
      <c r="Q91" s="117"/>
      <c r="R91" s="117"/>
      <c r="S91" s="117"/>
      <c r="T91" s="118">
        <f>N91</f>
        <v>0</v>
      </c>
      <c r="U91" s="64"/>
      <c r="V91" s="118">
        <f>N91</f>
        <v>0</v>
      </c>
      <c r="W91" s="64"/>
      <c r="X91" s="19"/>
      <c r="Y91" s="19"/>
      <c r="Z91" s="23"/>
      <c r="AA91" s="21"/>
    </row>
    <row r="92" spans="1:27" ht="26.25" customHeight="1">
      <c r="A92" s="116" t="s">
        <v>120</v>
      </c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8"/>
      <c r="S92" s="129"/>
      <c r="T92" s="130">
        <f>SUM(T88:U91)</f>
        <v>0.1</v>
      </c>
      <c r="U92" s="130"/>
      <c r="V92" s="130">
        <f>SUM(V88:W91)</f>
        <v>0.1</v>
      </c>
      <c r="W92" s="130"/>
      <c r="X92" s="19"/>
      <c r="Y92" s="19"/>
      <c r="Z92" s="23"/>
      <c r="AA92" s="21"/>
    </row>
    <row r="93" spans="1:27" ht="26.25" customHeight="1">
      <c r="A93" s="127" t="s">
        <v>121</v>
      </c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31">
        <f>T93+V93</f>
        <v>31.338999999999999</v>
      </c>
      <c r="S93" s="131"/>
      <c r="T93" s="131">
        <f>(T86*T92)+T86</f>
        <v>24.067999999999998</v>
      </c>
      <c r="U93" s="131"/>
      <c r="V93" s="131">
        <f>(V86*V92)+V86</f>
        <v>7.2710000000000008</v>
      </c>
      <c r="W93" s="131"/>
      <c r="X93" s="19"/>
      <c r="Y93" s="19"/>
      <c r="Z93" s="23"/>
      <c r="AA93" s="21"/>
    </row>
  </sheetData>
  <mergeCells count="461">
    <mergeCell ref="B36:I36"/>
    <mergeCell ref="J36:M36"/>
    <mergeCell ref="N36:Q36"/>
    <mergeCell ref="R36:S36"/>
    <mergeCell ref="T36:U36"/>
    <mergeCell ref="V36:W36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N70:Q70"/>
    <mergeCell ref="R70:S70"/>
    <mergeCell ref="T70:U70"/>
    <mergeCell ref="V70:W70"/>
    <mergeCell ref="B71:I71"/>
    <mergeCell ref="J71:M71"/>
    <mergeCell ref="N71:Q71"/>
    <mergeCell ref="R71:S71"/>
    <mergeCell ref="T71:U71"/>
    <mergeCell ref="A92:Q92"/>
    <mergeCell ref="R92:S92"/>
    <mergeCell ref="T92:U92"/>
    <mergeCell ref="V92:W92"/>
    <mergeCell ref="A93:Q93"/>
    <mergeCell ref="R93:S93"/>
    <mergeCell ref="T93:U93"/>
    <mergeCell ref="V93:W93"/>
    <mergeCell ref="B90:M90"/>
    <mergeCell ref="N90:S90"/>
    <mergeCell ref="T90:U90"/>
    <mergeCell ref="V90:W90"/>
    <mergeCell ref="B91:M91"/>
    <mergeCell ref="N91:S91"/>
    <mergeCell ref="T91:U91"/>
    <mergeCell ref="V91:W91"/>
    <mergeCell ref="B88:M88"/>
    <mergeCell ref="N88:S88"/>
    <mergeCell ref="T88:U88"/>
    <mergeCell ref="V88:W88"/>
    <mergeCell ref="B89:M89"/>
    <mergeCell ref="N89:S89"/>
    <mergeCell ref="T89:U89"/>
    <mergeCell ref="V89:W89"/>
    <mergeCell ref="A86:Q86"/>
    <mergeCell ref="R86:S86"/>
    <mergeCell ref="T86:U86"/>
    <mergeCell ref="V86:W86"/>
    <mergeCell ref="A87:Q87"/>
    <mergeCell ref="R87:S87"/>
    <mergeCell ref="T87:U87"/>
    <mergeCell ref="V87:W87"/>
    <mergeCell ref="B85:I85"/>
    <mergeCell ref="J85:M85"/>
    <mergeCell ref="N85:Q85"/>
    <mergeCell ref="R85:S85"/>
    <mergeCell ref="T85:U85"/>
    <mergeCell ref="V85:W85"/>
    <mergeCell ref="B84:I84"/>
    <mergeCell ref="J84:M84"/>
    <mergeCell ref="N84:Q84"/>
    <mergeCell ref="R84:S84"/>
    <mergeCell ref="T84:U84"/>
    <mergeCell ref="V84:W84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69:I69"/>
    <mergeCell ref="J69:M69"/>
    <mergeCell ref="N69:Q69"/>
    <mergeCell ref="R69:S69"/>
    <mergeCell ref="T69:U69"/>
    <mergeCell ref="V69:W69"/>
    <mergeCell ref="B65:I65"/>
    <mergeCell ref="J65:M65"/>
    <mergeCell ref="N65:Q65"/>
    <mergeCell ref="R65:S65"/>
    <mergeCell ref="T65:U65"/>
    <mergeCell ref="V65:W65"/>
    <mergeCell ref="N66:Q66"/>
    <mergeCell ref="R66:S66"/>
    <mergeCell ref="T66:U66"/>
    <mergeCell ref="V66:W66"/>
    <mergeCell ref="B68:I68"/>
    <mergeCell ref="J68:M68"/>
    <mergeCell ref="N68:Q68"/>
    <mergeCell ref="R68:S68"/>
    <mergeCell ref="T68:U68"/>
    <mergeCell ref="V68:W68"/>
    <mergeCell ref="B64:I64"/>
    <mergeCell ref="J64:M64"/>
    <mergeCell ref="N64:Q64"/>
    <mergeCell ref="R64:S64"/>
    <mergeCell ref="T64:U64"/>
    <mergeCell ref="V64:W64"/>
    <mergeCell ref="B63:I63"/>
    <mergeCell ref="J63:M63"/>
    <mergeCell ref="N63:Q63"/>
    <mergeCell ref="R63:S63"/>
    <mergeCell ref="T63:U63"/>
    <mergeCell ref="V63:W63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N55:Q55"/>
    <mergeCell ref="R55:S55"/>
    <mergeCell ref="T55:U55"/>
    <mergeCell ref="V55:W55"/>
    <mergeCell ref="B57:I57"/>
    <mergeCell ref="J57:M57"/>
    <mergeCell ref="N57:Q57"/>
    <mergeCell ref="R57:S57"/>
    <mergeCell ref="T57:U57"/>
    <mergeCell ref="V57:W57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N46:Q46"/>
    <mergeCell ref="R46:S46"/>
    <mergeCell ref="T46:U46"/>
    <mergeCell ref="V46:W46"/>
    <mergeCell ref="B48:I48"/>
    <mergeCell ref="J48:M48"/>
    <mergeCell ref="N48:Q48"/>
    <mergeCell ref="R48:S48"/>
    <mergeCell ref="T48:U48"/>
    <mergeCell ref="V48:W48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3:I33"/>
    <mergeCell ref="J33:M33"/>
    <mergeCell ref="N33:Q33"/>
    <mergeCell ref="R33:S33"/>
    <mergeCell ref="T33:U33"/>
    <mergeCell ref="V33:W33"/>
    <mergeCell ref="B34:I34"/>
    <mergeCell ref="J34:M34"/>
    <mergeCell ref="N34:Q34"/>
    <mergeCell ref="R34:S34"/>
    <mergeCell ref="T34:U34"/>
    <mergeCell ref="V34:W34"/>
    <mergeCell ref="B35:I35"/>
    <mergeCell ref="J35:M35"/>
    <mergeCell ref="N35:Q35"/>
    <mergeCell ref="R35:S35"/>
    <mergeCell ref="T35:U35"/>
    <mergeCell ref="V35:W35"/>
    <mergeCell ref="N30:Q30"/>
    <mergeCell ref="R30:S30"/>
    <mergeCell ref="T30:U30"/>
    <mergeCell ref="V30:W30"/>
    <mergeCell ref="B32:I32"/>
    <mergeCell ref="J32:M32"/>
    <mergeCell ref="N32:Q32"/>
    <mergeCell ref="R32:S32"/>
    <mergeCell ref="T32:U32"/>
    <mergeCell ref="V32:W32"/>
    <mergeCell ref="B29:I29"/>
    <mergeCell ref="J29:M29"/>
    <mergeCell ref="N29:Q29"/>
    <mergeCell ref="R29:S29"/>
    <mergeCell ref="T29:U29"/>
    <mergeCell ref="V29:W29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R12:S12"/>
    <mergeCell ref="T12:U12"/>
    <mergeCell ref="V12:W12"/>
    <mergeCell ref="B13:I13"/>
    <mergeCell ref="J13:M13"/>
    <mergeCell ref="N13:Q13"/>
    <mergeCell ref="R13:S13"/>
    <mergeCell ref="T13:U13"/>
    <mergeCell ref="V13:W13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A1:W1"/>
    <mergeCell ref="A3:B5"/>
    <mergeCell ref="C3:G5"/>
    <mergeCell ref="H3:H5"/>
    <mergeCell ref="I3:I5"/>
    <mergeCell ref="J3:K5"/>
    <mergeCell ref="L3:P3"/>
    <mergeCell ref="S3:T5"/>
    <mergeCell ref="U3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dcterms:created xsi:type="dcterms:W3CDTF">2025-04-16T08:02:57Z</dcterms:created>
  <dcterms:modified xsi:type="dcterms:W3CDTF">2026-01-31T08:22:53Z</dcterms:modified>
  <cp:category/>
  <cp:contentStatus/>
</cp:coreProperties>
</file>