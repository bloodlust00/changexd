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Line-1\"/>
    </mc:Choice>
  </mc:AlternateContent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Sheet1!$A$1:$AA$95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6" i="1" l="1"/>
  <c r="V93" i="1"/>
  <c r="T93" i="1"/>
  <c r="R93" i="1"/>
  <c r="AA85" i="1"/>
  <c r="AA86" i="1"/>
  <c r="T86" i="1"/>
  <c r="V86" i="1"/>
  <c r="AA42" i="1"/>
  <c r="R42" i="1"/>
  <c r="AA72" i="1"/>
  <c r="V72" i="1"/>
  <c r="R72" i="1"/>
  <c r="X34" i="1"/>
  <c r="Y34" i="1" s="1"/>
  <c r="T34" i="1"/>
  <c r="X44" i="1" l="1"/>
  <c r="Y44" i="1" s="1"/>
  <c r="T44" i="1"/>
  <c r="AA52" i="1"/>
  <c r="R52" i="1"/>
  <c r="AA63" i="1"/>
  <c r="R63" i="1"/>
  <c r="Q95" i="1"/>
  <c r="V91" i="1"/>
  <c r="T91" i="1"/>
  <c r="V90" i="1"/>
  <c r="T90" i="1"/>
  <c r="V89" i="1"/>
  <c r="T89" i="1"/>
  <c r="V88" i="1"/>
  <c r="T88" i="1"/>
  <c r="R85" i="1"/>
  <c r="X84" i="1"/>
  <c r="Y84" i="1" s="1"/>
  <c r="T84" i="1"/>
  <c r="X83" i="1"/>
  <c r="Y83" i="1" s="1"/>
  <c r="T83" i="1"/>
  <c r="X82" i="1"/>
  <c r="Y82" i="1" s="1"/>
  <c r="V82" i="1"/>
  <c r="X81" i="1"/>
  <c r="Y81" i="1" s="1"/>
  <c r="T81" i="1"/>
  <c r="X80" i="1"/>
  <c r="Y80" i="1" s="1"/>
  <c r="T80" i="1"/>
  <c r="X79" i="1"/>
  <c r="Y79" i="1" s="1"/>
  <c r="T79" i="1"/>
  <c r="X78" i="1"/>
  <c r="Y78" i="1" s="1"/>
  <c r="T78" i="1"/>
  <c r="X77" i="1"/>
  <c r="Y77" i="1" s="1"/>
  <c r="T77" i="1"/>
  <c r="X76" i="1"/>
  <c r="Y76" i="1" s="1"/>
  <c r="T76" i="1"/>
  <c r="X75" i="1"/>
  <c r="Y75" i="1" s="1"/>
  <c r="T75" i="1"/>
  <c r="X74" i="1"/>
  <c r="Y74" i="1" s="1"/>
  <c r="V74" i="1"/>
  <c r="X71" i="1"/>
  <c r="Y71" i="1" s="1"/>
  <c r="T71" i="1"/>
  <c r="X70" i="1"/>
  <c r="Y70" i="1" s="1"/>
  <c r="T70" i="1"/>
  <c r="X69" i="1"/>
  <c r="Y69" i="1" s="1"/>
  <c r="T69" i="1"/>
  <c r="X68" i="1"/>
  <c r="Y68" i="1" s="1"/>
  <c r="T68" i="1"/>
  <c r="X67" i="1"/>
  <c r="Y67" i="1" s="1"/>
  <c r="T67" i="1"/>
  <c r="X66" i="1"/>
  <c r="Y66" i="1" s="1"/>
  <c r="T66" i="1"/>
  <c r="X65" i="1"/>
  <c r="Y65" i="1" s="1"/>
  <c r="T65" i="1"/>
  <c r="X62" i="1"/>
  <c r="Y62" i="1" s="1"/>
  <c r="T62" i="1"/>
  <c r="X61" i="1"/>
  <c r="Y61" i="1" s="1"/>
  <c r="T61" i="1"/>
  <c r="X60" i="1"/>
  <c r="Y60" i="1" s="1"/>
  <c r="T60" i="1"/>
  <c r="X59" i="1"/>
  <c r="Y59" i="1" s="1"/>
  <c r="V59" i="1"/>
  <c r="X58" i="1"/>
  <c r="Y58" i="1" s="1"/>
  <c r="V58" i="1"/>
  <c r="X57" i="1"/>
  <c r="Y57" i="1" s="1"/>
  <c r="V57" i="1"/>
  <c r="X56" i="1"/>
  <c r="Y56" i="1" s="1"/>
  <c r="V56" i="1"/>
  <c r="X55" i="1"/>
  <c r="Y55" i="1" s="1"/>
  <c r="T55" i="1"/>
  <c r="X54" i="1"/>
  <c r="Y54" i="1" s="1"/>
  <c r="V54" i="1"/>
  <c r="X51" i="1"/>
  <c r="Y51" i="1" s="1"/>
  <c r="T51" i="1"/>
  <c r="X50" i="1"/>
  <c r="Y50" i="1" s="1"/>
  <c r="T50" i="1"/>
  <c r="X49" i="1"/>
  <c r="Y49" i="1" s="1"/>
  <c r="V49" i="1"/>
  <c r="X48" i="1"/>
  <c r="Y48" i="1" s="1"/>
  <c r="T48" i="1"/>
  <c r="X47" i="1"/>
  <c r="Y47" i="1" s="1"/>
  <c r="V47" i="1"/>
  <c r="V52" i="1" s="1"/>
  <c r="X46" i="1"/>
  <c r="Y46" i="1" s="1"/>
  <c r="T46" i="1"/>
  <c r="X45" i="1"/>
  <c r="Y45" i="1" s="1"/>
  <c r="T45" i="1"/>
  <c r="X40" i="1"/>
  <c r="Y40" i="1" s="1"/>
  <c r="T40" i="1"/>
  <c r="X39" i="1"/>
  <c r="Y39" i="1" s="1"/>
  <c r="T39" i="1"/>
  <c r="X41" i="1"/>
  <c r="Y41" i="1" s="1"/>
  <c r="V41" i="1"/>
  <c r="X38" i="1"/>
  <c r="Y38" i="1" s="1"/>
  <c r="T38" i="1"/>
  <c r="X37" i="1"/>
  <c r="Y37" i="1" s="1"/>
  <c r="V37" i="1"/>
  <c r="X36" i="1"/>
  <c r="Y36" i="1" s="1"/>
  <c r="T36" i="1"/>
  <c r="R33" i="1"/>
  <c r="R32" i="1"/>
  <c r="R31" i="1"/>
  <c r="X30" i="1"/>
  <c r="Y30" i="1" s="1"/>
  <c r="V30" i="1"/>
  <c r="X35" i="1"/>
  <c r="Y35" i="1" s="1"/>
  <c r="T35" i="1"/>
  <c r="X29" i="1"/>
  <c r="Y29" i="1" s="1"/>
  <c r="T29" i="1"/>
  <c r="X28" i="1"/>
  <c r="Y28" i="1" s="1"/>
  <c r="V28" i="1"/>
  <c r="AA26" i="1"/>
  <c r="R26" i="1"/>
  <c r="X25" i="1"/>
  <c r="Y25" i="1" s="1"/>
  <c r="T25" i="1"/>
  <c r="X24" i="1"/>
  <c r="Y24" i="1" s="1"/>
  <c r="V24" i="1"/>
  <c r="X23" i="1"/>
  <c r="Y23" i="1" s="1"/>
  <c r="V23" i="1"/>
  <c r="X22" i="1"/>
  <c r="Y22" i="1" s="1"/>
  <c r="V22" i="1"/>
  <c r="X21" i="1"/>
  <c r="Y21" i="1" s="1"/>
  <c r="T21" i="1"/>
  <c r="X20" i="1"/>
  <c r="Y20" i="1" s="1"/>
  <c r="V20" i="1"/>
  <c r="X19" i="1"/>
  <c r="Y19" i="1" s="1"/>
  <c r="T19" i="1"/>
  <c r="X18" i="1"/>
  <c r="Y18" i="1" s="1"/>
  <c r="T18" i="1"/>
  <c r="X17" i="1"/>
  <c r="Y17" i="1" s="1"/>
  <c r="T17" i="1"/>
  <c r="X16" i="1"/>
  <c r="Y16" i="1" s="1"/>
  <c r="T16" i="1"/>
  <c r="X15" i="1"/>
  <c r="Y15" i="1" s="1"/>
  <c r="V15" i="1"/>
  <c r="X14" i="1"/>
  <c r="Y14" i="1" s="1"/>
  <c r="T14" i="1"/>
  <c r="X13" i="1"/>
  <c r="Y13" i="1" s="1"/>
  <c r="V13" i="1"/>
  <c r="X12" i="1"/>
  <c r="Y12" i="1" s="1"/>
  <c r="T12" i="1"/>
  <c r="U4" i="1"/>
  <c r="T72" i="1" l="1"/>
  <c r="T92" i="1"/>
  <c r="V85" i="1"/>
  <c r="V63" i="1"/>
  <c r="T63" i="1"/>
  <c r="T85" i="1"/>
  <c r="V92" i="1"/>
  <c r="T52" i="1"/>
  <c r="T26" i="1"/>
  <c r="V26" i="1"/>
  <c r="X31" i="1"/>
  <c r="Y31" i="1" s="1"/>
  <c r="V31" i="1"/>
  <c r="X32" i="1"/>
  <c r="Y32" i="1" s="1"/>
  <c r="T32" i="1"/>
  <c r="X33" i="1"/>
  <c r="Y33" i="1" s="1"/>
  <c r="T33" i="1"/>
  <c r="T42" i="1" l="1"/>
  <c r="V42" i="1"/>
  <c r="Y4" i="1" l="1"/>
  <c r="Y5" i="1" s="1"/>
  <c r="AA5" i="1" s="1"/>
  <c r="Z34" i="1" s="1"/>
  <c r="Z44" i="1" l="1"/>
  <c r="Z74" i="1"/>
  <c r="Z60" i="1"/>
  <c r="Z46" i="1"/>
  <c r="Z35" i="1"/>
  <c r="Z29" i="1"/>
  <c r="Z58" i="1"/>
  <c r="Z40" i="1"/>
  <c r="Z15" i="1"/>
  <c r="Z57" i="1"/>
  <c r="Z25" i="1"/>
  <c r="Z82" i="1"/>
  <c r="Z56" i="1"/>
  <c r="Z24" i="1"/>
  <c r="Z81" i="1"/>
  <c r="Z38" i="1"/>
  <c r="Z12" i="1"/>
  <c r="Z67" i="1"/>
  <c r="Z54" i="1"/>
  <c r="Z36" i="1"/>
  <c r="Z78" i="1"/>
  <c r="Z33" i="1"/>
  <c r="Z65" i="1"/>
  <c r="Z76" i="1"/>
  <c r="Z48" i="1"/>
  <c r="Z61" i="1"/>
  <c r="Z17" i="1"/>
  <c r="Z71" i="1"/>
  <c r="Z59" i="1"/>
  <c r="Z45" i="1"/>
  <c r="Z16" i="1"/>
  <c r="Z70" i="1"/>
  <c r="Z28" i="1"/>
  <c r="Z69" i="1"/>
  <c r="Z39" i="1"/>
  <c r="Z14" i="1"/>
  <c r="Z68" i="1"/>
  <c r="Z41" i="1"/>
  <c r="Z13" i="1"/>
  <c r="Z55" i="1"/>
  <c r="Z23" i="1"/>
  <c r="Z80" i="1"/>
  <c r="Z37" i="1"/>
  <c r="Z79" i="1"/>
  <c r="Z51" i="1"/>
  <c r="Z66" i="1"/>
  <c r="Z20" i="1"/>
  <c r="Z49" i="1"/>
  <c r="Z19" i="1"/>
  <c r="Z31" i="1"/>
  <c r="Z75" i="1"/>
  <c r="Z30" i="1"/>
  <c r="Z84" i="1"/>
  <c r="Z22" i="1"/>
  <c r="Z21" i="1"/>
  <c r="Z50" i="1"/>
  <c r="Z77" i="1"/>
  <c r="Z32" i="1"/>
  <c r="Z62" i="1"/>
  <c r="Z18" i="1"/>
  <c r="Z47" i="1"/>
  <c r="Z83" i="1"/>
</calcChain>
</file>

<file path=xl/sharedStrings.xml><?xml version="1.0" encoding="utf-8"?>
<sst xmlns="http://schemas.openxmlformats.org/spreadsheetml/2006/main" count="239" uniqueCount="136">
  <si>
    <t>Laguna Clothing Pvt Ltd</t>
  </si>
  <si>
    <t>SMV &amp; Operation Breakdown</t>
  </si>
  <si>
    <t>Buyer:</t>
  </si>
  <si>
    <t>Hugo Boss</t>
  </si>
  <si>
    <t>Style Ref:</t>
  </si>
  <si>
    <t>Date:</t>
  </si>
  <si>
    <t>Batch Target:</t>
  </si>
  <si>
    <t>Manpower:</t>
  </si>
  <si>
    <t>Season:</t>
  </si>
  <si>
    <t>Fabric:</t>
  </si>
  <si>
    <t>Prepared By:</t>
  </si>
  <si>
    <t>Shamantu B R</t>
  </si>
  <si>
    <t>Target at 90%:</t>
  </si>
  <si>
    <t>Target per hour: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</si>
  <si>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</si>
  <si>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</si>
  <si>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</si>
  <si>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</si>
  <si>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</si>
  <si>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</si>
  <si>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</si>
  <si>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</si>
  <si>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</si>
  <si>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</si>
  <si>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</si>
  <si>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</si>
  <si>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</si>
  <si>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Run Collar-Fusible</t>
  </si>
  <si>
    <t>SNLS</t>
  </si>
  <si>
    <t>N/A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</si>
  <si>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</si>
  <si>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</si>
  <si>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</si>
  <si>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</si>
  <si>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</si>
  <si>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</si>
  <si>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</si>
  <si>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Neck Band Hem</t>
  </si>
  <si>
    <t>Pick turn</t>
  </si>
  <si>
    <t>Turning M/C</t>
  </si>
  <si>
    <t>Pick iron</t>
  </si>
  <si>
    <t>Iron Table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</si>
  <si>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</si>
  <si>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</si>
  <si>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</si>
  <si>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</si>
  <si>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</si>
  <si>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</si>
  <si>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</si>
  <si>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</si>
  <si>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Iron- left placket (Self Fold)</t>
  </si>
  <si>
    <t>Manual Jet Sew</t>
  </si>
  <si>
    <t>Pocket Marking X 2</t>
  </si>
  <si>
    <t>Helper Tabel</t>
  </si>
  <si>
    <t>Pocket Iron X 2</t>
  </si>
  <si>
    <t>Pocket Hem X 2</t>
  </si>
  <si>
    <t>Pocket Attach X 2</t>
  </si>
  <si>
    <t>Button Placket Hem</t>
  </si>
  <si>
    <t>35mm</t>
  </si>
  <si>
    <t>Button hole front X 5</t>
  </si>
  <si>
    <t>B/Hole M/C</t>
  </si>
  <si>
    <t>Button Marking</t>
  </si>
  <si>
    <t>Button M/C</t>
  </si>
  <si>
    <t>Flag Label Attach</t>
  </si>
  <si>
    <t>Wash Care Lable Attach</t>
  </si>
  <si>
    <t>Pairing</t>
  </si>
  <si>
    <t>Sleeve</t>
  </si>
  <si>
    <t>Sleeve over Lock</t>
  </si>
  <si>
    <t>O/L M/C</t>
  </si>
  <si>
    <t xml:space="preserve">Sew small sleeve placket </t>
  </si>
  <si>
    <t>10mm</t>
  </si>
  <si>
    <t>Sleeve tacking</t>
  </si>
  <si>
    <t>Press sleeve placket</t>
  </si>
  <si>
    <t>Rotary Fusing M/C</t>
  </si>
  <si>
    <t>30mm</t>
  </si>
  <si>
    <t xml:space="preserve">Set &amp; seal placket </t>
  </si>
  <si>
    <t>Sleeve placket trim</t>
  </si>
  <si>
    <t>Button hole on sleeve placket</t>
  </si>
  <si>
    <t>Button stitch on sleeve placket</t>
  </si>
  <si>
    <t>Cuff</t>
  </si>
  <si>
    <t>Cuff hem iron</t>
  </si>
  <si>
    <t>Iron table</t>
  </si>
  <si>
    <t>Run cuff- Round-Solid</t>
  </si>
  <si>
    <t>Cuff raw edge trimming-Round</t>
  </si>
  <si>
    <t>Cuff turning &amp; Shape-Round</t>
  </si>
  <si>
    <t>Cuff Blocking</t>
  </si>
  <si>
    <t>Blocking M/C</t>
  </si>
  <si>
    <t xml:space="preserve">Ready Iron  cuff  </t>
  </si>
  <si>
    <t>Top stitch cuff fused -Close-Round</t>
  </si>
  <si>
    <t>Buttonhole on cuff X 1</t>
  </si>
  <si>
    <t>Button m/c</t>
  </si>
  <si>
    <t>Back</t>
  </si>
  <si>
    <t>Tack Size Label</t>
  </si>
  <si>
    <t>Made in India Lable</t>
  </si>
  <si>
    <t>Yoke Attach-5T O/L</t>
  </si>
  <si>
    <t>5T O/L</t>
  </si>
  <si>
    <t>Yoke top stitch</t>
  </si>
  <si>
    <t>Assembly</t>
  </si>
  <si>
    <t>Hanger Loading</t>
  </si>
  <si>
    <t>Manula Shoulder Join</t>
  </si>
  <si>
    <t>Shoulder Top Stitch</t>
  </si>
  <si>
    <t>DNCS</t>
  </si>
  <si>
    <t>1/4"</t>
  </si>
  <si>
    <t>Side seam</t>
  </si>
  <si>
    <t>FOA</t>
  </si>
  <si>
    <t>Bottom Hem</t>
  </si>
  <si>
    <t>7mm</t>
  </si>
  <si>
    <t>Total SMV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</si>
  <si>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</si>
  <si>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</si>
  <si>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</si>
  <si>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</si>
  <si>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</si>
  <si>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</si>
  <si>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SPI</t>
  </si>
  <si>
    <t>H-OWEN-K-2PP-261-50556121</t>
  </si>
  <si>
    <t>10214290-100% COTTON</t>
  </si>
  <si>
    <t>FA 26</t>
  </si>
  <si>
    <t>Button sew front X 5</t>
  </si>
  <si>
    <t>Pocket bartack X 4</t>
  </si>
  <si>
    <t>Bartack M/C</t>
  </si>
  <si>
    <t>Loop Cutting</t>
  </si>
  <si>
    <t>Back loop attach</t>
  </si>
  <si>
    <t>Sew Main Label-4 side &amp; Secondary Lable -4 side</t>
  </si>
  <si>
    <t>Pattren Sewer</t>
  </si>
  <si>
    <t>Button X1</t>
  </si>
  <si>
    <t>Band top deco stitch</t>
  </si>
  <si>
    <t>Neckband attach</t>
  </si>
  <si>
    <t>Pick attach</t>
  </si>
  <si>
    <t>Collar attach</t>
  </si>
  <si>
    <t>Collar finish</t>
  </si>
  <si>
    <t>Sleeve attach</t>
  </si>
  <si>
    <t xml:space="preserve">Sleeve top </t>
  </si>
  <si>
    <t>Bottom serging</t>
  </si>
  <si>
    <t>Cuff attach</t>
  </si>
  <si>
    <t xml:space="preserve"> Tape at piping, round neckband, Self Fold Placket, Manual Jet Sew,single round cuff 2 bttn 1 B/H, 1 , Sleeve Attach 5T O/L,side seam 4T O/L, 7 mm stitch at shoulder &amp;yoke, Yoke Attach 5T O/L,Back Loop attach,Double Pocket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</si>
</sst>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1"/>
    </font>
    <font>
      <sz val="20"/>
      <color theme="1"/>
      <name val="Aptos Narrow"/>
      <family val="2"/>
      <scheme val="minor"/>
    </font>
    <font>
      <b/>
      <sz val="20"/>
      <color rgb="FF2F75B5"/>
      <name val="Calibri"/>
      <family val="2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rgb="FF000000"/>
      <name val="Calibri Light"/>
      <family val="2"/>
    </font>
    <font>
      <sz val="20"/>
      <color rgb="FF000000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b/>
      <sz val="2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4" fillId="2" borderId="0" xfId="0" applyFont="1" applyFill="1"/>
    <xf numFmtId="1" fontId="4" fillId="2" borderId="11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/>
    <xf numFmtId="0" fontId="1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4" fillId="4" borderId="9" xfId="0" applyFont="1" applyFill="1" applyBorder="1"/>
    <xf numFmtId="0" fontId="1" fillId="4" borderId="5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4" fillId="2" borderId="9" xfId="0" applyFont="1" applyFill="1" applyBorder="1"/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8" fillId="2" borderId="3" xfId="0" applyFont="1" applyFill="1" applyBorder="1"/>
    <xf numFmtId="0" fontId="8" fillId="2" borderId="0" xfId="0" applyFont="1" applyFill="1"/>
    <xf numFmtId="0" fontId="10" fillId="0" borderId="12" xfId="0" applyFont="1" applyBorder="1" applyAlignment="1">
      <alignment horizontal="center" vertical="center"/>
    </xf>
    <xf numFmtId="0" fontId="4" fillId="4" borderId="6" xfId="0" applyFont="1" applyFill="1" applyBorder="1"/>
    <xf numFmtId="0" fontId="1" fillId="4" borderId="7" xfId="0" applyFont="1" applyFill="1" applyBorder="1"/>
    <xf numFmtId="0" fontId="1" fillId="4" borderId="5" xfId="0" applyFont="1" applyFill="1" applyBorder="1"/>
    <xf numFmtId="0" fontId="4" fillId="0" borderId="6" xfId="0" applyFont="1" applyBorder="1"/>
    <xf numFmtId="0" fontId="2" fillId="6" borderId="12" xfId="0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  <xf numFmtId="165" fontId="2" fillId="6" borderId="12" xfId="0" applyNumberFormat="1" applyFont="1" applyFill="1" applyBorder="1" applyAlignment="1">
      <alignment horizontal="center" vertical="center"/>
    </xf>
    <xf numFmtId="0" fontId="4" fillId="2" borderId="6" xfId="0" applyFont="1" applyFill="1" applyBorder="1"/>
    <xf numFmtId="2" fontId="2" fillId="0" borderId="0" xfId="0" applyNumberFormat="1" applyFont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2" fontId="4" fillId="6" borderId="7" xfId="0" applyNumberFormat="1" applyFont="1" applyFill="1" applyBorder="1" applyAlignment="1">
      <alignment horizontal="center"/>
    </xf>
    <xf numFmtId="2" fontId="4" fillId="6" borderId="8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9" fontId="11" fillId="2" borderId="7" xfId="0" applyNumberFormat="1" applyFont="1" applyFill="1" applyBorder="1" applyAlignment="1">
      <alignment horizontal="right"/>
    </xf>
    <xf numFmtId="9" fontId="11" fillId="2" borderId="5" xfId="0" applyNumberFormat="1" applyFont="1" applyFill="1" applyBorder="1" applyAlignment="1">
      <alignment horizontal="right"/>
    </xf>
    <xf numFmtId="9" fontId="11" fillId="2" borderId="8" xfId="0" applyNumberFormat="1" applyFont="1" applyFill="1" applyBorder="1" applyAlignment="1">
      <alignment horizontal="right"/>
    </xf>
    <xf numFmtId="9" fontId="4" fillId="2" borderId="7" xfId="0" applyNumberFormat="1" applyFont="1" applyFill="1" applyBorder="1" applyAlignment="1">
      <alignment horizontal="center"/>
    </xf>
    <xf numFmtId="9" fontId="4" fillId="2" borderId="8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4" fillId="2" borderId="4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/>
    </xf>
    <xf numFmtId="15" fontId="4" fillId="2" borderId="4" xfId="0" applyNumberFormat="1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view="pageBreakPreview" zoomScale="60" zoomScaleNormal="55" workbookViewId="0">
      <selection activeCell="Y12" sqref="Y12"/>
    </sheetView>
  </sheetViews>
  <sheetFormatPr defaultColWidth="9.125" defaultRowHeight="25.5"/>
  <cols>
    <col min="1" max="1" width="9.125" style="2"/>
    <col min="2" max="9" width="7.125" style="2" customWidth="1"/>
    <col min="10" max="10" width="12.25" style="2" customWidth="1"/>
    <col min="11" max="11" width="7.125" style="2" customWidth="1"/>
    <col min="12" max="13" width="9.875" style="2" customWidth="1"/>
    <col min="14" max="15" width="7.125" style="2" customWidth="1"/>
    <col min="16" max="16" width="13.625" style="2" customWidth="1"/>
    <col min="17" max="17" width="11.125" style="2" customWidth="1"/>
    <col min="18" max="18" width="10.375" style="2" customWidth="1"/>
    <col min="19" max="19" width="10.25" style="2" customWidth="1"/>
    <col min="20" max="20" width="9.875" style="2" customWidth="1"/>
    <col min="21" max="22" width="7.125" style="2" customWidth="1"/>
    <col min="23" max="23" width="9.875" style="2" customWidth="1"/>
    <col min="24" max="24" width="26" style="2" bestFit="1" customWidth="1"/>
    <col min="25" max="25" width="16.375" style="2" customWidth="1"/>
    <col min="26" max="26" width="25.375" style="2" customWidth="1"/>
    <col min="27" max="27" width="18.375" style="2" customWidth="1"/>
    <col min="28" max="16384" width="9.125" style="2"/>
  </cols>
  <sheetData>
    <row r="1" spans="1:28" ht="26.2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1"/>
      <c r="Y1" s="1"/>
      <c r="AA1" s="1"/>
    </row>
    <row r="2" spans="1:28" ht="26.25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1"/>
      <c r="Y2" s="1"/>
      <c r="Z2" s="1"/>
      <c r="AA2" s="1"/>
    </row>
    <row r="3" spans="1:28" ht="26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26.25">
      <c r="A4" s="88" t="s">
        <v>2</v>
      </c>
      <c r="B4" s="89"/>
      <c r="C4" s="90" t="s">
        <v>3</v>
      </c>
      <c r="D4" s="90"/>
      <c r="E4" s="90"/>
      <c r="F4" s="90"/>
      <c r="G4" s="90"/>
      <c r="H4" s="5"/>
      <c r="I4" s="5"/>
      <c r="J4" s="89" t="s">
        <v>4</v>
      </c>
      <c r="K4" s="89"/>
      <c r="L4" s="91" t="s">
        <v>115</v>
      </c>
      <c r="M4" s="91"/>
      <c r="N4" s="91"/>
      <c r="O4" s="91"/>
      <c r="P4" s="91"/>
      <c r="Q4" s="5"/>
      <c r="R4" s="5"/>
      <c r="S4" s="89" t="s">
        <v>5</v>
      </c>
      <c r="T4" s="89"/>
      <c r="U4" s="92">
        <f ca="1">TODAY()</f>
        <v>46049</v>
      </c>
      <c r="V4" s="92"/>
      <c r="W4" s="92"/>
      <c r="X4" s="4" t="s">
        <v>6</v>
      </c>
      <c r="Y4" s="6">
        <f>540/R93</f>
        <v>16.197975253093365</v>
      </c>
      <c r="Z4" s="4" t="s">
        <v>7</v>
      </c>
      <c r="AA4" s="6">
        <v>95</v>
      </c>
    </row>
    <row r="5" spans="1:28" ht="26.25">
      <c r="A5" s="88" t="s">
        <v>8</v>
      </c>
      <c r="B5" s="89"/>
      <c r="C5" s="104" t="s">
        <v>117</v>
      </c>
      <c r="D5" s="104"/>
      <c r="E5" s="104"/>
      <c r="F5" s="104"/>
      <c r="G5" s="104"/>
      <c r="H5" s="5"/>
      <c r="I5" s="5"/>
      <c r="J5" s="89" t="s">
        <v>9</v>
      </c>
      <c r="K5" s="89"/>
      <c r="L5" s="104" t="s">
        <v>116</v>
      </c>
      <c r="M5" s="104"/>
      <c r="N5" s="104"/>
      <c r="O5" s="104"/>
      <c r="P5" s="104"/>
      <c r="Q5" s="5"/>
      <c r="R5" s="5"/>
      <c r="S5" s="89" t="s">
        <v>10</v>
      </c>
      <c r="T5" s="89"/>
      <c r="U5" s="104" t="s">
        <v>11</v>
      </c>
      <c r="V5" s="104"/>
      <c r="W5" s="104"/>
      <c r="X5" s="4" t="s">
        <v>12</v>
      </c>
      <c r="Y5" s="6">
        <f>Y4*AA4</f>
        <v>1538.8076490438696</v>
      </c>
      <c r="Z5" s="4" t="s">
        <v>13</v>
      </c>
      <c r="AA5" s="6">
        <f>Y5/9</f>
        <v>170.97862767154106</v>
      </c>
    </row>
    <row r="6" spans="1:28" ht="26.25">
      <c r="A6" s="7"/>
      <c r="B6" s="8"/>
      <c r="C6" s="9"/>
      <c r="D6" s="9"/>
      <c r="E6" s="9"/>
      <c r="F6" s="9"/>
      <c r="G6" s="9"/>
      <c r="H6" s="5"/>
      <c r="I6" s="5"/>
      <c r="J6" s="8"/>
      <c r="K6" s="8"/>
      <c r="L6" s="9"/>
      <c r="M6" s="9"/>
      <c r="N6" s="9"/>
      <c r="O6" s="9"/>
      <c r="P6" s="9"/>
      <c r="Q6" s="5"/>
      <c r="R6" s="5"/>
      <c r="S6" s="8"/>
      <c r="T6" s="8"/>
      <c r="U6" s="9"/>
      <c r="V6" s="9"/>
      <c r="X6" s="10"/>
      <c r="Y6" s="10"/>
      <c r="Z6" s="10"/>
      <c r="AA6" s="10"/>
    </row>
    <row r="7" spans="1:28" ht="26.25">
      <c r="A7" s="88" t="s">
        <v>14</v>
      </c>
      <c r="B7" s="89"/>
      <c r="C7" s="89"/>
      <c r="D7" s="103" t="s">
        <v>135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</row>
    <row r="8" spans="1:28" ht="26.25">
      <c r="A8" s="7"/>
      <c r="B8" s="8"/>
      <c r="C8" s="9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 spans="1:28" ht="26.25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72.75" customHeight="1">
      <c r="A10" s="12" t="s">
        <v>15</v>
      </c>
      <c r="B10" s="100" t="s">
        <v>16</v>
      </c>
      <c r="C10" s="101"/>
      <c r="D10" s="101"/>
      <c r="E10" s="101"/>
      <c r="F10" s="101"/>
      <c r="G10" s="101"/>
      <c r="H10" s="101"/>
      <c r="I10" s="102"/>
      <c r="J10" s="100" t="s">
        <v>17</v>
      </c>
      <c r="K10" s="101"/>
      <c r="L10" s="101"/>
      <c r="M10" s="102"/>
      <c r="N10" s="100" t="s">
        <v>18</v>
      </c>
      <c r="O10" s="101"/>
      <c r="P10" s="101"/>
      <c r="Q10" s="102"/>
      <c r="R10" s="100" t="s">
        <v>19</v>
      </c>
      <c r="S10" s="102"/>
      <c r="T10" s="100" t="s">
        <v>20</v>
      </c>
      <c r="U10" s="102"/>
      <c r="V10" s="100" t="s">
        <v>21</v>
      </c>
      <c r="W10" s="102"/>
      <c r="X10" s="13" t="s">
        <v>22</v>
      </c>
      <c r="Y10" s="13" t="s">
        <v>23</v>
      </c>
      <c r="Z10" s="13" t="s">
        <v>24</v>
      </c>
      <c r="AA10" s="13" t="s">
        <v>25</v>
      </c>
    </row>
    <row r="11" spans="1:28" ht="26.25">
      <c r="A11" s="14"/>
      <c r="B11" s="93" t="s">
        <v>26</v>
      </c>
      <c r="C11" s="94"/>
      <c r="D11" s="94"/>
      <c r="E11" s="94"/>
      <c r="F11" s="94"/>
      <c r="G11" s="94"/>
      <c r="H11" s="94"/>
      <c r="I11" s="95"/>
      <c r="J11" s="96"/>
      <c r="K11" s="97"/>
      <c r="L11" s="97"/>
      <c r="M11" s="98"/>
      <c r="N11" s="96"/>
      <c r="O11" s="97"/>
      <c r="P11" s="97"/>
      <c r="Q11" s="98"/>
      <c r="R11" s="99"/>
      <c r="S11" s="99"/>
      <c r="T11" s="99"/>
      <c r="U11" s="99"/>
      <c r="V11" s="99"/>
      <c r="W11" s="99"/>
      <c r="X11" s="16"/>
      <c r="Y11" s="16"/>
      <c r="Z11" s="16"/>
      <c r="AA11" s="16"/>
    </row>
    <row r="12" spans="1:28" ht="26.25">
      <c r="A12" s="17">
        <v>1</v>
      </c>
      <c r="B12" s="75" t="s">
        <v>27</v>
      </c>
      <c r="C12" s="75"/>
      <c r="D12" s="75"/>
      <c r="E12" s="75"/>
      <c r="F12" s="75"/>
      <c r="G12" s="75"/>
      <c r="H12" s="75"/>
      <c r="I12" s="75"/>
      <c r="J12" s="76" t="s">
        <v>28</v>
      </c>
      <c r="K12" s="76"/>
      <c r="L12" s="76"/>
      <c r="M12" s="76"/>
      <c r="N12" s="76" t="s">
        <v>29</v>
      </c>
      <c r="O12" s="76"/>
      <c r="P12" s="76"/>
      <c r="Q12" s="76"/>
      <c r="R12" s="77">
        <v>0.52</v>
      </c>
      <c r="S12" s="77"/>
      <c r="T12" s="77">
        <f>R12</f>
        <v>0.52</v>
      </c>
      <c r="U12" s="77"/>
      <c r="V12" s="77"/>
      <c r="W12" s="77"/>
      <c r="X12" s="18">
        <f>60/R12</f>
        <v>115.38461538461539</v>
      </c>
      <c r="Y12" s="18">
        <f>X12*0.95</f>
        <v>109.61538461538461</v>
      </c>
      <c r="Z12" s="19">
        <f t="shared" ref="Z12:Z69" si="0">AA$5/Y12</f>
        <v>1.5598050243719537</v>
      </c>
      <c r="AA12" s="20">
        <v>1.5</v>
      </c>
    </row>
    <row r="13" spans="1:28" ht="26.25">
      <c r="A13" s="17">
        <v>2</v>
      </c>
      <c r="B13" s="75" t="s">
        <v>30</v>
      </c>
      <c r="C13" s="75"/>
      <c r="D13" s="75"/>
      <c r="E13" s="75"/>
      <c r="F13" s="75"/>
      <c r="G13" s="75"/>
      <c r="H13" s="75"/>
      <c r="I13" s="75"/>
      <c r="J13" s="76" t="s">
        <v>31</v>
      </c>
      <c r="K13" s="76"/>
      <c r="L13" s="76"/>
      <c r="M13" s="76"/>
      <c r="N13" s="76" t="s">
        <v>29</v>
      </c>
      <c r="O13" s="76"/>
      <c r="P13" s="76"/>
      <c r="Q13" s="76"/>
      <c r="R13" s="77">
        <v>0.24</v>
      </c>
      <c r="S13" s="77"/>
      <c r="T13" s="77"/>
      <c r="U13" s="77"/>
      <c r="V13" s="77">
        <f>R13</f>
        <v>0.24</v>
      </c>
      <c r="W13" s="77"/>
      <c r="X13" s="18">
        <f t="shared" ref="X13:X75" si="1">60/R13</f>
        <v>250</v>
      </c>
      <c r="Y13" s="18">
        <f t="shared" ref="Y13:Y75" si="2">X13*0.95</f>
        <v>237.5</v>
      </c>
      <c r="Z13" s="19">
        <f t="shared" si="0"/>
        <v>0.719910011248594</v>
      </c>
      <c r="AA13" s="20">
        <v>1</v>
      </c>
    </row>
    <row r="14" spans="1:28" ht="26.25">
      <c r="A14" s="17">
        <v>3</v>
      </c>
      <c r="B14" s="75" t="s">
        <v>32</v>
      </c>
      <c r="C14" s="75"/>
      <c r="D14" s="75"/>
      <c r="E14" s="75"/>
      <c r="F14" s="75"/>
      <c r="G14" s="75"/>
      <c r="H14" s="75"/>
      <c r="I14" s="75"/>
      <c r="J14" s="76" t="s">
        <v>28</v>
      </c>
      <c r="K14" s="76"/>
      <c r="L14" s="76"/>
      <c r="M14" s="76"/>
      <c r="N14" s="76" t="s">
        <v>29</v>
      </c>
      <c r="O14" s="76"/>
      <c r="P14" s="76"/>
      <c r="Q14" s="76"/>
      <c r="R14" s="77">
        <v>0.4</v>
      </c>
      <c r="S14" s="77"/>
      <c r="T14" s="77">
        <f>R14</f>
        <v>0.4</v>
      </c>
      <c r="U14" s="77"/>
      <c r="V14" s="77"/>
      <c r="W14" s="77"/>
      <c r="X14" s="18">
        <f t="shared" si="1"/>
        <v>150</v>
      </c>
      <c r="Y14" s="18">
        <f t="shared" si="2"/>
        <v>142.5</v>
      </c>
      <c r="Z14" s="19">
        <f t="shared" si="0"/>
        <v>1.1998500187476566</v>
      </c>
      <c r="AA14" s="20">
        <v>1.5</v>
      </c>
    </row>
    <row r="15" spans="1:28" ht="26.25">
      <c r="A15" s="17">
        <v>4</v>
      </c>
      <c r="B15" s="75" t="s">
        <v>33</v>
      </c>
      <c r="C15" s="75"/>
      <c r="D15" s="75"/>
      <c r="E15" s="75"/>
      <c r="F15" s="75"/>
      <c r="G15" s="75"/>
      <c r="H15" s="75"/>
      <c r="I15" s="75"/>
      <c r="J15" s="76" t="s">
        <v>34</v>
      </c>
      <c r="K15" s="76"/>
      <c r="L15" s="76"/>
      <c r="M15" s="76"/>
      <c r="N15" s="76" t="s">
        <v>29</v>
      </c>
      <c r="O15" s="76"/>
      <c r="P15" s="76"/>
      <c r="Q15" s="76"/>
      <c r="R15" s="77">
        <v>0.15</v>
      </c>
      <c r="S15" s="77"/>
      <c r="T15" s="77"/>
      <c r="U15" s="77"/>
      <c r="V15" s="77">
        <f>R15</f>
        <v>0.15</v>
      </c>
      <c r="W15" s="77"/>
      <c r="X15" s="18">
        <f t="shared" si="1"/>
        <v>400</v>
      </c>
      <c r="Y15" s="18">
        <f t="shared" si="2"/>
        <v>380</v>
      </c>
      <c r="Z15" s="19">
        <f t="shared" si="0"/>
        <v>0.44994375703037121</v>
      </c>
      <c r="AA15" s="20">
        <v>0.5</v>
      </c>
    </row>
    <row r="16" spans="1:28" s="21" customFormat="1" ht="26.25">
      <c r="A16" s="17">
        <v>5</v>
      </c>
      <c r="B16" s="81" t="s">
        <v>35</v>
      </c>
      <c r="C16" s="81"/>
      <c r="D16" s="81"/>
      <c r="E16" s="81"/>
      <c r="F16" s="81"/>
      <c r="G16" s="81"/>
      <c r="H16" s="81"/>
      <c r="I16" s="81"/>
      <c r="J16" s="82" t="s">
        <v>28</v>
      </c>
      <c r="K16" s="82"/>
      <c r="L16" s="82"/>
      <c r="M16" s="82"/>
      <c r="N16" s="82" t="s">
        <v>36</v>
      </c>
      <c r="O16" s="82"/>
      <c r="P16" s="82"/>
      <c r="Q16" s="82"/>
      <c r="R16" s="83">
        <v>0.21</v>
      </c>
      <c r="S16" s="83"/>
      <c r="T16" s="83">
        <f>R16</f>
        <v>0.21</v>
      </c>
      <c r="U16" s="83"/>
      <c r="V16" s="83"/>
      <c r="W16" s="83"/>
      <c r="X16" s="18">
        <f t="shared" si="1"/>
        <v>285.71428571428572</v>
      </c>
      <c r="Y16" s="18">
        <f t="shared" si="2"/>
        <v>271.42857142857144</v>
      </c>
      <c r="Z16" s="19">
        <f t="shared" si="0"/>
        <v>0.62992125984251968</v>
      </c>
      <c r="AA16" s="20">
        <v>1</v>
      </c>
    </row>
    <row r="17" spans="1:28" ht="26.25">
      <c r="A17" s="17">
        <v>6</v>
      </c>
      <c r="B17" s="34" t="s">
        <v>37</v>
      </c>
      <c r="C17" s="35"/>
      <c r="D17" s="35"/>
      <c r="E17" s="35"/>
      <c r="F17" s="35"/>
      <c r="G17" s="35"/>
      <c r="H17" s="35"/>
      <c r="I17" s="36"/>
      <c r="J17" s="37" t="s">
        <v>28</v>
      </c>
      <c r="K17" s="38"/>
      <c r="L17" s="38"/>
      <c r="M17" s="39"/>
      <c r="N17" s="37" t="s">
        <v>29</v>
      </c>
      <c r="O17" s="38"/>
      <c r="P17" s="38"/>
      <c r="Q17" s="39"/>
      <c r="R17" s="40">
        <v>0.3</v>
      </c>
      <c r="S17" s="41"/>
      <c r="T17" s="40">
        <f>R17</f>
        <v>0.3</v>
      </c>
      <c r="U17" s="41"/>
      <c r="V17" s="40"/>
      <c r="W17" s="41"/>
      <c r="X17" s="18">
        <f t="shared" si="1"/>
        <v>200</v>
      </c>
      <c r="Y17" s="18">
        <f t="shared" si="2"/>
        <v>190</v>
      </c>
      <c r="Z17" s="19">
        <f t="shared" si="0"/>
        <v>0.89988751406074241</v>
      </c>
      <c r="AA17" s="20">
        <v>1</v>
      </c>
    </row>
    <row r="18" spans="1:28" ht="26.25">
      <c r="A18" s="17">
        <v>7</v>
      </c>
      <c r="B18" s="34" t="s">
        <v>127</v>
      </c>
      <c r="C18" s="35"/>
      <c r="D18" s="35"/>
      <c r="E18" s="35"/>
      <c r="F18" s="35"/>
      <c r="G18" s="35"/>
      <c r="H18" s="35"/>
      <c r="I18" s="36"/>
      <c r="J18" s="76" t="s">
        <v>28</v>
      </c>
      <c r="K18" s="76"/>
      <c r="L18" s="76"/>
      <c r="M18" s="76"/>
      <c r="N18" s="76" t="s">
        <v>29</v>
      </c>
      <c r="O18" s="76"/>
      <c r="P18" s="76"/>
      <c r="Q18" s="76"/>
      <c r="R18" s="77">
        <v>0.5</v>
      </c>
      <c r="S18" s="77"/>
      <c r="T18" s="77">
        <f>R18</f>
        <v>0.5</v>
      </c>
      <c r="U18" s="77"/>
      <c r="V18" s="77"/>
      <c r="W18" s="77"/>
      <c r="X18" s="18">
        <f t="shared" si="1"/>
        <v>120</v>
      </c>
      <c r="Y18" s="18">
        <f t="shared" si="2"/>
        <v>114</v>
      </c>
      <c r="Z18" s="19">
        <f t="shared" si="0"/>
        <v>1.4998125234345707</v>
      </c>
      <c r="AA18" s="20">
        <v>1.5</v>
      </c>
    </row>
    <row r="19" spans="1:28" ht="26.25">
      <c r="A19" s="17">
        <v>8</v>
      </c>
      <c r="B19" s="75" t="s">
        <v>128</v>
      </c>
      <c r="C19" s="75"/>
      <c r="D19" s="75"/>
      <c r="E19" s="75"/>
      <c r="F19" s="75"/>
      <c r="G19" s="75"/>
      <c r="H19" s="75"/>
      <c r="I19" s="75"/>
      <c r="J19" s="76" t="s">
        <v>28</v>
      </c>
      <c r="K19" s="76"/>
      <c r="L19" s="76"/>
      <c r="M19" s="76"/>
      <c r="N19" s="76" t="s">
        <v>29</v>
      </c>
      <c r="O19" s="76"/>
      <c r="P19" s="76"/>
      <c r="Q19" s="76"/>
      <c r="R19" s="77">
        <v>0.5</v>
      </c>
      <c r="S19" s="77"/>
      <c r="T19" s="77">
        <f>R19</f>
        <v>0.5</v>
      </c>
      <c r="U19" s="77"/>
      <c r="V19" s="77"/>
      <c r="W19" s="77"/>
      <c r="X19" s="18">
        <f t="shared" si="1"/>
        <v>120</v>
      </c>
      <c r="Y19" s="18">
        <f t="shared" si="2"/>
        <v>114</v>
      </c>
      <c r="Z19" s="19">
        <f t="shared" si="0"/>
        <v>1.4998125234345707</v>
      </c>
      <c r="AA19" s="20">
        <v>1.5</v>
      </c>
    </row>
    <row r="20" spans="1:28" ht="26.25">
      <c r="A20" s="17">
        <v>9</v>
      </c>
      <c r="B20" s="75" t="s">
        <v>38</v>
      </c>
      <c r="C20" s="75"/>
      <c r="D20" s="75"/>
      <c r="E20" s="75"/>
      <c r="F20" s="75"/>
      <c r="G20" s="75"/>
      <c r="H20" s="75"/>
      <c r="I20" s="75"/>
      <c r="J20" s="76" t="s">
        <v>39</v>
      </c>
      <c r="K20" s="76"/>
      <c r="L20" s="76"/>
      <c r="M20" s="76"/>
      <c r="N20" s="76" t="s">
        <v>29</v>
      </c>
      <c r="O20" s="76"/>
      <c r="P20" s="76"/>
      <c r="Q20" s="76"/>
      <c r="R20" s="77">
        <v>0.25</v>
      </c>
      <c r="S20" s="77"/>
      <c r="T20" s="77"/>
      <c r="U20" s="77"/>
      <c r="V20" s="77">
        <f>R20</f>
        <v>0.25</v>
      </c>
      <c r="W20" s="77"/>
      <c r="X20" s="18">
        <f t="shared" si="1"/>
        <v>240</v>
      </c>
      <c r="Y20" s="18">
        <f t="shared" si="2"/>
        <v>228</v>
      </c>
      <c r="Z20" s="19">
        <f t="shared" si="0"/>
        <v>0.74990626171728536</v>
      </c>
      <c r="AA20" s="20">
        <v>1</v>
      </c>
    </row>
    <row r="21" spans="1:28" ht="26.25">
      <c r="A21" s="17">
        <v>10</v>
      </c>
      <c r="B21" s="79" t="s">
        <v>126</v>
      </c>
      <c r="C21" s="79"/>
      <c r="D21" s="79"/>
      <c r="E21" s="79"/>
      <c r="F21" s="79"/>
      <c r="G21" s="79"/>
      <c r="H21" s="79"/>
      <c r="I21" s="79"/>
      <c r="J21" s="80" t="s">
        <v>28</v>
      </c>
      <c r="K21" s="80"/>
      <c r="L21" s="80"/>
      <c r="M21" s="80"/>
      <c r="N21" s="80" t="s">
        <v>29</v>
      </c>
      <c r="O21" s="80"/>
      <c r="P21" s="80"/>
      <c r="Q21" s="80"/>
      <c r="R21" s="78">
        <v>0.55000000000000004</v>
      </c>
      <c r="S21" s="78"/>
      <c r="T21" s="78">
        <f>R21</f>
        <v>0.55000000000000004</v>
      </c>
      <c r="U21" s="78"/>
      <c r="V21" s="78"/>
      <c r="W21" s="78"/>
      <c r="X21" s="18">
        <f t="shared" si="1"/>
        <v>109.09090909090908</v>
      </c>
      <c r="Y21" s="18">
        <f t="shared" si="2"/>
        <v>103.63636363636363</v>
      </c>
      <c r="Z21" s="19">
        <f t="shared" si="0"/>
        <v>1.6497937757780279</v>
      </c>
      <c r="AA21" s="20">
        <v>2</v>
      </c>
    </row>
    <row r="22" spans="1:28" ht="26.25">
      <c r="A22" s="17">
        <v>11</v>
      </c>
      <c r="B22" s="75" t="s">
        <v>40</v>
      </c>
      <c r="C22" s="75"/>
      <c r="D22" s="75"/>
      <c r="E22" s="75"/>
      <c r="F22" s="75"/>
      <c r="G22" s="75"/>
      <c r="H22" s="75"/>
      <c r="I22" s="75"/>
      <c r="J22" s="76" t="s">
        <v>41</v>
      </c>
      <c r="K22" s="76"/>
      <c r="L22" s="76"/>
      <c r="M22" s="76"/>
      <c r="N22" s="76" t="s">
        <v>29</v>
      </c>
      <c r="O22" s="76"/>
      <c r="P22" s="76"/>
      <c r="Q22" s="76"/>
      <c r="R22" s="78">
        <v>0.25</v>
      </c>
      <c r="S22" s="78"/>
      <c r="T22" s="77"/>
      <c r="U22" s="77"/>
      <c r="V22" s="77">
        <f>R22</f>
        <v>0.25</v>
      </c>
      <c r="W22" s="77"/>
      <c r="X22" s="18">
        <f t="shared" si="1"/>
        <v>240</v>
      </c>
      <c r="Y22" s="18">
        <f t="shared" si="2"/>
        <v>228</v>
      </c>
      <c r="Z22" s="19">
        <f t="shared" si="0"/>
        <v>0.74990626171728536</v>
      </c>
      <c r="AA22" s="20">
        <v>1</v>
      </c>
    </row>
    <row r="23" spans="1:28" ht="26.25">
      <c r="A23" s="17">
        <v>12</v>
      </c>
      <c r="B23" s="75" t="s">
        <v>42</v>
      </c>
      <c r="C23" s="75"/>
      <c r="D23" s="75"/>
      <c r="E23" s="75"/>
      <c r="F23" s="75"/>
      <c r="G23" s="75"/>
      <c r="H23" s="75"/>
      <c r="I23" s="75"/>
      <c r="J23" s="76" t="s">
        <v>43</v>
      </c>
      <c r="K23" s="76"/>
      <c r="L23" s="76"/>
      <c r="M23" s="76"/>
      <c r="N23" s="76" t="s">
        <v>29</v>
      </c>
      <c r="O23" s="76"/>
      <c r="P23" s="76"/>
      <c r="Q23" s="76"/>
      <c r="R23" s="77">
        <v>0.24</v>
      </c>
      <c r="S23" s="77"/>
      <c r="T23" s="77"/>
      <c r="U23" s="77"/>
      <c r="V23" s="77">
        <f>R23</f>
        <v>0.24</v>
      </c>
      <c r="W23" s="77"/>
      <c r="X23" s="18">
        <f t="shared" si="1"/>
        <v>250</v>
      </c>
      <c r="Y23" s="18">
        <f t="shared" si="2"/>
        <v>237.5</v>
      </c>
      <c r="Z23" s="19">
        <f t="shared" si="0"/>
        <v>0.719910011248594</v>
      </c>
      <c r="AA23" s="20">
        <v>1</v>
      </c>
    </row>
    <row r="24" spans="1:28" ht="26.25">
      <c r="A24" s="17">
        <v>13</v>
      </c>
      <c r="B24" s="75" t="s">
        <v>44</v>
      </c>
      <c r="C24" s="75"/>
      <c r="D24" s="75"/>
      <c r="E24" s="75"/>
      <c r="F24" s="75"/>
      <c r="G24" s="75"/>
      <c r="H24" s="75"/>
      <c r="I24" s="75"/>
      <c r="J24" s="76" t="s">
        <v>45</v>
      </c>
      <c r="K24" s="76"/>
      <c r="L24" s="76"/>
      <c r="M24" s="76"/>
      <c r="N24" s="76" t="s">
        <v>29</v>
      </c>
      <c r="O24" s="76"/>
      <c r="P24" s="76"/>
      <c r="Q24" s="76"/>
      <c r="R24" s="77">
        <v>0.26</v>
      </c>
      <c r="S24" s="77"/>
      <c r="T24" s="77"/>
      <c r="U24" s="77"/>
      <c r="V24" s="77">
        <f>R24</f>
        <v>0.26</v>
      </c>
      <c r="W24" s="77"/>
      <c r="X24" s="18">
        <f t="shared" si="1"/>
        <v>230.76923076923077</v>
      </c>
      <c r="Y24" s="18">
        <f t="shared" si="2"/>
        <v>219.23076923076923</v>
      </c>
      <c r="Z24" s="19">
        <f t="shared" si="0"/>
        <v>0.77990251218597684</v>
      </c>
      <c r="AA24" s="20">
        <v>1</v>
      </c>
    </row>
    <row r="25" spans="1:28" ht="26.25">
      <c r="A25" s="17">
        <v>14</v>
      </c>
      <c r="B25" s="75" t="s">
        <v>46</v>
      </c>
      <c r="C25" s="75"/>
      <c r="D25" s="75"/>
      <c r="E25" s="75"/>
      <c r="F25" s="75"/>
      <c r="G25" s="75"/>
      <c r="H25" s="75"/>
      <c r="I25" s="75"/>
      <c r="J25" s="37" t="s">
        <v>47</v>
      </c>
      <c r="K25" s="38"/>
      <c r="L25" s="38"/>
      <c r="M25" s="39"/>
      <c r="N25" s="76" t="s">
        <v>29</v>
      </c>
      <c r="O25" s="76"/>
      <c r="P25" s="76"/>
      <c r="Q25" s="76"/>
      <c r="R25" s="77">
        <v>0.28000000000000003</v>
      </c>
      <c r="S25" s="77"/>
      <c r="T25" s="77">
        <f>R25</f>
        <v>0.28000000000000003</v>
      </c>
      <c r="U25" s="77"/>
      <c r="V25" s="77"/>
      <c r="W25" s="77"/>
      <c r="X25" s="18">
        <f t="shared" si="1"/>
        <v>214.28571428571428</v>
      </c>
      <c r="Y25" s="18">
        <f t="shared" si="2"/>
        <v>203.57142857142856</v>
      </c>
      <c r="Z25" s="19">
        <f t="shared" si="0"/>
        <v>0.83989501312335968</v>
      </c>
      <c r="AA25" s="20">
        <v>1</v>
      </c>
    </row>
    <row r="26" spans="1:28" ht="26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74" t="s">
        <v>48</v>
      </c>
      <c r="O26" s="74"/>
      <c r="P26" s="74"/>
      <c r="Q26" s="74"/>
      <c r="R26" s="74">
        <f>SUM(R12:S25)</f>
        <v>4.6500000000000004</v>
      </c>
      <c r="S26" s="74"/>
      <c r="T26" s="74">
        <f>SUM(T12:U25)</f>
        <v>3.2600000000000007</v>
      </c>
      <c r="U26" s="74"/>
      <c r="V26" s="74">
        <f>SUM(V12:W25)</f>
        <v>1.39</v>
      </c>
      <c r="W26" s="74"/>
      <c r="X26" s="18"/>
      <c r="Y26" s="18"/>
      <c r="Z26" s="19"/>
      <c r="AA26" s="24">
        <f>SUM(AA12:AA25)</f>
        <v>16.5</v>
      </c>
    </row>
    <row r="27" spans="1:28" ht="26.25">
      <c r="A27" s="25"/>
      <c r="B27" s="26" t="s">
        <v>49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8" ht="26.25">
      <c r="A28" s="28">
        <v>1</v>
      </c>
      <c r="B28" s="34" t="s">
        <v>50</v>
      </c>
      <c r="C28" s="35"/>
      <c r="D28" s="35"/>
      <c r="E28" s="35"/>
      <c r="F28" s="35"/>
      <c r="G28" s="35"/>
      <c r="H28" s="35"/>
      <c r="I28" s="36"/>
      <c r="J28" s="37" t="s">
        <v>41</v>
      </c>
      <c r="K28" s="38"/>
      <c r="L28" s="38"/>
      <c r="M28" s="39"/>
      <c r="N28" s="37" t="s">
        <v>29</v>
      </c>
      <c r="O28" s="38"/>
      <c r="P28" s="38"/>
      <c r="Q28" s="39"/>
      <c r="R28" s="40">
        <v>0.41</v>
      </c>
      <c r="S28" s="41"/>
      <c r="T28" s="40"/>
      <c r="U28" s="41"/>
      <c r="V28" s="40">
        <f>R28</f>
        <v>0.41</v>
      </c>
      <c r="W28" s="41"/>
      <c r="X28" s="18">
        <f t="shared" si="1"/>
        <v>146.34146341463415</v>
      </c>
      <c r="Y28" s="18">
        <f t="shared" si="2"/>
        <v>139.02439024390245</v>
      </c>
      <c r="Z28" s="19">
        <f t="shared" si="0"/>
        <v>1.2298462692163479</v>
      </c>
      <c r="AA28" s="20">
        <v>1.5</v>
      </c>
    </row>
    <row r="29" spans="1:28" s="21" customFormat="1" ht="26.25">
      <c r="A29" s="28">
        <v>2</v>
      </c>
      <c r="B29" s="34" t="s">
        <v>51</v>
      </c>
      <c r="C29" s="35"/>
      <c r="D29" s="35"/>
      <c r="E29" s="35"/>
      <c r="F29" s="35"/>
      <c r="G29" s="35"/>
      <c r="H29" s="35"/>
      <c r="I29" s="36"/>
      <c r="J29" s="37" t="s">
        <v>28</v>
      </c>
      <c r="K29" s="38"/>
      <c r="L29" s="38"/>
      <c r="M29" s="39"/>
      <c r="N29" s="37" t="s">
        <v>29</v>
      </c>
      <c r="O29" s="38"/>
      <c r="P29" s="38"/>
      <c r="Q29" s="39"/>
      <c r="R29" s="40">
        <v>0.9</v>
      </c>
      <c r="S29" s="41"/>
      <c r="T29" s="40">
        <f>R29</f>
        <v>0.9</v>
      </c>
      <c r="U29" s="41"/>
      <c r="V29" s="40"/>
      <c r="W29" s="41"/>
      <c r="X29" s="18">
        <f t="shared" si="1"/>
        <v>66.666666666666671</v>
      </c>
      <c r="Y29" s="18">
        <f t="shared" si="2"/>
        <v>63.333333333333336</v>
      </c>
      <c r="Z29" s="19">
        <f t="shared" si="0"/>
        <v>2.6996625421822271</v>
      </c>
      <c r="AA29" s="20">
        <v>3</v>
      </c>
      <c r="AB29" s="2"/>
    </row>
    <row r="30" spans="1:28" ht="26.25">
      <c r="A30" s="28">
        <v>3</v>
      </c>
      <c r="B30" s="42" t="s">
        <v>52</v>
      </c>
      <c r="C30" s="43"/>
      <c r="D30" s="43"/>
      <c r="E30" s="43"/>
      <c r="F30" s="43"/>
      <c r="G30" s="43"/>
      <c r="H30" s="43"/>
      <c r="I30" s="44"/>
      <c r="J30" s="45" t="s">
        <v>53</v>
      </c>
      <c r="K30" s="46"/>
      <c r="L30" s="46"/>
      <c r="M30" s="47"/>
      <c r="N30" s="45" t="s">
        <v>29</v>
      </c>
      <c r="O30" s="46"/>
      <c r="P30" s="46"/>
      <c r="Q30" s="47"/>
      <c r="R30" s="48">
        <v>0.2</v>
      </c>
      <c r="S30" s="49"/>
      <c r="T30" s="48"/>
      <c r="U30" s="49"/>
      <c r="V30" s="48">
        <f>R30</f>
        <v>0.2</v>
      </c>
      <c r="W30" s="49"/>
      <c r="X30" s="18">
        <f t="shared" si="1"/>
        <v>300</v>
      </c>
      <c r="Y30" s="18">
        <f t="shared" si="2"/>
        <v>285</v>
      </c>
      <c r="Z30" s="19">
        <f t="shared" si="0"/>
        <v>0.59992500937382831</v>
      </c>
      <c r="AA30" s="29">
        <v>1</v>
      </c>
      <c r="AB30" s="21"/>
    </row>
    <row r="31" spans="1:28" s="21" customFormat="1" ht="26.25">
      <c r="A31" s="28">
        <v>4</v>
      </c>
      <c r="B31" s="42" t="s">
        <v>54</v>
      </c>
      <c r="C31" s="43"/>
      <c r="D31" s="43"/>
      <c r="E31" s="43"/>
      <c r="F31" s="43"/>
      <c r="G31" s="43"/>
      <c r="H31" s="43"/>
      <c r="I31" s="44"/>
      <c r="J31" s="45" t="s">
        <v>41</v>
      </c>
      <c r="K31" s="46"/>
      <c r="L31" s="46"/>
      <c r="M31" s="47"/>
      <c r="N31" s="45" t="s">
        <v>29</v>
      </c>
      <c r="O31" s="46"/>
      <c r="P31" s="46"/>
      <c r="Q31" s="47"/>
      <c r="R31" s="51">
        <f>0.55+0.55</f>
        <v>1.1000000000000001</v>
      </c>
      <c r="S31" s="52"/>
      <c r="T31" s="51"/>
      <c r="U31" s="52"/>
      <c r="V31" s="51">
        <f>R31</f>
        <v>1.1000000000000001</v>
      </c>
      <c r="W31" s="52"/>
      <c r="X31" s="18">
        <f t="shared" si="1"/>
        <v>54.54545454545454</v>
      </c>
      <c r="Y31" s="18">
        <f t="shared" si="2"/>
        <v>51.818181818181813</v>
      </c>
      <c r="Z31" s="19">
        <f t="shared" si="0"/>
        <v>3.2995875515560558</v>
      </c>
      <c r="AA31" s="29">
        <v>3.5</v>
      </c>
    </row>
    <row r="32" spans="1:28" s="21" customFormat="1" ht="26.25">
      <c r="A32" s="28">
        <v>5</v>
      </c>
      <c r="B32" s="42" t="s">
        <v>55</v>
      </c>
      <c r="C32" s="43"/>
      <c r="D32" s="43"/>
      <c r="E32" s="43"/>
      <c r="F32" s="43"/>
      <c r="G32" s="43"/>
      <c r="H32" s="43"/>
      <c r="I32" s="44"/>
      <c r="J32" s="45" t="s">
        <v>28</v>
      </c>
      <c r="K32" s="46"/>
      <c r="L32" s="46"/>
      <c r="M32" s="47"/>
      <c r="N32" s="45" t="s">
        <v>29</v>
      </c>
      <c r="O32" s="46"/>
      <c r="P32" s="46"/>
      <c r="Q32" s="47"/>
      <c r="R32" s="51">
        <f>0.22+0.22</f>
        <v>0.44</v>
      </c>
      <c r="S32" s="52"/>
      <c r="T32" s="51">
        <f>R32</f>
        <v>0.44</v>
      </c>
      <c r="U32" s="52"/>
      <c r="V32" s="51"/>
      <c r="W32" s="52"/>
      <c r="X32" s="18">
        <f t="shared" si="1"/>
        <v>136.36363636363637</v>
      </c>
      <c r="Y32" s="18">
        <f t="shared" si="2"/>
        <v>129.54545454545456</v>
      </c>
      <c r="Z32" s="19">
        <f t="shared" si="0"/>
        <v>1.3198350206224221</v>
      </c>
      <c r="AA32" s="29">
        <v>1.5</v>
      </c>
    </row>
    <row r="33" spans="1:27" s="21" customFormat="1" ht="26.25">
      <c r="A33" s="28">
        <v>6</v>
      </c>
      <c r="B33" s="42" t="s">
        <v>56</v>
      </c>
      <c r="C33" s="43"/>
      <c r="D33" s="43"/>
      <c r="E33" s="43"/>
      <c r="F33" s="43"/>
      <c r="G33" s="43"/>
      <c r="H33" s="43"/>
      <c r="I33" s="44"/>
      <c r="J33" s="45" t="s">
        <v>28</v>
      </c>
      <c r="K33" s="46"/>
      <c r="L33" s="46"/>
      <c r="M33" s="47"/>
      <c r="N33" s="45" t="s">
        <v>29</v>
      </c>
      <c r="O33" s="46"/>
      <c r="P33" s="46"/>
      <c r="Q33" s="47"/>
      <c r="R33" s="51">
        <f>0.9+0.9</f>
        <v>1.8</v>
      </c>
      <c r="S33" s="52"/>
      <c r="T33" s="51">
        <f t="shared" ref="T33" si="3">R33</f>
        <v>1.8</v>
      </c>
      <c r="U33" s="52"/>
      <c r="V33" s="51"/>
      <c r="W33" s="52"/>
      <c r="X33" s="18">
        <f t="shared" si="1"/>
        <v>33.333333333333336</v>
      </c>
      <c r="Y33" s="18">
        <f t="shared" si="2"/>
        <v>31.666666666666668</v>
      </c>
      <c r="Z33" s="19">
        <f t="shared" si="0"/>
        <v>5.3993250843644542</v>
      </c>
      <c r="AA33" s="29">
        <v>5.5</v>
      </c>
    </row>
    <row r="34" spans="1:27" s="21" customFormat="1" ht="26.25">
      <c r="A34" s="28">
        <v>7</v>
      </c>
      <c r="B34" s="42" t="s">
        <v>119</v>
      </c>
      <c r="C34" s="43"/>
      <c r="D34" s="43"/>
      <c r="E34" s="43"/>
      <c r="F34" s="43"/>
      <c r="G34" s="43"/>
      <c r="H34" s="43"/>
      <c r="I34" s="44"/>
      <c r="J34" s="45" t="s">
        <v>120</v>
      </c>
      <c r="K34" s="46"/>
      <c r="L34" s="46"/>
      <c r="M34" s="47"/>
      <c r="N34" s="45" t="s">
        <v>29</v>
      </c>
      <c r="O34" s="46"/>
      <c r="P34" s="46"/>
      <c r="Q34" s="47"/>
      <c r="R34" s="51">
        <v>0.8</v>
      </c>
      <c r="S34" s="52"/>
      <c r="T34" s="51">
        <f>R34</f>
        <v>0.8</v>
      </c>
      <c r="U34" s="52"/>
      <c r="V34" s="51"/>
      <c r="W34" s="52"/>
      <c r="X34" s="18">
        <f t="shared" ref="X34" si="4">60/R34</f>
        <v>75</v>
      </c>
      <c r="Y34" s="18">
        <f t="shared" ref="Y34" si="5">X34*0.95</f>
        <v>71.25</v>
      </c>
      <c r="Z34" s="19">
        <f t="shared" ref="Z34" si="6">AA$5/Y34</f>
        <v>2.3997000374953132</v>
      </c>
      <c r="AA34" s="29">
        <v>2.5</v>
      </c>
    </row>
    <row r="35" spans="1:27" ht="26.25">
      <c r="A35" s="28">
        <v>8</v>
      </c>
      <c r="B35" s="34" t="s">
        <v>57</v>
      </c>
      <c r="C35" s="35"/>
      <c r="D35" s="35"/>
      <c r="E35" s="35"/>
      <c r="F35" s="35"/>
      <c r="G35" s="35"/>
      <c r="H35" s="35"/>
      <c r="I35" s="36"/>
      <c r="J35" s="37" t="s">
        <v>28</v>
      </c>
      <c r="K35" s="38"/>
      <c r="L35" s="38"/>
      <c r="M35" s="39"/>
      <c r="N35" s="37" t="s">
        <v>58</v>
      </c>
      <c r="O35" s="38"/>
      <c r="P35" s="38"/>
      <c r="Q35" s="39"/>
      <c r="R35" s="40">
        <v>0.4</v>
      </c>
      <c r="S35" s="41"/>
      <c r="T35" s="40">
        <f>R35</f>
        <v>0.4</v>
      </c>
      <c r="U35" s="41"/>
      <c r="V35" s="40"/>
      <c r="W35" s="41"/>
      <c r="X35" s="18">
        <f t="shared" ref="X35:X40" si="7">60/R35</f>
        <v>150</v>
      </c>
      <c r="Y35" s="18">
        <f t="shared" ref="Y35:Y41" si="8">X35*0.95</f>
        <v>142.5</v>
      </c>
      <c r="Z35" s="19">
        <f t="shared" ref="Z35:Z41" si="9">AA$5/Y35</f>
        <v>1.1998500187476566</v>
      </c>
      <c r="AA35" s="20">
        <v>1.5</v>
      </c>
    </row>
    <row r="36" spans="1:27" ht="26.25">
      <c r="A36" s="28">
        <v>9</v>
      </c>
      <c r="B36" s="34" t="s">
        <v>59</v>
      </c>
      <c r="C36" s="35"/>
      <c r="D36" s="35"/>
      <c r="E36" s="35"/>
      <c r="F36" s="35"/>
      <c r="G36" s="35"/>
      <c r="H36" s="35"/>
      <c r="I36" s="36"/>
      <c r="J36" s="37" t="s">
        <v>60</v>
      </c>
      <c r="K36" s="38"/>
      <c r="L36" s="38"/>
      <c r="M36" s="39"/>
      <c r="N36" s="37" t="s">
        <v>29</v>
      </c>
      <c r="O36" s="38"/>
      <c r="P36" s="38"/>
      <c r="Q36" s="39"/>
      <c r="R36" s="40">
        <v>0.66</v>
      </c>
      <c r="S36" s="41"/>
      <c r="T36" s="40">
        <f>R36</f>
        <v>0.66</v>
      </c>
      <c r="U36" s="41"/>
      <c r="V36" s="40"/>
      <c r="W36" s="41"/>
      <c r="X36" s="18">
        <f t="shared" si="7"/>
        <v>90.909090909090907</v>
      </c>
      <c r="Y36" s="18">
        <f t="shared" si="8"/>
        <v>86.36363636363636</v>
      </c>
      <c r="Z36" s="19">
        <f t="shared" si="9"/>
        <v>1.9797525309336335</v>
      </c>
      <c r="AA36" s="20">
        <v>2</v>
      </c>
    </row>
    <row r="37" spans="1:27" ht="26.25">
      <c r="A37" s="28">
        <v>10</v>
      </c>
      <c r="B37" s="34" t="s">
        <v>61</v>
      </c>
      <c r="C37" s="35"/>
      <c r="D37" s="35"/>
      <c r="E37" s="35"/>
      <c r="F37" s="35"/>
      <c r="G37" s="35"/>
      <c r="H37" s="35"/>
      <c r="I37" s="36"/>
      <c r="J37" s="37" t="s">
        <v>53</v>
      </c>
      <c r="K37" s="38"/>
      <c r="L37" s="38"/>
      <c r="M37" s="39"/>
      <c r="N37" s="37" t="s">
        <v>29</v>
      </c>
      <c r="O37" s="38"/>
      <c r="P37" s="38"/>
      <c r="Q37" s="39"/>
      <c r="R37" s="40">
        <v>0.3</v>
      </c>
      <c r="S37" s="41"/>
      <c r="T37" s="40"/>
      <c r="U37" s="41"/>
      <c r="V37" s="40">
        <f>R37</f>
        <v>0.3</v>
      </c>
      <c r="W37" s="41"/>
      <c r="X37" s="18">
        <f t="shared" si="7"/>
        <v>200</v>
      </c>
      <c r="Y37" s="18">
        <f t="shared" si="8"/>
        <v>190</v>
      </c>
      <c r="Z37" s="19">
        <f t="shared" si="9"/>
        <v>0.89988751406074241</v>
      </c>
      <c r="AA37" s="20">
        <v>1</v>
      </c>
    </row>
    <row r="38" spans="1:27" ht="26.25">
      <c r="A38" s="28">
        <v>11</v>
      </c>
      <c r="B38" s="34" t="s">
        <v>118</v>
      </c>
      <c r="C38" s="35"/>
      <c r="D38" s="35"/>
      <c r="E38" s="35"/>
      <c r="F38" s="35"/>
      <c r="G38" s="35"/>
      <c r="H38" s="35"/>
      <c r="I38" s="36"/>
      <c r="J38" s="37" t="s">
        <v>62</v>
      </c>
      <c r="K38" s="38"/>
      <c r="L38" s="38"/>
      <c r="M38" s="39"/>
      <c r="N38" s="37" t="s">
        <v>29</v>
      </c>
      <c r="O38" s="38"/>
      <c r="P38" s="38"/>
      <c r="Q38" s="39"/>
      <c r="R38" s="40">
        <v>0.49</v>
      </c>
      <c r="S38" s="41"/>
      <c r="T38" s="40">
        <f>R38</f>
        <v>0.49</v>
      </c>
      <c r="U38" s="41"/>
      <c r="V38" s="40"/>
      <c r="W38" s="41"/>
      <c r="X38" s="18">
        <f t="shared" si="7"/>
        <v>122.44897959183673</v>
      </c>
      <c r="Y38" s="18">
        <f t="shared" si="8"/>
        <v>116.32653061224489</v>
      </c>
      <c r="Z38" s="19">
        <f t="shared" si="9"/>
        <v>1.4698162729658792</v>
      </c>
      <c r="AA38" s="20">
        <v>1.5</v>
      </c>
    </row>
    <row r="39" spans="1:27" s="21" customFormat="1" ht="26.25">
      <c r="A39" s="28">
        <v>12</v>
      </c>
      <c r="B39" s="42" t="s">
        <v>63</v>
      </c>
      <c r="C39" s="43"/>
      <c r="D39" s="43"/>
      <c r="E39" s="43"/>
      <c r="F39" s="43"/>
      <c r="G39" s="43"/>
      <c r="H39" s="43"/>
      <c r="I39" s="44"/>
      <c r="J39" s="45" t="s">
        <v>28</v>
      </c>
      <c r="K39" s="46"/>
      <c r="L39" s="46"/>
      <c r="M39" s="47"/>
      <c r="N39" s="45" t="s">
        <v>29</v>
      </c>
      <c r="O39" s="46"/>
      <c r="P39" s="46"/>
      <c r="Q39" s="47"/>
      <c r="R39" s="51">
        <v>0.45</v>
      </c>
      <c r="S39" s="52"/>
      <c r="T39" s="51">
        <f>R39</f>
        <v>0.45</v>
      </c>
      <c r="U39" s="52"/>
      <c r="V39" s="51"/>
      <c r="W39" s="52"/>
      <c r="X39" s="30">
        <f t="shared" si="7"/>
        <v>133.33333333333334</v>
      </c>
      <c r="Y39" s="30">
        <f t="shared" si="8"/>
        <v>126.66666666666667</v>
      </c>
      <c r="Z39" s="31">
        <f t="shared" si="9"/>
        <v>1.3498312710911136</v>
      </c>
      <c r="AA39" s="29">
        <v>1</v>
      </c>
    </row>
    <row r="40" spans="1:27" ht="26.25">
      <c r="A40" s="28">
        <v>13</v>
      </c>
      <c r="B40" s="34" t="s">
        <v>64</v>
      </c>
      <c r="C40" s="35"/>
      <c r="D40" s="35"/>
      <c r="E40" s="35"/>
      <c r="F40" s="35"/>
      <c r="G40" s="35"/>
      <c r="H40" s="35"/>
      <c r="I40" s="36"/>
      <c r="J40" s="37" t="s">
        <v>28</v>
      </c>
      <c r="K40" s="38"/>
      <c r="L40" s="38"/>
      <c r="M40" s="39"/>
      <c r="N40" s="37" t="s">
        <v>29</v>
      </c>
      <c r="O40" s="38"/>
      <c r="P40" s="38"/>
      <c r="Q40" s="39"/>
      <c r="R40" s="40">
        <v>0.5</v>
      </c>
      <c r="S40" s="41"/>
      <c r="T40" s="40">
        <f>R40</f>
        <v>0.5</v>
      </c>
      <c r="U40" s="41"/>
      <c r="V40" s="40"/>
      <c r="W40" s="41"/>
      <c r="X40" s="18">
        <f t="shared" si="7"/>
        <v>120</v>
      </c>
      <c r="Y40" s="18">
        <f t="shared" si="8"/>
        <v>114</v>
      </c>
      <c r="Z40" s="19">
        <f t="shared" si="9"/>
        <v>1.4998125234345707</v>
      </c>
      <c r="AA40" s="20">
        <v>1.5</v>
      </c>
    </row>
    <row r="41" spans="1:27" s="21" customFormat="1" ht="26.25">
      <c r="A41" s="28">
        <v>14</v>
      </c>
      <c r="B41" s="42" t="s">
        <v>65</v>
      </c>
      <c r="C41" s="43"/>
      <c r="D41" s="43"/>
      <c r="E41" s="43"/>
      <c r="F41" s="43"/>
      <c r="G41" s="43"/>
      <c r="H41" s="43"/>
      <c r="I41" s="44"/>
      <c r="J41" s="71" t="s">
        <v>53</v>
      </c>
      <c r="K41" s="72"/>
      <c r="L41" s="72"/>
      <c r="M41" s="73"/>
      <c r="N41" s="71" t="s">
        <v>29</v>
      </c>
      <c r="O41" s="72"/>
      <c r="P41" s="72"/>
      <c r="Q41" s="73"/>
      <c r="R41" s="66">
        <v>0.25</v>
      </c>
      <c r="S41" s="67"/>
      <c r="T41" s="66"/>
      <c r="U41" s="67"/>
      <c r="V41" s="66">
        <f>R41</f>
        <v>0.25</v>
      </c>
      <c r="W41" s="67"/>
      <c r="X41" s="30">
        <f t="shared" si="1"/>
        <v>240</v>
      </c>
      <c r="Y41" s="30">
        <f t="shared" si="8"/>
        <v>228</v>
      </c>
      <c r="Z41" s="31">
        <f t="shared" si="9"/>
        <v>0.74990626171728536</v>
      </c>
      <c r="AA41" s="29">
        <v>1</v>
      </c>
    </row>
    <row r="42" spans="1:27" ht="26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50" t="s">
        <v>48</v>
      </c>
      <c r="O42" s="50"/>
      <c r="P42" s="50"/>
      <c r="Q42" s="50"/>
      <c r="R42" s="50">
        <f>SUM(R28:S41)</f>
        <v>8.7000000000000011</v>
      </c>
      <c r="S42" s="50"/>
      <c r="T42" s="50">
        <f>SUM(T28:U41)</f>
        <v>6.4400000000000013</v>
      </c>
      <c r="U42" s="50"/>
      <c r="V42" s="50">
        <f>SUM(V28:W41)</f>
        <v>2.2599999999999998</v>
      </c>
      <c r="W42" s="50"/>
      <c r="X42" s="18"/>
      <c r="Y42" s="18"/>
      <c r="Z42" s="19"/>
      <c r="AA42" s="24">
        <f>SUM(AA28:AA41)</f>
        <v>28</v>
      </c>
    </row>
    <row r="43" spans="1:27" ht="26.25">
      <c r="A43" s="25"/>
      <c r="B43" s="26" t="s">
        <v>66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26.25">
      <c r="A44" s="32">
        <v>1</v>
      </c>
      <c r="B44" s="34" t="s">
        <v>67</v>
      </c>
      <c r="C44" s="35"/>
      <c r="D44" s="35"/>
      <c r="E44" s="35"/>
      <c r="F44" s="35"/>
      <c r="G44" s="35"/>
      <c r="H44" s="35"/>
      <c r="I44" s="36"/>
      <c r="J44" s="37" t="s">
        <v>68</v>
      </c>
      <c r="K44" s="38"/>
      <c r="L44" s="38"/>
      <c r="M44" s="39"/>
      <c r="N44" s="37" t="s">
        <v>29</v>
      </c>
      <c r="O44" s="38"/>
      <c r="P44" s="38"/>
      <c r="Q44" s="39"/>
      <c r="R44" s="40">
        <v>0.4</v>
      </c>
      <c r="S44" s="41"/>
      <c r="T44" s="40">
        <f>R44</f>
        <v>0.4</v>
      </c>
      <c r="U44" s="41"/>
      <c r="V44" s="40"/>
      <c r="W44" s="41"/>
      <c r="X44" s="18">
        <f t="shared" ref="X44" si="10">60/R44</f>
        <v>150</v>
      </c>
      <c r="Y44" s="18">
        <f t="shared" ref="Y44" si="11">X44*0.95</f>
        <v>142.5</v>
      </c>
      <c r="Z44" s="19">
        <f t="shared" ref="Z44" si="12">AA$5/Y44</f>
        <v>1.1998500187476566</v>
      </c>
      <c r="AA44" s="20">
        <v>1.5</v>
      </c>
    </row>
    <row r="45" spans="1:27" ht="26.25">
      <c r="A45" s="32">
        <v>2</v>
      </c>
      <c r="B45" s="34" t="s">
        <v>69</v>
      </c>
      <c r="C45" s="35"/>
      <c r="D45" s="35"/>
      <c r="E45" s="35"/>
      <c r="F45" s="35"/>
      <c r="G45" s="35"/>
      <c r="H45" s="35"/>
      <c r="I45" s="36"/>
      <c r="J45" s="37" t="s">
        <v>28</v>
      </c>
      <c r="K45" s="38"/>
      <c r="L45" s="38"/>
      <c r="M45" s="39"/>
      <c r="N45" s="37" t="s">
        <v>70</v>
      </c>
      <c r="O45" s="38"/>
      <c r="P45" s="38"/>
      <c r="Q45" s="39"/>
      <c r="R45" s="40">
        <v>0.53</v>
      </c>
      <c r="S45" s="41"/>
      <c r="T45" s="40">
        <f>R45</f>
        <v>0.53</v>
      </c>
      <c r="U45" s="41"/>
      <c r="V45" s="40"/>
      <c r="W45" s="41"/>
      <c r="X45" s="18">
        <f t="shared" si="1"/>
        <v>113.20754716981132</v>
      </c>
      <c r="Y45" s="18">
        <f t="shared" si="2"/>
        <v>107.54716981132074</v>
      </c>
      <c r="Z45" s="19">
        <f t="shared" si="0"/>
        <v>1.5898012748406452</v>
      </c>
      <c r="AA45" s="20">
        <v>1.5</v>
      </c>
    </row>
    <row r="46" spans="1:27" ht="26.25">
      <c r="A46" s="32">
        <v>3</v>
      </c>
      <c r="B46" s="34" t="s">
        <v>71</v>
      </c>
      <c r="C46" s="35"/>
      <c r="D46" s="35"/>
      <c r="E46" s="35"/>
      <c r="F46" s="35"/>
      <c r="G46" s="35"/>
      <c r="H46" s="35"/>
      <c r="I46" s="36"/>
      <c r="J46" s="37" t="s">
        <v>28</v>
      </c>
      <c r="K46" s="38"/>
      <c r="L46" s="38"/>
      <c r="M46" s="39"/>
      <c r="N46" s="37" t="s">
        <v>29</v>
      </c>
      <c r="O46" s="38"/>
      <c r="P46" s="38"/>
      <c r="Q46" s="39"/>
      <c r="R46" s="40">
        <v>0.3</v>
      </c>
      <c r="S46" s="41"/>
      <c r="T46" s="40">
        <f>R46</f>
        <v>0.3</v>
      </c>
      <c r="U46" s="41"/>
      <c r="V46" s="40"/>
      <c r="W46" s="41"/>
      <c r="X46" s="18">
        <f t="shared" si="1"/>
        <v>200</v>
      </c>
      <c r="Y46" s="18">
        <f t="shared" si="2"/>
        <v>190</v>
      </c>
      <c r="Z46" s="19">
        <f t="shared" si="0"/>
        <v>0.89988751406074241</v>
      </c>
      <c r="AA46" s="20">
        <v>1</v>
      </c>
    </row>
    <row r="47" spans="1:27" ht="26.25">
      <c r="A47" s="32">
        <v>4</v>
      </c>
      <c r="B47" s="34" t="s">
        <v>72</v>
      </c>
      <c r="C47" s="35"/>
      <c r="D47" s="35"/>
      <c r="E47" s="35"/>
      <c r="F47" s="35"/>
      <c r="G47" s="35"/>
      <c r="H47" s="35"/>
      <c r="I47" s="36"/>
      <c r="J47" s="37" t="s">
        <v>73</v>
      </c>
      <c r="K47" s="38"/>
      <c r="L47" s="38"/>
      <c r="M47" s="39"/>
      <c r="N47" s="37" t="s">
        <v>74</v>
      </c>
      <c r="O47" s="38"/>
      <c r="P47" s="38"/>
      <c r="Q47" s="39"/>
      <c r="R47" s="40">
        <v>0.4</v>
      </c>
      <c r="S47" s="41"/>
      <c r="T47" s="40"/>
      <c r="U47" s="41"/>
      <c r="V47" s="40">
        <f>R47</f>
        <v>0.4</v>
      </c>
      <c r="W47" s="41"/>
      <c r="X47" s="18">
        <f t="shared" si="1"/>
        <v>150</v>
      </c>
      <c r="Y47" s="18">
        <f t="shared" si="2"/>
        <v>142.5</v>
      </c>
      <c r="Z47" s="19">
        <f t="shared" si="0"/>
        <v>1.1998500187476566</v>
      </c>
      <c r="AA47" s="20">
        <v>1.5</v>
      </c>
    </row>
    <row r="48" spans="1:27" ht="26.25">
      <c r="A48" s="32">
        <v>5</v>
      </c>
      <c r="B48" s="34" t="s">
        <v>75</v>
      </c>
      <c r="C48" s="35"/>
      <c r="D48" s="35"/>
      <c r="E48" s="35"/>
      <c r="F48" s="35"/>
      <c r="G48" s="35"/>
      <c r="H48" s="35"/>
      <c r="I48" s="36"/>
      <c r="J48" s="37" t="s">
        <v>28</v>
      </c>
      <c r="K48" s="38"/>
      <c r="L48" s="38"/>
      <c r="M48" s="39"/>
      <c r="N48" s="37" t="s">
        <v>29</v>
      </c>
      <c r="O48" s="38"/>
      <c r="P48" s="38"/>
      <c r="Q48" s="39"/>
      <c r="R48" s="40">
        <v>1.2</v>
      </c>
      <c r="S48" s="41"/>
      <c r="T48" s="40">
        <f>R48</f>
        <v>1.2</v>
      </c>
      <c r="U48" s="41"/>
      <c r="V48" s="40"/>
      <c r="W48" s="41"/>
      <c r="X48" s="18">
        <f t="shared" si="1"/>
        <v>50</v>
      </c>
      <c r="Y48" s="18">
        <f t="shared" si="2"/>
        <v>47.5</v>
      </c>
      <c r="Z48" s="19">
        <f t="shared" si="0"/>
        <v>3.5995500562429696</v>
      </c>
      <c r="AA48" s="20">
        <v>4</v>
      </c>
    </row>
    <row r="49" spans="1:27" ht="26.25">
      <c r="A49" s="32">
        <v>6</v>
      </c>
      <c r="B49" s="34" t="s">
        <v>76</v>
      </c>
      <c r="C49" s="35"/>
      <c r="D49" s="35"/>
      <c r="E49" s="35"/>
      <c r="F49" s="35"/>
      <c r="G49" s="35"/>
      <c r="H49" s="35"/>
      <c r="I49" s="36"/>
      <c r="J49" s="37" t="s">
        <v>43</v>
      </c>
      <c r="K49" s="38"/>
      <c r="L49" s="38"/>
      <c r="M49" s="39"/>
      <c r="N49" s="37" t="s">
        <v>29</v>
      </c>
      <c r="O49" s="38"/>
      <c r="P49" s="38"/>
      <c r="Q49" s="39"/>
      <c r="R49" s="40">
        <v>0.2</v>
      </c>
      <c r="S49" s="41"/>
      <c r="T49" s="40"/>
      <c r="U49" s="41"/>
      <c r="V49" s="40">
        <f>R49</f>
        <v>0.2</v>
      </c>
      <c r="W49" s="41"/>
      <c r="X49" s="18">
        <f t="shared" si="1"/>
        <v>300</v>
      </c>
      <c r="Y49" s="18">
        <f t="shared" si="2"/>
        <v>285</v>
      </c>
      <c r="Z49" s="19">
        <f t="shared" si="0"/>
        <v>0.59992500937382831</v>
      </c>
      <c r="AA49" s="20">
        <v>1</v>
      </c>
    </row>
    <row r="50" spans="1:27" ht="26.25">
      <c r="A50" s="32">
        <v>7</v>
      </c>
      <c r="B50" s="34" t="s">
        <v>77</v>
      </c>
      <c r="C50" s="35"/>
      <c r="D50" s="35"/>
      <c r="E50" s="35"/>
      <c r="F50" s="35"/>
      <c r="G50" s="35"/>
      <c r="H50" s="35"/>
      <c r="I50" s="36"/>
      <c r="J50" s="37" t="s">
        <v>60</v>
      </c>
      <c r="K50" s="38"/>
      <c r="L50" s="38"/>
      <c r="M50" s="39"/>
      <c r="N50" s="37" t="s">
        <v>29</v>
      </c>
      <c r="O50" s="38"/>
      <c r="P50" s="38"/>
      <c r="Q50" s="39"/>
      <c r="R50" s="40">
        <v>0.28999999999999998</v>
      </c>
      <c r="S50" s="41"/>
      <c r="T50" s="40">
        <f>R50</f>
        <v>0.28999999999999998</v>
      </c>
      <c r="U50" s="41"/>
      <c r="V50" s="40"/>
      <c r="W50" s="41"/>
      <c r="X50" s="18">
        <f t="shared" si="1"/>
        <v>206.89655172413794</v>
      </c>
      <c r="Y50" s="18">
        <f t="shared" si="2"/>
        <v>196.55172413793102</v>
      </c>
      <c r="Z50" s="19">
        <f t="shared" si="0"/>
        <v>0.86989126359205104</v>
      </c>
      <c r="AA50" s="20">
        <v>1</v>
      </c>
    </row>
    <row r="51" spans="1:27" ht="26.25">
      <c r="A51" s="32">
        <v>8</v>
      </c>
      <c r="B51" s="34" t="s">
        <v>78</v>
      </c>
      <c r="C51" s="35"/>
      <c r="D51" s="35"/>
      <c r="E51" s="35"/>
      <c r="F51" s="35"/>
      <c r="G51" s="35"/>
      <c r="H51" s="35"/>
      <c r="I51" s="36"/>
      <c r="J51" s="37" t="s">
        <v>62</v>
      </c>
      <c r="K51" s="38"/>
      <c r="L51" s="38"/>
      <c r="M51" s="39"/>
      <c r="N51" s="37" t="s">
        <v>29</v>
      </c>
      <c r="O51" s="38"/>
      <c r="P51" s="38"/>
      <c r="Q51" s="39"/>
      <c r="R51" s="40">
        <v>0.27</v>
      </c>
      <c r="S51" s="41"/>
      <c r="T51" s="40">
        <f>R51</f>
        <v>0.27</v>
      </c>
      <c r="U51" s="41"/>
      <c r="V51" s="40"/>
      <c r="W51" s="41"/>
      <c r="X51" s="18">
        <f t="shared" si="1"/>
        <v>222.2222222222222</v>
      </c>
      <c r="Y51" s="18">
        <f t="shared" si="2"/>
        <v>211.11111111111109</v>
      </c>
      <c r="Z51" s="19">
        <f t="shared" si="0"/>
        <v>0.80989876265466831</v>
      </c>
      <c r="AA51" s="20">
        <v>1</v>
      </c>
    </row>
    <row r="52" spans="1:27" ht="26.25">
      <c r="A52" s="3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0" t="s">
        <v>48</v>
      </c>
      <c r="O52" s="50"/>
      <c r="P52" s="50"/>
      <c r="Q52" s="50"/>
      <c r="R52" s="50">
        <f>SUM(R44:S51)</f>
        <v>3.5900000000000003</v>
      </c>
      <c r="S52" s="50"/>
      <c r="T52" s="50">
        <f t="shared" ref="T52" si="13">SUM(T44:U51)</f>
        <v>2.9899999999999998</v>
      </c>
      <c r="U52" s="50"/>
      <c r="V52" s="50">
        <f t="shared" ref="V52" si="14">SUM(V44:W51)</f>
        <v>0.60000000000000009</v>
      </c>
      <c r="W52" s="50"/>
      <c r="X52" s="18"/>
      <c r="Y52" s="18"/>
      <c r="Z52" s="19"/>
      <c r="AA52" s="24">
        <f>SUM(AA44:AA51)</f>
        <v>12.5</v>
      </c>
    </row>
    <row r="53" spans="1:27" ht="26.25">
      <c r="A53" s="25"/>
      <c r="B53" s="26" t="s">
        <v>79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26.25">
      <c r="A54" s="32">
        <v>1</v>
      </c>
      <c r="B54" s="34" t="s">
        <v>80</v>
      </c>
      <c r="C54" s="35"/>
      <c r="D54" s="35"/>
      <c r="E54" s="35"/>
      <c r="F54" s="35"/>
      <c r="G54" s="35"/>
      <c r="H54" s="35"/>
      <c r="I54" s="36"/>
      <c r="J54" s="37" t="s">
        <v>81</v>
      </c>
      <c r="K54" s="38"/>
      <c r="L54" s="38"/>
      <c r="M54" s="39"/>
      <c r="N54" s="37" t="s">
        <v>29</v>
      </c>
      <c r="O54" s="38"/>
      <c r="P54" s="38"/>
      <c r="Q54" s="39"/>
      <c r="R54" s="40">
        <v>0.3</v>
      </c>
      <c r="S54" s="41"/>
      <c r="T54" s="40"/>
      <c r="U54" s="41"/>
      <c r="V54" s="40">
        <f>R54</f>
        <v>0.3</v>
      </c>
      <c r="W54" s="41"/>
      <c r="X54" s="18">
        <f t="shared" si="1"/>
        <v>200</v>
      </c>
      <c r="Y54" s="18">
        <f t="shared" si="2"/>
        <v>190</v>
      </c>
      <c r="Z54" s="19">
        <f t="shared" si="0"/>
        <v>0.89988751406074241</v>
      </c>
      <c r="AA54" s="20">
        <v>1</v>
      </c>
    </row>
    <row r="55" spans="1:27" ht="26.25">
      <c r="A55" s="32">
        <v>2</v>
      </c>
      <c r="B55" s="34" t="s">
        <v>82</v>
      </c>
      <c r="C55" s="35"/>
      <c r="D55" s="35"/>
      <c r="E55" s="35"/>
      <c r="F55" s="35"/>
      <c r="G55" s="35"/>
      <c r="H55" s="35"/>
      <c r="I55" s="36"/>
      <c r="J55" s="37" t="s">
        <v>28</v>
      </c>
      <c r="K55" s="38"/>
      <c r="L55" s="38"/>
      <c r="M55" s="39"/>
      <c r="N55" s="37" t="s">
        <v>29</v>
      </c>
      <c r="O55" s="38"/>
      <c r="P55" s="38"/>
      <c r="Q55" s="39"/>
      <c r="R55" s="40">
        <v>0.52</v>
      </c>
      <c r="S55" s="41"/>
      <c r="T55" s="40">
        <f>R55</f>
        <v>0.52</v>
      </c>
      <c r="U55" s="41"/>
      <c r="V55" s="40"/>
      <c r="W55" s="41"/>
      <c r="X55" s="18">
        <f t="shared" si="1"/>
        <v>115.38461538461539</v>
      </c>
      <c r="Y55" s="18">
        <f t="shared" si="2"/>
        <v>109.61538461538461</v>
      </c>
      <c r="Z55" s="19">
        <f t="shared" si="0"/>
        <v>1.5598050243719537</v>
      </c>
      <c r="AA55" s="20">
        <v>1.5</v>
      </c>
    </row>
    <row r="56" spans="1:27" ht="26.25">
      <c r="A56" s="32">
        <v>3</v>
      </c>
      <c r="B56" s="34" t="s">
        <v>83</v>
      </c>
      <c r="C56" s="35"/>
      <c r="D56" s="35"/>
      <c r="E56" s="35"/>
      <c r="F56" s="35"/>
      <c r="G56" s="35"/>
      <c r="H56" s="35"/>
      <c r="I56" s="36"/>
      <c r="J56" s="37" t="s">
        <v>43</v>
      </c>
      <c r="K56" s="38"/>
      <c r="L56" s="38"/>
      <c r="M56" s="39"/>
      <c r="N56" s="37" t="s">
        <v>29</v>
      </c>
      <c r="O56" s="38"/>
      <c r="P56" s="38"/>
      <c r="Q56" s="39"/>
      <c r="R56" s="40">
        <v>0.26</v>
      </c>
      <c r="S56" s="41"/>
      <c r="T56" s="40"/>
      <c r="U56" s="41"/>
      <c r="V56" s="40">
        <f>R56</f>
        <v>0.26</v>
      </c>
      <c r="W56" s="41"/>
      <c r="X56" s="18">
        <f t="shared" si="1"/>
        <v>230.76923076923077</v>
      </c>
      <c r="Y56" s="18">
        <f t="shared" si="2"/>
        <v>219.23076923076923</v>
      </c>
      <c r="Z56" s="19">
        <f t="shared" si="0"/>
        <v>0.77990251218597684</v>
      </c>
      <c r="AA56" s="20">
        <v>1</v>
      </c>
    </row>
    <row r="57" spans="1:27" ht="26.25">
      <c r="A57" s="32">
        <v>4</v>
      </c>
      <c r="B57" s="34" t="s">
        <v>84</v>
      </c>
      <c r="C57" s="35"/>
      <c r="D57" s="35"/>
      <c r="E57" s="35"/>
      <c r="F57" s="35"/>
      <c r="G57" s="35"/>
      <c r="H57" s="35"/>
      <c r="I57" s="36"/>
      <c r="J57" s="37" t="s">
        <v>39</v>
      </c>
      <c r="K57" s="38"/>
      <c r="L57" s="38"/>
      <c r="M57" s="39"/>
      <c r="N57" s="37" t="s">
        <v>29</v>
      </c>
      <c r="O57" s="38"/>
      <c r="P57" s="38"/>
      <c r="Q57" s="39"/>
      <c r="R57" s="40">
        <v>0.25</v>
      </c>
      <c r="S57" s="41"/>
      <c r="T57" s="40"/>
      <c r="U57" s="41"/>
      <c r="V57" s="40">
        <f>R57</f>
        <v>0.25</v>
      </c>
      <c r="W57" s="41"/>
      <c r="X57" s="18">
        <f t="shared" si="1"/>
        <v>240</v>
      </c>
      <c r="Y57" s="18">
        <f t="shared" si="2"/>
        <v>228</v>
      </c>
      <c r="Z57" s="19">
        <f t="shared" si="0"/>
        <v>0.74990626171728536</v>
      </c>
      <c r="AA57" s="20">
        <v>1</v>
      </c>
    </row>
    <row r="58" spans="1:27" ht="26.25">
      <c r="A58" s="32">
        <v>5</v>
      </c>
      <c r="B58" s="34" t="s">
        <v>85</v>
      </c>
      <c r="C58" s="35"/>
      <c r="D58" s="35"/>
      <c r="E58" s="35"/>
      <c r="F58" s="35"/>
      <c r="G58" s="35"/>
      <c r="H58" s="35"/>
      <c r="I58" s="36"/>
      <c r="J58" s="37" t="s">
        <v>86</v>
      </c>
      <c r="K58" s="38"/>
      <c r="L58" s="38"/>
      <c r="M58" s="39"/>
      <c r="N58" s="37" t="s">
        <v>29</v>
      </c>
      <c r="O58" s="38"/>
      <c r="P58" s="38"/>
      <c r="Q58" s="39"/>
      <c r="R58" s="40">
        <v>0.25</v>
      </c>
      <c r="S58" s="41"/>
      <c r="T58" s="40"/>
      <c r="U58" s="41"/>
      <c r="V58" s="40">
        <f>R58</f>
        <v>0.25</v>
      </c>
      <c r="W58" s="41"/>
      <c r="X58" s="18">
        <f t="shared" si="1"/>
        <v>240</v>
      </c>
      <c r="Y58" s="18">
        <f t="shared" si="2"/>
        <v>228</v>
      </c>
      <c r="Z58" s="19">
        <f t="shared" si="0"/>
        <v>0.74990626171728536</v>
      </c>
      <c r="AA58" s="20">
        <v>1</v>
      </c>
    </row>
    <row r="59" spans="1:27" ht="26.25">
      <c r="A59" s="32">
        <v>6</v>
      </c>
      <c r="B59" s="34" t="s">
        <v>87</v>
      </c>
      <c r="C59" s="35"/>
      <c r="D59" s="35"/>
      <c r="E59" s="35"/>
      <c r="F59" s="35"/>
      <c r="G59" s="35"/>
      <c r="H59" s="35"/>
      <c r="I59" s="36"/>
      <c r="J59" s="37" t="s">
        <v>41</v>
      </c>
      <c r="K59" s="38"/>
      <c r="L59" s="38"/>
      <c r="M59" s="39"/>
      <c r="N59" s="37" t="s">
        <v>29</v>
      </c>
      <c r="O59" s="38"/>
      <c r="P59" s="38"/>
      <c r="Q59" s="39"/>
      <c r="R59" s="40">
        <v>0.45</v>
      </c>
      <c r="S59" s="41"/>
      <c r="T59" s="40"/>
      <c r="U59" s="41"/>
      <c r="V59" s="40">
        <f>R59</f>
        <v>0.45</v>
      </c>
      <c r="W59" s="41"/>
      <c r="X59" s="18">
        <f t="shared" si="1"/>
        <v>133.33333333333334</v>
      </c>
      <c r="Y59" s="18">
        <f t="shared" si="2"/>
        <v>126.66666666666667</v>
      </c>
      <c r="Z59" s="19">
        <f t="shared" si="0"/>
        <v>1.3498312710911136</v>
      </c>
      <c r="AA59" s="20">
        <v>1.5</v>
      </c>
    </row>
    <row r="60" spans="1:27" ht="26.25">
      <c r="A60" s="32">
        <v>7</v>
      </c>
      <c r="B60" s="34" t="s">
        <v>88</v>
      </c>
      <c r="C60" s="35"/>
      <c r="D60" s="35"/>
      <c r="E60" s="35"/>
      <c r="F60" s="35"/>
      <c r="G60" s="35"/>
      <c r="H60" s="35"/>
      <c r="I60" s="36"/>
      <c r="J60" s="37" t="s">
        <v>28</v>
      </c>
      <c r="K60" s="38"/>
      <c r="L60" s="38"/>
      <c r="M60" s="39"/>
      <c r="N60" s="37" t="s">
        <v>29</v>
      </c>
      <c r="O60" s="38"/>
      <c r="P60" s="38"/>
      <c r="Q60" s="39"/>
      <c r="R60" s="40">
        <v>0.52</v>
      </c>
      <c r="S60" s="41"/>
      <c r="T60" s="40">
        <f>R60</f>
        <v>0.52</v>
      </c>
      <c r="U60" s="41"/>
      <c r="V60" s="40"/>
      <c r="W60" s="41"/>
      <c r="X60" s="18">
        <f t="shared" si="1"/>
        <v>115.38461538461539</v>
      </c>
      <c r="Y60" s="18">
        <f t="shared" si="2"/>
        <v>109.61538461538461</v>
      </c>
      <c r="Z60" s="19">
        <f t="shared" si="0"/>
        <v>1.5598050243719537</v>
      </c>
      <c r="AA60" s="20">
        <v>1.5</v>
      </c>
    </row>
    <row r="61" spans="1:27" ht="26.25">
      <c r="A61" s="32">
        <v>8</v>
      </c>
      <c r="B61" s="34" t="s">
        <v>89</v>
      </c>
      <c r="C61" s="35"/>
      <c r="D61" s="35"/>
      <c r="E61" s="35"/>
      <c r="F61" s="35"/>
      <c r="G61" s="35"/>
      <c r="H61" s="35"/>
      <c r="I61" s="36"/>
      <c r="J61" s="37" t="s">
        <v>60</v>
      </c>
      <c r="K61" s="38"/>
      <c r="L61" s="38"/>
      <c r="M61" s="39"/>
      <c r="N61" s="37" t="s">
        <v>29</v>
      </c>
      <c r="O61" s="38"/>
      <c r="P61" s="38"/>
      <c r="Q61" s="39"/>
      <c r="R61" s="40">
        <v>0.28999999999999998</v>
      </c>
      <c r="S61" s="41"/>
      <c r="T61" s="40">
        <f>R61</f>
        <v>0.28999999999999998</v>
      </c>
      <c r="U61" s="41"/>
      <c r="V61" s="40"/>
      <c r="W61" s="41"/>
      <c r="X61" s="18">
        <f t="shared" si="1"/>
        <v>206.89655172413794</v>
      </c>
      <c r="Y61" s="18">
        <f t="shared" si="2"/>
        <v>196.55172413793102</v>
      </c>
      <c r="Z61" s="19">
        <f t="shared" si="0"/>
        <v>0.86989126359205104</v>
      </c>
      <c r="AA61" s="20">
        <v>1</v>
      </c>
    </row>
    <row r="62" spans="1:27" ht="26.25">
      <c r="A62" s="32">
        <v>9</v>
      </c>
      <c r="B62" s="34" t="s">
        <v>125</v>
      </c>
      <c r="C62" s="35"/>
      <c r="D62" s="35"/>
      <c r="E62" s="35"/>
      <c r="F62" s="35"/>
      <c r="G62" s="35"/>
      <c r="H62" s="35"/>
      <c r="I62" s="36"/>
      <c r="J62" s="37" t="s">
        <v>90</v>
      </c>
      <c r="K62" s="38"/>
      <c r="L62" s="38"/>
      <c r="M62" s="39"/>
      <c r="N62" s="37" t="s">
        <v>29</v>
      </c>
      <c r="O62" s="38"/>
      <c r="P62" s="38"/>
      <c r="Q62" s="39"/>
      <c r="R62" s="40">
        <v>0.25</v>
      </c>
      <c r="S62" s="41"/>
      <c r="T62" s="40">
        <f>R62</f>
        <v>0.25</v>
      </c>
      <c r="U62" s="41"/>
      <c r="V62" s="40"/>
      <c r="W62" s="41"/>
      <c r="X62" s="18">
        <f t="shared" si="1"/>
        <v>240</v>
      </c>
      <c r="Y62" s="18">
        <f t="shared" si="2"/>
        <v>228</v>
      </c>
      <c r="Z62" s="19">
        <f t="shared" si="0"/>
        <v>0.74990626171728536</v>
      </c>
      <c r="AA62" s="20">
        <v>1</v>
      </c>
    </row>
    <row r="63" spans="1:27" ht="26.25">
      <c r="A63" s="3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50" t="s">
        <v>48</v>
      </c>
      <c r="O63" s="50"/>
      <c r="P63" s="50"/>
      <c r="Q63" s="50"/>
      <c r="R63" s="50">
        <f>SUM(R54:S62)</f>
        <v>3.0900000000000003</v>
      </c>
      <c r="S63" s="50"/>
      <c r="T63" s="50">
        <f>SUM(T54:U62)</f>
        <v>1.58</v>
      </c>
      <c r="U63" s="50"/>
      <c r="V63" s="50">
        <f>SUM(V54:W62)</f>
        <v>1.51</v>
      </c>
      <c r="W63" s="50"/>
      <c r="X63" s="18"/>
      <c r="Y63" s="18"/>
      <c r="Z63" s="19"/>
      <c r="AA63" s="24">
        <f>SUM(AA54:AA62)</f>
        <v>10.5</v>
      </c>
    </row>
    <row r="64" spans="1:27" ht="26.25">
      <c r="A64" s="25"/>
      <c r="B64" s="26" t="s">
        <v>91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26.25">
      <c r="A65" s="32">
        <v>1</v>
      </c>
      <c r="B65" s="34" t="s">
        <v>121</v>
      </c>
      <c r="C65" s="35"/>
      <c r="D65" s="35"/>
      <c r="E65" s="35"/>
      <c r="F65" s="35"/>
      <c r="G65" s="35"/>
      <c r="H65" s="35"/>
      <c r="I65" s="36"/>
      <c r="J65" s="37" t="s">
        <v>53</v>
      </c>
      <c r="K65" s="38"/>
      <c r="L65" s="38"/>
      <c r="M65" s="39"/>
      <c r="N65" s="37" t="s">
        <v>29</v>
      </c>
      <c r="O65" s="38"/>
      <c r="P65" s="38"/>
      <c r="Q65" s="39"/>
      <c r="R65" s="40">
        <v>0.2</v>
      </c>
      <c r="S65" s="41"/>
      <c r="T65" s="40">
        <f>R65</f>
        <v>0.2</v>
      </c>
      <c r="U65" s="41"/>
      <c r="V65" s="40"/>
      <c r="W65" s="41"/>
      <c r="X65" s="18">
        <f t="shared" si="1"/>
        <v>300</v>
      </c>
      <c r="Y65" s="18">
        <f t="shared" si="2"/>
        <v>285</v>
      </c>
      <c r="Z65" s="19">
        <f t="shared" si="0"/>
        <v>0.59992500937382831</v>
      </c>
      <c r="AA65" s="20">
        <v>1</v>
      </c>
    </row>
    <row r="66" spans="1:27" ht="26.25">
      <c r="A66" s="32">
        <v>2</v>
      </c>
      <c r="B66" s="34" t="s">
        <v>122</v>
      </c>
      <c r="C66" s="35"/>
      <c r="D66" s="35"/>
      <c r="E66" s="35"/>
      <c r="F66" s="35"/>
      <c r="G66" s="35"/>
      <c r="H66" s="35"/>
      <c r="I66" s="36"/>
      <c r="J66" s="37" t="s">
        <v>28</v>
      </c>
      <c r="K66" s="38"/>
      <c r="L66" s="38"/>
      <c r="M66" s="39"/>
      <c r="N66" s="37" t="s">
        <v>29</v>
      </c>
      <c r="O66" s="38"/>
      <c r="P66" s="38"/>
      <c r="Q66" s="39"/>
      <c r="R66" s="40">
        <v>0.4</v>
      </c>
      <c r="S66" s="41"/>
      <c r="T66" s="40">
        <f>R66</f>
        <v>0.4</v>
      </c>
      <c r="U66" s="41"/>
      <c r="V66" s="40"/>
      <c r="W66" s="41"/>
      <c r="X66" s="18">
        <f t="shared" si="1"/>
        <v>150</v>
      </c>
      <c r="Y66" s="18">
        <f t="shared" si="2"/>
        <v>142.5</v>
      </c>
      <c r="Z66" s="19">
        <f t="shared" si="0"/>
        <v>1.1998500187476566</v>
      </c>
      <c r="AA66" s="20">
        <v>1.5</v>
      </c>
    </row>
    <row r="67" spans="1:27" ht="51.75" customHeight="1">
      <c r="A67" s="32">
        <v>3</v>
      </c>
      <c r="B67" s="105" t="s">
        <v>123</v>
      </c>
      <c r="C67" s="106"/>
      <c r="D67" s="106"/>
      <c r="E67" s="106"/>
      <c r="F67" s="106"/>
      <c r="G67" s="106"/>
      <c r="H67" s="106"/>
      <c r="I67" s="107"/>
      <c r="J67" s="37" t="s">
        <v>124</v>
      </c>
      <c r="K67" s="38"/>
      <c r="L67" s="38"/>
      <c r="M67" s="39"/>
      <c r="N67" s="37" t="s">
        <v>29</v>
      </c>
      <c r="O67" s="38"/>
      <c r="P67" s="38"/>
      <c r="Q67" s="39"/>
      <c r="R67" s="40">
        <v>0.52</v>
      </c>
      <c r="S67" s="41"/>
      <c r="T67" s="40">
        <f t="shared" ref="T67:T71" si="15">R67</f>
        <v>0.52</v>
      </c>
      <c r="U67" s="41"/>
      <c r="V67" s="40"/>
      <c r="W67" s="41"/>
      <c r="X67" s="18">
        <f t="shared" si="1"/>
        <v>115.38461538461539</v>
      </c>
      <c r="Y67" s="18">
        <f t="shared" si="2"/>
        <v>109.61538461538461</v>
      </c>
      <c r="Z67" s="19">
        <f t="shared" si="0"/>
        <v>1.5598050243719537</v>
      </c>
      <c r="AA67" s="20">
        <v>1.5</v>
      </c>
    </row>
    <row r="68" spans="1:27" ht="26.25">
      <c r="A68" s="32">
        <v>4</v>
      </c>
      <c r="B68" s="34" t="s">
        <v>92</v>
      </c>
      <c r="C68" s="35"/>
      <c r="D68" s="35"/>
      <c r="E68" s="35"/>
      <c r="F68" s="35"/>
      <c r="G68" s="35"/>
      <c r="H68" s="35"/>
      <c r="I68" s="36"/>
      <c r="J68" s="37" t="s">
        <v>28</v>
      </c>
      <c r="K68" s="38"/>
      <c r="L68" s="38"/>
      <c r="M68" s="39"/>
      <c r="N68" s="37" t="s">
        <v>29</v>
      </c>
      <c r="O68" s="38"/>
      <c r="P68" s="38"/>
      <c r="Q68" s="39"/>
      <c r="R68" s="40">
        <v>0.22</v>
      </c>
      <c r="S68" s="41"/>
      <c r="T68" s="40">
        <f t="shared" si="15"/>
        <v>0.22</v>
      </c>
      <c r="U68" s="41"/>
      <c r="V68" s="40"/>
      <c r="W68" s="41"/>
      <c r="X68" s="18">
        <f t="shared" si="1"/>
        <v>272.72727272727275</v>
      </c>
      <c r="Y68" s="18">
        <f t="shared" si="2"/>
        <v>259.09090909090912</v>
      </c>
      <c r="Z68" s="19">
        <f t="shared" si="0"/>
        <v>0.65991751031121104</v>
      </c>
      <c r="AA68" s="20">
        <v>1</v>
      </c>
    </row>
    <row r="69" spans="1:27" ht="26.25">
      <c r="A69" s="32">
        <v>5</v>
      </c>
      <c r="B69" s="34" t="s">
        <v>93</v>
      </c>
      <c r="C69" s="35"/>
      <c r="D69" s="35"/>
      <c r="E69" s="35"/>
      <c r="F69" s="35"/>
      <c r="G69" s="35"/>
      <c r="H69" s="35"/>
      <c r="I69" s="36"/>
      <c r="J69" s="37" t="s">
        <v>28</v>
      </c>
      <c r="K69" s="38"/>
      <c r="L69" s="38"/>
      <c r="M69" s="39"/>
      <c r="N69" s="37" t="s">
        <v>29</v>
      </c>
      <c r="O69" s="38"/>
      <c r="P69" s="38"/>
      <c r="Q69" s="39"/>
      <c r="R69" s="40">
        <v>0.22</v>
      </c>
      <c r="S69" s="41"/>
      <c r="T69" s="40">
        <f>R69</f>
        <v>0.22</v>
      </c>
      <c r="U69" s="41"/>
      <c r="V69" s="40"/>
      <c r="W69" s="41"/>
      <c r="X69" s="18">
        <f t="shared" si="1"/>
        <v>272.72727272727275</v>
      </c>
      <c r="Y69" s="18">
        <f t="shared" si="2"/>
        <v>259.09090909090912</v>
      </c>
      <c r="Z69" s="19">
        <f t="shared" si="0"/>
        <v>0.65991751031121104</v>
      </c>
      <c r="AA69" s="20">
        <v>1</v>
      </c>
    </row>
    <row r="70" spans="1:27" ht="26.25">
      <c r="A70" s="32">
        <v>6</v>
      </c>
      <c r="B70" s="34" t="s">
        <v>94</v>
      </c>
      <c r="C70" s="35"/>
      <c r="D70" s="35"/>
      <c r="E70" s="35"/>
      <c r="F70" s="35"/>
      <c r="G70" s="35"/>
      <c r="H70" s="35"/>
      <c r="I70" s="36"/>
      <c r="J70" s="37" t="s">
        <v>95</v>
      </c>
      <c r="K70" s="38"/>
      <c r="L70" s="38"/>
      <c r="M70" s="39"/>
      <c r="N70" s="37" t="s">
        <v>29</v>
      </c>
      <c r="O70" s="38"/>
      <c r="P70" s="38"/>
      <c r="Q70" s="39"/>
      <c r="R70" s="40">
        <v>0.85</v>
      </c>
      <c r="S70" s="41"/>
      <c r="T70" s="40">
        <f t="shared" si="15"/>
        <v>0.85</v>
      </c>
      <c r="U70" s="41"/>
      <c r="V70" s="40"/>
      <c r="W70" s="41"/>
      <c r="X70" s="18">
        <f t="shared" si="1"/>
        <v>70.588235294117652</v>
      </c>
      <c r="Y70" s="18">
        <f t="shared" si="2"/>
        <v>67.058823529411768</v>
      </c>
      <c r="Z70" s="19">
        <f t="shared" ref="Z70:Z84" si="16">AA$5/Y70</f>
        <v>2.54968128983877</v>
      </c>
      <c r="AA70" s="20">
        <v>2.5</v>
      </c>
    </row>
    <row r="71" spans="1:27" ht="26.25">
      <c r="A71" s="32">
        <v>7</v>
      </c>
      <c r="B71" s="34" t="s">
        <v>96</v>
      </c>
      <c r="C71" s="35"/>
      <c r="D71" s="35"/>
      <c r="E71" s="35"/>
      <c r="F71" s="35"/>
      <c r="G71" s="35"/>
      <c r="H71" s="35"/>
      <c r="I71" s="36"/>
      <c r="J71" s="37" t="s">
        <v>28</v>
      </c>
      <c r="K71" s="38"/>
      <c r="L71" s="38"/>
      <c r="M71" s="39"/>
      <c r="N71" s="37" t="s">
        <v>29</v>
      </c>
      <c r="O71" s="38"/>
      <c r="P71" s="38"/>
      <c r="Q71" s="39"/>
      <c r="R71" s="40">
        <v>0.5</v>
      </c>
      <c r="S71" s="41"/>
      <c r="T71" s="40">
        <f t="shared" si="15"/>
        <v>0.5</v>
      </c>
      <c r="U71" s="41"/>
      <c r="V71" s="40"/>
      <c r="W71" s="41"/>
      <c r="X71" s="18">
        <f t="shared" si="1"/>
        <v>120</v>
      </c>
      <c r="Y71" s="18">
        <f t="shared" si="2"/>
        <v>114</v>
      </c>
      <c r="Z71" s="19">
        <f t="shared" si="16"/>
        <v>1.4998125234345707</v>
      </c>
      <c r="AA71" s="20">
        <v>1.5</v>
      </c>
    </row>
    <row r="72" spans="1:27" ht="26.2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50" t="s">
        <v>48</v>
      </c>
      <c r="O72" s="50"/>
      <c r="P72" s="50"/>
      <c r="Q72" s="50"/>
      <c r="R72" s="50">
        <f>SUM(R65:S71)</f>
        <v>2.91</v>
      </c>
      <c r="S72" s="50"/>
      <c r="T72" s="50">
        <f>SUM(T65:U71)</f>
        <v>2.91</v>
      </c>
      <c r="U72" s="50"/>
      <c r="V72" s="50">
        <f>SUM(V65:W71)</f>
        <v>0</v>
      </c>
      <c r="W72" s="50"/>
      <c r="X72" s="18"/>
      <c r="Y72" s="18"/>
      <c r="Z72" s="19"/>
      <c r="AA72" s="24">
        <f>SUM(AA65:AA71)</f>
        <v>10</v>
      </c>
    </row>
    <row r="73" spans="1:27" ht="26.25">
      <c r="A73" s="25"/>
      <c r="B73" s="26" t="s">
        <v>97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26.25">
      <c r="A74" s="32">
        <v>1</v>
      </c>
      <c r="B74" s="34" t="s">
        <v>98</v>
      </c>
      <c r="C74" s="35"/>
      <c r="D74" s="35"/>
      <c r="E74" s="35"/>
      <c r="F74" s="35"/>
      <c r="G74" s="35"/>
      <c r="H74" s="35"/>
      <c r="I74" s="36"/>
      <c r="J74" s="37" t="s">
        <v>53</v>
      </c>
      <c r="K74" s="38"/>
      <c r="L74" s="38"/>
      <c r="M74" s="39"/>
      <c r="N74" s="37" t="s">
        <v>29</v>
      </c>
      <c r="O74" s="38"/>
      <c r="P74" s="38"/>
      <c r="Q74" s="39"/>
      <c r="R74" s="40">
        <v>0.6</v>
      </c>
      <c r="S74" s="41"/>
      <c r="T74" s="40"/>
      <c r="U74" s="41"/>
      <c r="V74" s="40">
        <f>R74</f>
        <v>0.6</v>
      </c>
      <c r="W74" s="41"/>
      <c r="X74" s="18">
        <f t="shared" ref="X74" si="17">60/R74</f>
        <v>100</v>
      </c>
      <c r="Y74" s="18">
        <f t="shared" si="2"/>
        <v>95</v>
      </c>
      <c r="Z74" s="19">
        <f t="shared" ref="Z74" si="18">AA$5/Y74</f>
        <v>1.7997750281214848</v>
      </c>
      <c r="AA74" s="20">
        <v>2</v>
      </c>
    </row>
    <row r="75" spans="1:27" ht="26.25">
      <c r="A75" s="32">
        <v>2</v>
      </c>
      <c r="B75" s="42" t="s">
        <v>99</v>
      </c>
      <c r="C75" s="43"/>
      <c r="D75" s="43"/>
      <c r="E75" s="43"/>
      <c r="F75" s="43"/>
      <c r="G75" s="43"/>
      <c r="H75" s="43"/>
      <c r="I75" s="44"/>
      <c r="J75" s="37" t="s">
        <v>28</v>
      </c>
      <c r="K75" s="38"/>
      <c r="L75" s="38"/>
      <c r="M75" s="39"/>
      <c r="N75" s="37" t="s">
        <v>29</v>
      </c>
      <c r="O75" s="38"/>
      <c r="P75" s="38"/>
      <c r="Q75" s="39"/>
      <c r="R75" s="40">
        <v>0.7</v>
      </c>
      <c r="S75" s="41"/>
      <c r="T75" s="40">
        <f t="shared" ref="T75:T81" si="19">R75</f>
        <v>0.7</v>
      </c>
      <c r="U75" s="41"/>
      <c r="V75" s="40"/>
      <c r="W75" s="41"/>
      <c r="X75" s="18">
        <f t="shared" si="1"/>
        <v>85.714285714285722</v>
      </c>
      <c r="Y75" s="18">
        <f t="shared" si="2"/>
        <v>81.428571428571431</v>
      </c>
      <c r="Z75" s="19">
        <f t="shared" si="16"/>
        <v>2.0997375328083989</v>
      </c>
      <c r="AA75" s="20">
        <v>2</v>
      </c>
    </row>
    <row r="76" spans="1:27" ht="26.25">
      <c r="A76" s="32">
        <v>3</v>
      </c>
      <c r="B76" s="34" t="s">
        <v>100</v>
      </c>
      <c r="C76" s="35"/>
      <c r="D76" s="35"/>
      <c r="E76" s="35"/>
      <c r="F76" s="35"/>
      <c r="G76" s="35"/>
      <c r="H76" s="35"/>
      <c r="I76" s="36"/>
      <c r="J76" s="37" t="s">
        <v>28</v>
      </c>
      <c r="K76" s="38"/>
      <c r="L76" s="38"/>
      <c r="M76" s="39"/>
      <c r="N76" s="37" t="s">
        <v>29</v>
      </c>
      <c r="O76" s="38"/>
      <c r="P76" s="38"/>
      <c r="Q76" s="39"/>
      <c r="R76" s="40">
        <v>0.39</v>
      </c>
      <c r="S76" s="41"/>
      <c r="T76" s="40">
        <f t="shared" si="19"/>
        <v>0.39</v>
      </c>
      <c r="U76" s="41"/>
      <c r="V76" s="40"/>
      <c r="W76" s="41"/>
      <c r="X76" s="18">
        <f t="shared" ref="X76:X84" si="20">60/R76</f>
        <v>153.84615384615384</v>
      </c>
      <c r="Y76" s="18">
        <f t="shared" ref="Y76:Y84" si="21">X76*0.95</f>
        <v>146.15384615384613</v>
      </c>
      <c r="Z76" s="19">
        <f t="shared" si="16"/>
        <v>1.1698537682789654</v>
      </c>
      <c r="AA76" s="20">
        <v>1.5</v>
      </c>
    </row>
    <row r="77" spans="1:27" ht="26.25">
      <c r="A77" s="32">
        <v>4</v>
      </c>
      <c r="B77" s="34" t="s">
        <v>129</v>
      </c>
      <c r="C77" s="35"/>
      <c r="D77" s="35"/>
      <c r="E77" s="35"/>
      <c r="F77" s="35"/>
      <c r="G77" s="35"/>
      <c r="H77" s="35"/>
      <c r="I77" s="36"/>
      <c r="J77" s="37" t="s">
        <v>28</v>
      </c>
      <c r="K77" s="38"/>
      <c r="L77" s="38"/>
      <c r="M77" s="39"/>
      <c r="N77" s="37" t="s">
        <v>29</v>
      </c>
      <c r="O77" s="38"/>
      <c r="P77" s="38"/>
      <c r="Q77" s="39"/>
      <c r="R77" s="40">
        <v>0.74</v>
      </c>
      <c r="S77" s="41"/>
      <c r="T77" s="40">
        <f t="shared" si="19"/>
        <v>0.74</v>
      </c>
      <c r="U77" s="41"/>
      <c r="V77" s="40"/>
      <c r="W77" s="41"/>
      <c r="X77" s="18">
        <f t="shared" si="20"/>
        <v>81.081081081081081</v>
      </c>
      <c r="Y77" s="18">
        <f t="shared" si="21"/>
        <v>77.027027027027017</v>
      </c>
      <c r="Z77" s="19">
        <f t="shared" si="16"/>
        <v>2.2197225346831648</v>
      </c>
      <c r="AA77" s="20">
        <v>2.5</v>
      </c>
    </row>
    <row r="78" spans="1:27" ht="26.25">
      <c r="A78" s="32">
        <v>5</v>
      </c>
      <c r="B78" s="34" t="s">
        <v>130</v>
      </c>
      <c r="C78" s="35"/>
      <c r="D78" s="35"/>
      <c r="E78" s="35"/>
      <c r="F78" s="35"/>
      <c r="G78" s="35"/>
      <c r="H78" s="35"/>
      <c r="I78" s="36"/>
      <c r="J78" s="37" t="s">
        <v>28</v>
      </c>
      <c r="K78" s="38"/>
      <c r="L78" s="38"/>
      <c r="M78" s="39"/>
      <c r="N78" s="37" t="s">
        <v>29</v>
      </c>
      <c r="O78" s="38"/>
      <c r="P78" s="38"/>
      <c r="Q78" s="39"/>
      <c r="R78" s="40">
        <v>1</v>
      </c>
      <c r="S78" s="41"/>
      <c r="T78" s="40">
        <f t="shared" si="19"/>
        <v>1</v>
      </c>
      <c r="U78" s="41"/>
      <c r="V78" s="40"/>
      <c r="W78" s="41"/>
      <c r="X78" s="18">
        <f t="shared" si="20"/>
        <v>60</v>
      </c>
      <c r="Y78" s="18">
        <f t="shared" si="21"/>
        <v>57</v>
      </c>
      <c r="Z78" s="19">
        <f t="shared" si="16"/>
        <v>2.9996250468691414</v>
      </c>
      <c r="AA78" s="20">
        <v>3</v>
      </c>
    </row>
    <row r="79" spans="1:27" ht="26.25">
      <c r="A79" s="32">
        <v>6</v>
      </c>
      <c r="B79" s="34" t="s">
        <v>131</v>
      </c>
      <c r="C79" s="35"/>
      <c r="D79" s="35"/>
      <c r="E79" s="35"/>
      <c r="F79" s="35"/>
      <c r="G79" s="35"/>
      <c r="H79" s="35"/>
      <c r="I79" s="36"/>
      <c r="J79" s="37" t="s">
        <v>101</v>
      </c>
      <c r="K79" s="38"/>
      <c r="L79" s="38"/>
      <c r="M79" s="39"/>
      <c r="N79" s="37" t="s">
        <v>102</v>
      </c>
      <c r="O79" s="38"/>
      <c r="P79" s="38"/>
      <c r="Q79" s="39"/>
      <c r="R79" s="40">
        <v>1.1200000000000001</v>
      </c>
      <c r="S79" s="41"/>
      <c r="T79" s="40">
        <f t="shared" si="19"/>
        <v>1.1200000000000001</v>
      </c>
      <c r="U79" s="41"/>
      <c r="V79" s="40"/>
      <c r="W79" s="41"/>
      <c r="X79" s="18">
        <f t="shared" si="20"/>
        <v>53.571428571428569</v>
      </c>
      <c r="Y79" s="18">
        <f t="shared" si="21"/>
        <v>50.892857142857139</v>
      </c>
      <c r="Z79" s="19">
        <f t="shared" si="16"/>
        <v>3.3595800524934387</v>
      </c>
      <c r="AA79" s="20">
        <v>3.5</v>
      </c>
    </row>
    <row r="80" spans="1:27" ht="26.25">
      <c r="A80" s="32">
        <v>7</v>
      </c>
      <c r="B80" s="34" t="s">
        <v>132</v>
      </c>
      <c r="C80" s="35"/>
      <c r="D80" s="35"/>
      <c r="E80" s="35"/>
      <c r="F80" s="35"/>
      <c r="G80" s="35"/>
      <c r="H80" s="35"/>
      <c r="I80" s="36"/>
      <c r="J80" s="37" t="s">
        <v>28</v>
      </c>
      <c r="K80" s="38"/>
      <c r="L80" s="38"/>
      <c r="M80" s="39"/>
      <c r="N80" s="37" t="s">
        <v>29</v>
      </c>
      <c r="O80" s="38"/>
      <c r="P80" s="38"/>
      <c r="Q80" s="39"/>
      <c r="R80" s="40">
        <v>0.75</v>
      </c>
      <c r="S80" s="41"/>
      <c r="T80" s="40">
        <f t="shared" si="19"/>
        <v>0.75</v>
      </c>
      <c r="U80" s="41"/>
      <c r="V80" s="40"/>
      <c r="W80" s="41"/>
      <c r="X80" s="18">
        <f t="shared" si="20"/>
        <v>80</v>
      </c>
      <c r="Y80" s="18">
        <f t="shared" si="21"/>
        <v>76</v>
      </c>
      <c r="Z80" s="19">
        <f t="shared" si="16"/>
        <v>2.2497187851518561</v>
      </c>
      <c r="AA80" s="20">
        <v>2.5</v>
      </c>
    </row>
    <row r="81" spans="1:27" s="21" customFormat="1" ht="26.25">
      <c r="A81" s="32">
        <v>8</v>
      </c>
      <c r="B81" s="68" t="s">
        <v>103</v>
      </c>
      <c r="C81" s="69"/>
      <c r="D81" s="69"/>
      <c r="E81" s="69"/>
      <c r="F81" s="69"/>
      <c r="G81" s="69"/>
      <c r="H81" s="69"/>
      <c r="I81" s="70"/>
      <c r="J81" s="71" t="s">
        <v>104</v>
      </c>
      <c r="K81" s="72"/>
      <c r="L81" s="72"/>
      <c r="M81" s="73"/>
      <c r="N81" s="71" t="s">
        <v>102</v>
      </c>
      <c r="O81" s="72"/>
      <c r="P81" s="72"/>
      <c r="Q81" s="73"/>
      <c r="R81" s="66">
        <v>1.38</v>
      </c>
      <c r="S81" s="67"/>
      <c r="T81" s="66">
        <f t="shared" si="19"/>
        <v>1.38</v>
      </c>
      <c r="U81" s="67"/>
      <c r="V81" s="66"/>
      <c r="W81" s="67"/>
      <c r="X81" s="18">
        <f t="shared" si="20"/>
        <v>43.478260869565219</v>
      </c>
      <c r="Y81" s="18">
        <f t="shared" si="21"/>
        <v>41.304347826086953</v>
      </c>
      <c r="Z81" s="19">
        <f t="shared" si="16"/>
        <v>4.1394825646794153</v>
      </c>
      <c r="AA81" s="20">
        <v>4.5</v>
      </c>
    </row>
    <row r="82" spans="1:27" ht="26.25">
      <c r="A82" s="32">
        <v>9</v>
      </c>
      <c r="B82" s="34" t="s">
        <v>133</v>
      </c>
      <c r="C82" s="35"/>
      <c r="D82" s="35"/>
      <c r="E82" s="35"/>
      <c r="F82" s="35"/>
      <c r="G82" s="35"/>
      <c r="H82" s="35"/>
      <c r="I82" s="36"/>
      <c r="J82" s="37" t="s">
        <v>43</v>
      </c>
      <c r="K82" s="38"/>
      <c r="L82" s="38"/>
      <c r="M82" s="39"/>
      <c r="N82" s="37" t="s">
        <v>29</v>
      </c>
      <c r="O82" s="38"/>
      <c r="P82" s="38"/>
      <c r="Q82" s="39"/>
      <c r="R82" s="40">
        <v>0.41</v>
      </c>
      <c r="S82" s="41"/>
      <c r="T82" s="40"/>
      <c r="U82" s="41"/>
      <c r="V82" s="40">
        <f>R82</f>
        <v>0.41</v>
      </c>
      <c r="W82" s="41"/>
      <c r="X82" s="18">
        <f t="shared" si="20"/>
        <v>146.34146341463415</v>
      </c>
      <c r="Y82" s="18">
        <f t="shared" si="21"/>
        <v>139.02439024390245</v>
      </c>
      <c r="Z82" s="19">
        <f t="shared" si="16"/>
        <v>1.2298462692163479</v>
      </c>
      <c r="AA82" s="20">
        <v>1.5</v>
      </c>
    </row>
    <row r="83" spans="1:27" ht="26.25">
      <c r="A83" s="32">
        <v>10</v>
      </c>
      <c r="B83" s="34" t="s">
        <v>105</v>
      </c>
      <c r="C83" s="35"/>
      <c r="D83" s="35"/>
      <c r="E83" s="35"/>
      <c r="F83" s="35"/>
      <c r="G83" s="35"/>
      <c r="H83" s="35"/>
      <c r="I83" s="36"/>
      <c r="J83" s="37" t="s">
        <v>28</v>
      </c>
      <c r="K83" s="38"/>
      <c r="L83" s="38"/>
      <c r="M83" s="39"/>
      <c r="N83" s="37" t="s">
        <v>106</v>
      </c>
      <c r="O83" s="38"/>
      <c r="P83" s="38"/>
      <c r="Q83" s="39"/>
      <c r="R83" s="66">
        <v>0.62</v>
      </c>
      <c r="S83" s="67"/>
      <c r="T83" s="40">
        <f>R83</f>
        <v>0.62</v>
      </c>
      <c r="U83" s="41"/>
      <c r="V83" s="40"/>
      <c r="W83" s="41"/>
      <c r="X83" s="18">
        <f t="shared" si="20"/>
        <v>96.774193548387103</v>
      </c>
      <c r="Y83" s="18">
        <f t="shared" si="21"/>
        <v>91.935483870967744</v>
      </c>
      <c r="Z83" s="19">
        <f t="shared" si="16"/>
        <v>1.8597675290588676</v>
      </c>
      <c r="AA83" s="20">
        <v>2</v>
      </c>
    </row>
    <row r="84" spans="1:27" ht="26.25">
      <c r="A84" s="32">
        <v>11</v>
      </c>
      <c r="B84" s="34" t="s">
        <v>134</v>
      </c>
      <c r="C84" s="35"/>
      <c r="D84" s="35"/>
      <c r="E84" s="35"/>
      <c r="F84" s="35"/>
      <c r="G84" s="35"/>
      <c r="H84" s="35"/>
      <c r="I84" s="36"/>
      <c r="J84" s="37" t="s">
        <v>28</v>
      </c>
      <c r="K84" s="38"/>
      <c r="L84" s="38"/>
      <c r="M84" s="39"/>
      <c r="N84" s="37" t="s">
        <v>29</v>
      </c>
      <c r="O84" s="38"/>
      <c r="P84" s="38"/>
      <c r="Q84" s="39"/>
      <c r="R84" s="40">
        <v>1.1000000000000001</v>
      </c>
      <c r="S84" s="41"/>
      <c r="T84" s="40">
        <f>R84</f>
        <v>1.1000000000000001</v>
      </c>
      <c r="U84" s="41"/>
      <c r="V84" s="40"/>
      <c r="W84" s="41"/>
      <c r="X84" s="18">
        <f t="shared" si="20"/>
        <v>54.54545454545454</v>
      </c>
      <c r="Y84" s="18">
        <f t="shared" si="21"/>
        <v>51.818181818181813</v>
      </c>
      <c r="Z84" s="19">
        <f t="shared" si="16"/>
        <v>3.2995875515560558</v>
      </c>
      <c r="AA84" s="20">
        <v>3.5</v>
      </c>
    </row>
    <row r="85" spans="1:27" ht="26.25">
      <c r="A85" s="32"/>
      <c r="B85" s="34"/>
      <c r="C85" s="35"/>
      <c r="D85" s="35"/>
      <c r="E85" s="35"/>
      <c r="F85" s="35"/>
      <c r="G85" s="35"/>
      <c r="H85" s="35"/>
      <c r="I85" s="36"/>
      <c r="J85" s="37"/>
      <c r="K85" s="38"/>
      <c r="L85" s="38"/>
      <c r="M85" s="39"/>
      <c r="N85" s="53" t="s">
        <v>48</v>
      </c>
      <c r="O85" s="50"/>
      <c r="P85" s="50"/>
      <c r="Q85" s="50"/>
      <c r="R85" s="50">
        <f>SUM(R74:S84)</f>
        <v>8.81</v>
      </c>
      <c r="S85" s="50"/>
      <c r="T85" s="50">
        <f t="shared" ref="T85" si="22">SUM(T74:U84)</f>
        <v>7.8000000000000007</v>
      </c>
      <c r="U85" s="50"/>
      <c r="V85" s="50">
        <f t="shared" ref="V85" si="23">SUM(V74:W84)</f>
        <v>1.01</v>
      </c>
      <c r="W85" s="50"/>
      <c r="X85" s="18"/>
      <c r="Y85" s="18"/>
      <c r="Z85" s="19"/>
      <c r="AA85" s="24">
        <f>SUM(AA74:AA84)</f>
        <v>28.5</v>
      </c>
    </row>
    <row r="86" spans="1:27" ht="26.25">
      <c r="A86" s="65" t="s">
        <v>107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7"/>
      <c r="R86" s="53">
        <f>SUM(R12:S25,R28:S41,R44:S51,R54:S62,R65:S71,R74:S84)</f>
        <v>31.75</v>
      </c>
      <c r="S86" s="54"/>
      <c r="T86" s="53">
        <f t="shared" ref="T86:W86" si="24">SUM(T12:U25,T28:U41,T44:U51,T54:U62,T65:U71,T74:U84)</f>
        <v>24.98</v>
      </c>
      <c r="U86" s="54"/>
      <c r="V86" s="53">
        <f t="shared" ref="V86:W86" si="25">SUM(V12:W25,V28:W41,V44:W51,V54:W62,V65:W71,V74:W84)</f>
        <v>6.77</v>
      </c>
      <c r="W86" s="54"/>
      <c r="X86" s="18"/>
      <c r="Y86" s="18"/>
      <c r="Z86" s="19"/>
      <c r="AA86" s="24">
        <f>AA85+AA72+AA63+AA52+AA42+AA26</f>
        <v>106</v>
      </c>
    </row>
    <row r="87" spans="1:27" ht="26.25">
      <c r="A87" s="5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7"/>
      <c r="R87" s="53"/>
      <c r="S87" s="54"/>
      <c r="T87" s="53"/>
      <c r="U87" s="54"/>
      <c r="V87" s="53"/>
      <c r="W87" s="54"/>
      <c r="X87" s="18"/>
      <c r="Y87" s="18"/>
      <c r="Z87" s="19"/>
      <c r="AA87" s="20"/>
    </row>
    <row r="88" spans="1:27" ht="26.25">
      <c r="A88" s="17"/>
      <c r="B88" s="55" t="s">
        <v>108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7"/>
      <c r="N88" s="58">
        <v>0</v>
      </c>
      <c r="O88" s="59"/>
      <c r="P88" s="59"/>
      <c r="Q88" s="59"/>
      <c r="R88" s="59"/>
      <c r="S88" s="60"/>
      <c r="T88" s="61">
        <f>N88</f>
        <v>0</v>
      </c>
      <c r="U88" s="62"/>
      <c r="V88" s="61">
        <f>N88</f>
        <v>0</v>
      </c>
      <c r="W88" s="62"/>
      <c r="X88" s="18"/>
      <c r="Y88" s="18"/>
      <c r="Z88" s="19"/>
      <c r="AA88" s="20"/>
    </row>
    <row r="89" spans="1:27" ht="26.25">
      <c r="A89" s="17"/>
      <c r="B89" s="55" t="s">
        <v>109</v>
      </c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7"/>
      <c r="N89" s="58">
        <v>0.05</v>
      </c>
      <c r="O89" s="59"/>
      <c r="P89" s="59"/>
      <c r="Q89" s="59"/>
      <c r="R89" s="59"/>
      <c r="S89" s="60"/>
      <c r="T89" s="61">
        <f>N89</f>
        <v>0.05</v>
      </c>
      <c r="U89" s="62"/>
      <c r="V89" s="61">
        <f>N89</f>
        <v>0.05</v>
      </c>
      <c r="W89" s="62"/>
      <c r="X89" s="18"/>
      <c r="Y89" s="18"/>
      <c r="Z89" s="19"/>
      <c r="AA89" s="20"/>
    </row>
    <row r="90" spans="1:27" ht="26.25">
      <c r="A90" s="17"/>
      <c r="B90" s="55" t="s">
        <v>110</v>
      </c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7"/>
      <c r="N90" s="58">
        <v>0</v>
      </c>
      <c r="O90" s="59"/>
      <c r="P90" s="59"/>
      <c r="Q90" s="59"/>
      <c r="R90" s="59"/>
      <c r="S90" s="60"/>
      <c r="T90" s="61">
        <f>N90</f>
        <v>0</v>
      </c>
      <c r="U90" s="62"/>
      <c r="V90" s="61">
        <f>N90</f>
        <v>0</v>
      </c>
      <c r="W90" s="62"/>
      <c r="X90" s="18"/>
      <c r="Y90" s="18"/>
      <c r="Z90" s="19"/>
      <c r="AA90" s="20"/>
    </row>
    <row r="91" spans="1:27" ht="26.25">
      <c r="A91" s="17"/>
      <c r="B91" s="55" t="s">
        <v>111</v>
      </c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7"/>
      <c r="N91" s="58">
        <v>0</v>
      </c>
      <c r="O91" s="59"/>
      <c r="P91" s="59"/>
      <c r="Q91" s="59"/>
      <c r="R91" s="59"/>
      <c r="S91" s="60"/>
      <c r="T91" s="61">
        <f>N91</f>
        <v>0</v>
      </c>
      <c r="U91" s="62"/>
      <c r="V91" s="61">
        <f>N91</f>
        <v>0</v>
      </c>
      <c r="W91" s="62"/>
      <c r="X91" s="18"/>
      <c r="Y91" s="18"/>
      <c r="Z91" s="19"/>
      <c r="AA91" s="20"/>
    </row>
    <row r="92" spans="1:27" ht="26.25">
      <c r="A92" s="17"/>
      <c r="B92" s="55" t="s">
        <v>112</v>
      </c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7"/>
      <c r="R92" s="63"/>
      <c r="S92" s="64"/>
      <c r="T92" s="61">
        <f>SUM(T88:U91)</f>
        <v>0.05</v>
      </c>
      <c r="U92" s="62"/>
      <c r="V92" s="61">
        <f>SUM(V88:W91)</f>
        <v>0.05</v>
      </c>
      <c r="W92" s="62"/>
      <c r="X92" s="18"/>
      <c r="Y92" s="18"/>
      <c r="Z92" s="19"/>
      <c r="AA92" s="20"/>
    </row>
    <row r="93" spans="1:27" ht="26.25">
      <c r="A93" s="55" t="s">
        <v>113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7"/>
      <c r="R93" s="53">
        <f>T93+V93</f>
        <v>33.337499999999999</v>
      </c>
      <c r="S93" s="54"/>
      <c r="T93" s="53">
        <f>(T86*T92)+T86</f>
        <v>26.228999999999999</v>
      </c>
      <c r="U93" s="54"/>
      <c r="V93" s="53">
        <f>(V86*V92)+V86</f>
        <v>7.1084999999999994</v>
      </c>
      <c r="W93" s="54"/>
      <c r="X93" s="18"/>
      <c r="Y93" s="18"/>
      <c r="Z93" s="19"/>
      <c r="AA93" s="20"/>
    </row>
    <row r="95" spans="1:27">
      <c r="P95" s="2" t="s">
        <v>114</v>
      </c>
      <c r="Q95" s="33">
        <f>5*2.54</f>
        <v>12.7</v>
      </c>
    </row>
  </sheetData>
  <mergeCells count="464">
    <mergeCell ref="B34:I34"/>
    <mergeCell ref="J34:M34"/>
    <mergeCell ref="N34:Q34"/>
    <mergeCell ref="R34:S34"/>
    <mergeCell ref="T34:U34"/>
    <mergeCell ref="V34:W34"/>
    <mergeCell ref="T70:U70"/>
    <mergeCell ref="V70:W70"/>
    <mergeCell ref="B44:I44"/>
    <mergeCell ref="J44:M44"/>
    <mergeCell ref="N44:Q44"/>
    <mergeCell ref="R44:S44"/>
    <mergeCell ref="T44:U44"/>
    <mergeCell ref="V44:W44"/>
    <mergeCell ref="T47:U47"/>
    <mergeCell ref="V47:W47"/>
    <mergeCell ref="B46:I46"/>
    <mergeCell ref="J46:M46"/>
    <mergeCell ref="N46:Q46"/>
    <mergeCell ref="R46:S46"/>
    <mergeCell ref="T46:U46"/>
    <mergeCell ref="V46:W46"/>
    <mergeCell ref="B49:I49"/>
    <mergeCell ref="J49:M49"/>
    <mergeCell ref="N65:Q65"/>
    <mergeCell ref="R65:S65"/>
    <mergeCell ref="T65:U65"/>
    <mergeCell ref="V65:W65"/>
    <mergeCell ref="B45:I45"/>
    <mergeCell ref="J45:M45"/>
    <mergeCell ref="N42:Q42"/>
    <mergeCell ref="R42:S42"/>
    <mergeCell ref="T42:U42"/>
    <mergeCell ref="V42:W42"/>
    <mergeCell ref="B47:I47"/>
    <mergeCell ref="J47:M47"/>
    <mergeCell ref="N47:Q47"/>
    <mergeCell ref="R47:S47"/>
    <mergeCell ref="B74:I74"/>
    <mergeCell ref="J74:M74"/>
    <mergeCell ref="N74:Q74"/>
    <mergeCell ref="R74:S74"/>
    <mergeCell ref="T74:U74"/>
    <mergeCell ref="V74:W74"/>
    <mergeCell ref="B70:I70"/>
    <mergeCell ref="J70:M70"/>
    <mergeCell ref="N45:Q45"/>
    <mergeCell ref="R45:S45"/>
    <mergeCell ref="T45:U45"/>
    <mergeCell ref="V45:W45"/>
    <mergeCell ref="J5:K5"/>
    <mergeCell ref="L5:P5"/>
    <mergeCell ref="S5:T5"/>
    <mergeCell ref="U5:W5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B15:I15"/>
    <mergeCell ref="J15:M15"/>
    <mergeCell ref="N15:Q15"/>
    <mergeCell ref="R15:S15"/>
    <mergeCell ref="A1:W1"/>
    <mergeCell ref="A2:W2"/>
    <mergeCell ref="A4:B4"/>
    <mergeCell ref="C4:G4"/>
    <mergeCell ref="J4:K4"/>
    <mergeCell ref="L4:P4"/>
    <mergeCell ref="S4:T4"/>
    <mergeCell ref="U4:W4"/>
    <mergeCell ref="B11:I11"/>
    <mergeCell ref="J11:M11"/>
    <mergeCell ref="N11:Q11"/>
    <mergeCell ref="R11:S11"/>
    <mergeCell ref="T11:U11"/>
    <mergeCell ref="V11:W11"/>
    <mergeCell ref="A7:C7"/>
    <mergeCell ref="B10:I10"/>
    <mergeCell ref="J10:M10"/>
    <mergeCell ref="N10:Q10"/>
    <mergeCell ref="R10:S10"/>
    <mergeCell ref="T10:U10"/>
    <mergeCell ref="V10:W10"/>
    <mergeCell ref="D7:AA8"/>
    <mergeCell ref="A5:B5"/>
    <mergeCell ref="C5:G5"/>
    <mergeCell ref="T15:U15"/>
    <mergeCell ref="V15:W15"/>
    <mergeCell ref="B14:I14"/>
    <mergeCell ref="J14:M14"/>
    <mergeCell ref="N14:Q14"/>
    <mergeCell ref="R14:S14"/>
    <mergeCell ref="T14:U14"/>
    <mergeCell ref="V14:W14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9:I29"/>
    <mergeCell ref="J29:M29"/>
    <mergeCell ref="N29:Q29"/>
    <mergeCell ref="R29:S29"/>
    <mergeCell ref="T29:U29"/>
    <mergeCell ref="V29:W29"/>
    <mergeCell ref="N26:Q26"/>
    <mergeCell ref="R26:S26"/>
    <mergeCell ref="T26:U26"/>
    <mergeCell ref="V26:W26"/>
    <mergeCell ref="B28:I28"/>
    <mergeCell ref="J28:M28"/>
    <mergeCell ref="N28:Q28"/>
    <mergeCell ref="R28:S28"/>
    <mergeCell ref="T28:U28"/>
    <mergeCell ref="V28:W28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B36:I36"/>
    <mergeCell ref="J36:M36"/>
    <mergeCell ref="N36:Q36"/>
    <mergeCell ref="R36:S36"/>
    <mergeCell ref="T36:U36"/>
    <mergeCell ref="V36:W36"/>
    <mergeCell ref="B39:I39"/>
    <mergeCell ref="J39:M39"/>
    <mergeCell ref="N39:Q39"/>
    <mergeCell ref="R39:S39"/>
    <mergeCell ref="T39:U39"/>
    <mergeCell ref="V39:W39"/>
    <mergeCell ref="B41:I41"/>
    <mergeCell ref="J41:M41"/>
    <mergeCell ref="N41:Q41"/>
    <mergeCell ref="R41:S41"/>
    <mergeCell ref="T41:U41"/>
    <mergeCell ref="V41:W41"/>
    <mergeCell ref="B37:I37"/>
    <mergeCell ref="J37:M37"/>
    <mergeCell ref="N37:Q37"/>
    <mergeCell ref="R37:S37"/>
    <mergeCell ref="T37:U37"/>
    <mergeCell ref="V37:W37"/>
    <mergeCell ref="B38:I38"/>
    <mergeCell ref="J38:M38"/>
    <mergeCell ref="N38:Q38"/>
    <mergeCell ref="R38:S38"/>
    <mergeCell ref="T38:U38"/>
    <mergeCell ref="V38:W38"/>
    <mergeCell ref="B40:I40"/>
    <mergeCell ref="J40:M40"/>
    <mergeCell ref="N40:Q40"/>
    <mergeCell ref="R40:S40"/>
    <mergeCell ref="T40:U40"/>
    <mergeCell ref="V40:W40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N52:Q52"/>
    <mergeCell ref="R52:S52"/>
    <mergeCell ref="T52:U52"/>
    <mergeCell ref="V52:W52"/>
    <mergeCell ref="B54:I54"/>
    <mergeCell ref="J54:M54"/>
    <mergeCell ref="N54:Q54"/>
    <mergeCell ref="R54:S54"/>
    <mergeCell ref="T54:U54"/>
    <mergeCell ref="V54:W54"/>
    <mergeCell ref="B57:I57"/>
    <mergeCell ref="J57:M57"/>
    <mergeCell ref="N57:Q57"/>
    <mergeCell ref="R57:S57"/>
    <mergeCell ref="T57:U57"/>
    <mergeCell ref="V57:W57"/>
    <mergeCell ref="B55:I55"/>
    <mergeCell ref="J55:M55"/>
    <mergeCell ref="N55:Q55"/>
    <mergeCell ref="R55:S55"/>
    <mergeCell ref="T55:U55"/>
    <mergeCell ref="V55:W55"/>
    <mergeCell ref="B56:I56"/>
    <mergeCell ref="J56:M56"/>
    <mergeCell ref="N56:Q56"/>
    <mergeCell ref="R56:S56"/>
    <mergeCell ref="T56:U56"/>
    <mergeCell ref="V56:W56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58:I58"/>
    <mergeCell ref="J58:M58"/>
    <mergeCell ref="N58:Q58"/>
    <mergeCell ref="R58:S58"/>
    <mergeCell ref="T58:U58"/>
    <mergeCell ref="V58:W58"/>
    <mergeCell ref="B65:I65"/>
    <mergeCell ref="J65:M65"/>
    <mergeCell ref="B69:I69"/>
    <mergeCell ref="J69:M69"/>
    <mergeCell ref="N69:Q69"/>
    <mergeCell ref="R69:S69"/>
    <mergeCell ref="T69:U69"/>
    <mergeCell ref="V69:W69"/>
    <mergeCell ref="B68:I68"/>
    <mergeCell ref="J68:M68"/>
    <mergeCell ref="N68:Q68"/>
    <mergeCell ref="R68:S68"/>
    <mergeCell ref="T68:U68"/>
    <mergeCell ref="V68:W68"/>
    <mergeCell ref="B66:I66"/>
    <mergeCell ref="J66:M66"/>
    <mergeCell ref="N66:Q66"/>
    <mergeCell ref="R66:S66"/>
    <mergeCell ref="B76:I76"/>
    <mergeCell ref="J76:M76"/>
    <mergeCell ref="N76:Q76"/>
    <mergeCell ref="R76:S76"/>
    <mergeCell ref="T76:U76"/>
    <mergeCell ref="V76:W76"/>
    <mergeCell ref="T66:U66"/>
    <mergeCell ref="V66:W66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N70:Q70"/>
    <mergeCell ref="R70:S70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82:I82"/>
    <mergeCell ref="J82:M82"/>
    <mergeCell ref="N82:Q82"/>
    <mergeCell ref="R82:S82"/>
    <mergeCell ref="T82:U82"/>
    <mergeCell ref="V82:W82"/>
    <mergeCell ref="B79:I79"/>
    <mergeCell ref="J79:M79"/>
    <mergeCell ref="N79:Q79"/>
    <mergeCell ref="R79:S79"/>
    <mergeCell ref="T79:U79"/>
    <mergeCell ref="V79:W79"/>
    <mergeCell ref="B80:I80"/>
    <mergeCell ref="J80:M80"/>
    <mergeCell ref="N80:Q80"/>
    <mergeCell ref="R80:S80"/>
    <mergeCell ref="T80:U80"/>
    <mergeCell ref="V80:W80"/>
    <mergeCell ref="B81:I81"/>
    <mergeCell ref="J81:M81"/>
    <mergeCell ref="N81:Q81"/>
    <mergeCell ref="R81:S81"/>
    <mergeCell ref="T81:U81"/>
    <mergeCell ref="V81:W81"/>
    <mergeCell ref="B85:I85"/>
    <mergeCell ref="J85:M85"/>
    <mergeCell ref="N85:Q85"/>
    <mergeCell ref="R85:S85"/>
    <mergeCell ref="T85:U85"/>
    <mergeCell ref="V85:W85"/>
    <mergeCell ref="A86:Q86"/>
    <mergeCell ref="B83:I83"/>
    <mergeCell ref="J83:M83"/>
    <mergeCell ref="N83:Q83"/>
    <mergeCell ref="R83:S83"/>
    <mergeCell ref="T83:U83"/>
    <mergeCell ref="V83:W83"/>
    <mergeCell ref="B84:I84"/>
    <mergeCell ref="J84:M84"/>
    <mergeCell ref="N84:Q84"/>
    <mergeCell ref="R84:S84"/>
    <mergeCell ref="T84:U84"/>
    <mergeCell ref="V84:W84"/>
    <mergeCell ref="A87:Q87"/>
    <mergeCell ref="R87:S87"/>
    <mergeCell ref="T87:U87"/>
    <mergeCell ref="V87:W87"/>
    <mergeCell ref="T88:U88"/>
    <mergeCell ref="V88:W88"/>
    <mergeCell ref="B88:M88"/>
    <mergeCell ref="N88:S88"/>
    <mergeCell ref="R86:S86"/>
    <mergeCell ref="T86:U86"/>
    <mergeCell ref="V86:W86"/>
    <mergeCell ref="N35:Q35"/>
    <mergeCell ref="R35:S35"/>
    <mergeCell ref="T35:U35"/>
    <mergeCell ref="V35:W35"/>
    <mergeCell ref="R93:S93"/>
    <mergeCell ref="T93:U93"/>
    <mergeCell ref="V93:W93"/>
    <mergeCell ref="B91:M91"/>
    <mergeCell ref="N91:S91"/>
    <mergeCell ref="T91:U91"/>
    <mergeCell ref="V91:W91"/>
    <mergeCell ref="T92:U92"/>
    <mergeCell ref="V92:W92"/>
    <mergeCell ref="B92:Q92"/>
    <mergeCell ref="R92:S92"/>
    <mergeCell ref="A93:Q93"/>
    <mergeCell ref="B89:M89"/>
    <mergeCell ref="N89:S89"/>
    <mergeCell ref="T89:U89"/>
    <mergeCell ref="V89:W89"/>
    <mergeCell ref="B90:M90"/>
    <mergeCell ref="N90:S90"/>
    <mergeCell ref="T90:U90"/>
    <mergeCell ref="V90:W90"/>
    <mergeCell ref="B30:I30"/>
    <mergeCell ref="J30:M30"/>
    <mergeCell ref="N30:Q30"/>
    <mergeCell ref="R30:S30"/>
    <mergeCell ref="T30:U30"/>
    <mergeCell ref="V30:W30"/>
    <mergeCell ref="N63:Q63"/>
    <mergeCell ref="R63:S63"/>
    <mergeCell ref="T63:U63"/>
    <mergeCell ref="V63:W63"/>
    <mergeCell ref="B62:I62"/>
    <mergeCell ref="J62:M62"/>
    <mergeCell ref="N62:Q62"/>
    <mergeCell ref="R62:S62"/>
    <mergeCell ref="T62:U62"/>
    <mergeCell ref="V62:W62"/>
    <mergeCell ref="B31:I31"/>
    <mergeCell ref="J31:M31"/>
    <mergeCell ref="N31:Q31"/>
    <mergeCell ref="R31:S31"/>
    <mergeCell ref="T31:U31"/>
    <mergeCell ref="V31:W31"/>
    <mergeCell ref="B35:I35"/>
    <mergeCell ref="J35:M35"/>
    <mergeCell ref="B17:I17"/>
    <mergeCell ref="J17:M17"/>
    <mergeCell ref="N17:Q17"/>
    <mergeCell ref="R17:S17"/>
    <mergeCell ref="T17:U17"/>
    <mergeCell ref="V17:W17"/>
    <mergeCell ref="B75:I75"/>
    <mergeCell ref="J75:M75"/>
    <mergeCell ref="N75:Q75"/>
    <mergeCell ref="R75:S75"/>
    <mergeCell ref="T75:U75"/>
    <mergeCell ref="V75:W75"/>
    <mergeCell ref="B59:I59"/>
    <mergeCell ref="J59:M59"/>
    <mergeCell ref="N59:Q59"/>
    <mergeCell ref="R59:S59"/>
    <mergeCell ref="T59:U59"/>
    <mergeCell ref="V59:W59"/>
    <mergeCell ref="B67:I67"/>
    <mergeCell ref="J67:M67"/>
    <mergeCell ref="N67:Q67"/>
    <mergeCell ref="R67:S67"/>
    <mergeCell ref="T67:U67"/>
    <mergeCell ref="V67:W67"/>
  </mergeCells>
  <pageMargins left="0.35433070866141736" right="0.15748031496062992" top="0.31496062992125984" bottom="0.43307086614173229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2026-01-27T09:11:22Z</cp:lastPrinted>
  <dcterms:created xsi:type="dcterms:W3CDTF">2025-02-04T03:18:33Z</dcterms:created>
  <dcterms:modified xsi:type="dcterms:W3CDTF">2026-01-27T09:12:09Z</dcterms:modified>
  <cp:category/>
  <cp:contentStatus/>
</cp:coreProperties>
</file>