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OB and tech pack\PRL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4" i="1" l="1"/>
  <c r="J74" i="1"/>
  <c r="N74" i="1"/>
  <c r="L74" i="1"/>
  <c r="L70" i="1"/>
  <c r="P70" i="1"/>
  <c r="Q70" i="1"/>
  <c r="S29" i="1" l="1"/>
  <c r="J29" i="1"/>
  <c r="J90" i="1" l="1"/>
  <c r="S89" i="1"/>
  <c r="S59" i="1" l="1"/>
  <c r="L87" i="1" l="1"/>
  <c r="P87" i="1"/>
  <c r="Q87" i="1" s="1"/>
  <c r="L27" i="1"/>
  <c r="N27" i="1"/>
  <c r="P27" i="1"/>
  <c r="Q27" i="1" s="1"/>
  <c r="L46" i="1"/>
  <c r="P46" i="1"/>
  <c r="Q46" i="1" s="1"/>
  <c r="P32" i="1" l="1"/>
  <c r="Q32" i="1" s="1"/>
  <c r="P33" i="1"/>
  <c r="Q33" i="1"/>
  <c r="N32" i="1"/>
  <c r="L33" i="1"/>
  <c r="S39" i="1" l="1"/>
  <c r="J39" i="1"/>
  <c r="J59" i="1" l="1"/>
  <c r="J89" i="1"/>
  <c r="P12" i="1" l="1"/>
  <c r="Q12" i="1" s="1"/>
  <c r="L12" i="1"/>
  <c r="N94" i="1" l="1"/>
  <c r="L94" i="1"/>
  <c r="N93" i="1"/>
  <c r="L93" i="1"/>
  <c r="N92" i="1"/>
  <c r="L92" i="1"/>
  <c r="N91" i="1"/>
  <c r="L91" i="1"/>
  <c r="P88" i="1"/>
  <c r="Q88" i="1" s="1"/>
  <c r="L88" i="1"/>
  <c r="P86" i="1"/>
  <c r="Q86" i="1" s="1"/>
  <c r="L86" i="1"/>
  <c r="P85" i="1"/>
  <c r="Q85" i="1" s="1"/>
  <c r="L85" i="1"/>
  <c r="P84" i="1"/>
  <c r="Q84" i="1" s="1"/>
  <c r="L84" i="1"/>
  <c r="P83" i="1"/>
  <c r="Q83" i="1" s="1"/>
  <c r="L83" i="1"/>
  <c r="P82" i="1"/>
  <c r="Q82" i="1" s="1"/>
  <c r="N82" i="1"/>
  <c r="P81" i="1"/>
  <c r="Q81" i="1" s="1"/>
  <c r="L81" i="1"/>
  <c r="P80" i="1"/>
  <c r="Q80" i="1" s="1"/>
  <c r="L80" i="1"/>
  <c r="P79" i="1"/>
  <c r="Q79" i="1" s="1"/>
  <c r="L79" i="1"/>
  <c r="P78" i="1"/>
  <c r="Q78" i="1" s="1"/>
  <c r="L78" i="1"/>
  <c r="P77" i="1"/>
  <c r="Q77" i="1" s="1"/>
  <c r="L77" i="1"/>
  <c r="P76" i="1"/>
  <c r="Q76" i="1" s="1"/>
  <c r="N76" i="1"/>
  <c r="P73" i="1"/>
  <c r="Q73" i="1" s="1"/>
  <c r="N73" i="1"/>
  <c r="P72" i="1"/>
  <c r="Q72" i="1" s="1"/>
  <c r="L72" i="1"/>
  <c r="P71" i="1"/>
  <c r="Q71" i="1" s="1"/>
  <c r="L71" i="1"/>
  <c r="P69" i="1"/>
  <c r="Q69" i="1" s="1"/>
  <c r="L69" i="1"/>
  <c r="P68" i="1"/>
  <c r="Q68" i="1" s="1"/>
  <c r="N68" i="1"/>
  <c r="P67" i="1"/>
  <c r="Q67" i="1" s="1"/>
  <c r="N67" i="1"/>
  <c r="P66" i="1"/>
  <c r="Q66" i="1" s="1"/>
  <c r="N66" i="1"/>
  <c r="P65" i="1"/>
  <c r="Q65" i="1" s="1"/>
  <c r="N65" i="1"/>
  <c r="P64" i="1"/>
  <c r="Q64" i="1" s="1"/>
  <c r="L64" i="1"/>
  <c r="P63" i="1"/>
  <c r="Q63" i="1" s="1"/>
  <c r="L63" i="1"/>
  <c r="P62" i="1"/>
  <c r="Q62" i="1" s="1"/>
  <c r="N62" i="1"/>
  <c r="P61" i="1"/>
  <c r="Q61" i="1" s="1"/>
  <c r="L61" i="1"/>
  <c r="P58" i="1"/>
  <c r="Q58" i="1" s="1"/>
  <c r="L58" i="1"/>
  <c r="P57" i="1"/>
  <c r="Q57" i="1" s="1"/>
  <c r="L57" i="1"/>
  <c r="P56" i="1"/>
  <c r="Q56" i="1" s="1"/>
  <c r="L56" i="1"/>
  <c r="P55" i="1"/>
  <c r="Q55" i="1" s="1"/>
  <c r="L55" i="1"/>
  <c r="P54" i="1"/>
  <c r="Q54" i="1" s="1"/>
  <c r="N54" i="1"/>
  <c r="N59" i="1" s="1"/>
  <c r="P53" i="1"/>
  <c r="Q53" i="1" s="1"/>
  <c r="L53" i="1"/>
  <c r="P52" i="1"/>
  <c r="Q52" i="1" s="1"/>
  <c r="L52" i="1"/>
  <c r="P51" i="1"/>
  <c r="Q51" i="1" s="1"/>
  <c r="L51" i="1"/>
  <c r="S49" i="1"/>
  <c r="S90" i="1" s="1"/>
  <c r="J49" i="1"/>
  <c r="P48" i="1"/>
  <c r="Q48" i="1" s="1"/>
  <c r="L48" i="1"/>
  <c r="P47" i="1"/>
  <c r="Q47" i="1" s="1"/>
  <c r="L47" i="1"/>
  <c r="P45" i="1"/>
  <c r="Q45" i="1" s="1"/>
  <c r="L45" i="1"/>
  <c r="P44" i="1"/>
  <c r="Q44" i="1" s="1"/>
  <c r="L44" i="1"/>
  <c r="L90" i="1" s="1"/>
  <c r="P43" i="1"/>
  <c r="Q43" i="1" s="1"/>
  <c r="L43" i="1"/>
  <c r="P42" i="1"/>
  <c r="Q42" i="1" s="1"/>
  <c r="N42" i="1"/>
  <c r="N49" i="1" s="1"/>
  <c r="P41" i="1"/>
  <c r="Q41" i="1" s="1"/>
  <c r="L41" i="1"/>
  <c r="P38" i="1"/>
  <c r="Q38" i="1" s="1"/>
  <c r="N38" i="1"/>
  <c r="P37" i="1"/>
  <c r="Q37" i="1" s="1"/>
  <c r="N37" i="1"/>
  <c r="P36" i="1"/>
  <c r="Q36" i="1" s="1"/>
  <c r="N36" i="1"/>
  <c r="P35" i="1"/>
  <c r="Q35" i="1" s="1"/>
  <c r="L35" i="1"/>
  <c r="P34" i="1"/>
  <c r="Q34" i="1" s="1"/>
  <c r="L34" i="1"/>
  <c r="P31" i="1"/>
  <c r="Q31" i="1" s="1"/>
  <c r="L31" i="1"/>
  <c r="P28" i="1"/>
  <c r="Q28" i="1" s="1"/>
  <c r="L28" i="1"/>
  <c r="P26" i="1"/>
  <c r="Q26" i="1" s="1"/>
  <c r="N26" i="1"/>
  <c r="P25" i="1"/>
  <c r="Q25" i="1" s="1"/>
  <c r="N25" i="1"/>
  <c r="P24" i="1"/>
  <c r="Q24" i="1" s="1"/>
  <c r="L24" i="1"/>
  <c r="P23" i="1"/>
  <c r="Q23" i="1" s="1"/>
  <c r="N23" i="1"/>
  <c r="P22" i="1"/>
  <c r="Q22" i="1" s="1"/>
  <c r="N22" i="1"/>
  <c r="P21" i="1"/>
  <c r="Q21" i="1" s="1"/>
  <c r="L21" i="1"/>
  <c r="P20" i="1"/>
  <c r="Q20" i="1" s="1"/>
  <c r="L20" i="1"/>
  <c r="P19" i="1"/>
  <c r="Q19" i="1" s="1"/>
  <c r="L19" i="1"/>
  <c r="P18" i="1"/>
  <c r="Q18" i="1" s="1"/>
  <c r="L18" i="1"/>
  <c r="P17" i="1"/>
  <c r="Q17" i="1" s="1"/>
  <c r="L17" i="1"/>
  <c r="P16" i="1"/>
  <c r="Q16" i="1" s="1"/>
  <c r="P15" i="1"/>
  <c r="Q15" i="1" s="1"/>
  <c r="L15" i="1"/>
  <c r="P14" i="1"/>
  <c r="Q14" i="1" s="1"/>
  <c r="N14" i="1"/>
  <c r="P13" i="1"/>
  <c r="Q13" i="1" s="1"/>
  <c r="L13" i="1"/>
  <c r="L29" i="1" s="1"/>
  <c r="M4" i="1"/>
  <c r="N29" i="1" l="1"/>
  <c r="N90" i="1"/>
  <c r="N39" i="1"/>
  <c r="L59" i="1"/>
  <c r="L39" i="1"/>
  <c r="N89" i="1"/>
  <c r="L49" i="1"/>
  <c r="L89" i="1"/>
  <c r="L95" i="1"/>
  <c r="L96" i="1" s="1"/>
  <c r="N95" i="1"/>
  <c r="N96" i="1" l="1"/>
  <c r="J96" i="1" s="1"/>
  <c r="Q4" i="1" l="1"/>
  <c r="Q5" i="1" s="1"/>
  <c r="S5" i="1" s="1"/>
  <c r="R87" i="1" l="1"/>
  <c r="R70" i="1"/>
  <c r="R46" i="1"/>
  <c r="R27" i="1"/>
  <c r="R33" i="1"/>
  <c r="R32" i="1"/>
  <c r="R12" i="1"/>
  <c r="R79" i="1"/>
  <c r="R64" i="1"/>
  <c r="R48" i="1"/>
  <c r="R34" i="1"/>
  <c r="R20" i="1"/>
  <c r="R31" i="1"/>
  <c r="R58" i="1"/>
  <c r="R16" i="1"/>
  <c r="R57" i="1"/>
  <c r="R71" i="1"/>
  <c r="R26" i="1"/>
  <c r="R84" i="1"/>
  <c r="R13" i="1"/>
  <c r="R54" i="1"/>
  <c r="R82" i="1"/>
  <c r="R37" i="1"/>
  <c r="R66" i="1"/>
  <c r="R22" i="1"/>
  <c r="R51" i="1"/>
  <c r="R78" i="1"/>
  <c r="R63" i="1"/>
  <c r="R47" i="1"/>
  <c r="R19" i="1"/>
  <c r="R61" i="1"/>
  <c r="R17" i="1"/>
  <c r="R73" i="1"/>
  <c r="R28" i="1"/>
  <c r="R72" i="1"/>
  <c r="R15" i="1"/>
  <c r="R56" i="1"/>
  <c r="R14" i="1"/>
  <c r="R69" i="1"/>
  <c r="R41" i="1"/>
  <c r="R83" i="1"/>
  <c r="R38" i="1"/>
  <c r="R67" i="1"/>
  <c r="R23" i="1"/>
  <c r="R52" i="1"/>
  <c r="R80" i="1"/>
  <c r="R35" i="1"/>
  <c r="R77" i="1"/>
  <c r="R62" i="1"/>
  <c r="R18" i="1"/>
  <c r="R76" i="1"/>
  <c r="R45" i="1"/>
  <c r="R88" i="1"/>
  <c r="R44" i="1"/>
  <c r="R86" i="1"/>
  <c r="R43" i="1"/>
  <c r="R85" i="1"/>
  <c r="R42" i="1"/>
  <c r="R55" i="1"/>
  <c r="R25" i="1"/>
  <c r="R68" i="1"/>
  <c r="R24" i="1"/>
  <c r="R53" i="1"/>
  <c r="R81" i="1"/>
  <c r="R36" i="1"/>
  <c r="R65" i="1"/>
  <c r="R21" i="1"/>
</calcChain>
</file>

<file path=xl/sharedStrings.xml><?xml version="1.0" encoding="utf-8"?>
<sst xmlns="http://schemas.openxmlformats.org/spreadsheetml/2006/main" count="251" uniqueCount="137">
  <si>
    <t>Laguna Clothing LLP</t>
  </si>
  <si>
    <t>SMV &amp; Operation Breakdown</t>
  </si>
  <si>
    <t>Buyer:</t>
  </si>
  <si>
    <t>PRL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</si>
  <si>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</si>
  <si>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</si>
  <si>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</si>
  <si>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</si>
  <si>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</si>
  <si>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</si>
  <si>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</si>
  <si>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</si>
  <si>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</si>
  <si>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</si>
  <si>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</si>
  <si>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</si>
  <si>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</si>
  <si>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</si>
  <si>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</si>
  <si>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</si>
  <si>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</si>
  <si>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</si>
  <si>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</si>
  <si>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</si>
  <si>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</si>
  <si>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</si>
  <si>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</si>
  <si>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SNLS</t>
  </si>
  <si>
    <t>N/A</t>
  </si>
  <si>
    <t>Collar Blocking</t>
  </si>
  <si>
    <t>Blocking M/C</t>
  </si>
  <si>
    <t>Top stitch collar</t>
  </si>
  <si>
    <t>Collar contour trim</t>
  </si>
  <si>
    <t>Contour M/C</t>
  </si>
  <si>
    <t>Neck band Fusing attach</t>
  </si>
  <si>
    <t>Collar Stay Stitch</t>
  </si>
  <si>
    <t>Pick turn</t>
  </si>
  <si>
    <t>Turning M/C</t>
  </si>
  <si>
    <t>Pick iron</t>
  </si>
  <si>
    <t>Iron Table</t>
  </si>
  <si>
    <t>Neck band edge stitch</t>
  </si>
  <si>
    <t>Trim base</t>
  </si>
  <si>
    <t>SNEC</t>
  </si>
  <si>
    <t>Notch &amp; mark collar</t>
  </si>
  <si>
    <t>Notch M/C</t>
  </si>
  <si>
    <t>Button hole&amp; attach on neck band</t>
  </si>
  <si>
    <t>Tandom M/C</t>
  </si>
  <si>
    <t>Sub Total</t>
  </si>
  <si>
    <t>Front</t>
  </si>
  <si>
    <t>1 1/4"</t>
  </si>
  <si>
    <t>Helper Table</t>
  </si>
  <si>
    <t>Button hole front X 6</t>
  </si>
  <si>
    <t>B/Hole M/C</t>
  </si>
  <si>
    <t>Button sew front X 6</t>
  </si>
  <si>
    <t>Button M/C</t>
  </si>
  <si>
    <t>Pairing</t>
  </si>
  <si>
    <t>Front Bottom Serging</t>
  </si>
  <si>
    <t xml:space="preserve">Iron extended V </t>
  </si>
  <si>
    <t>Back</t>
  </si>
  <si>
    <t>Split yoke joining -Double</t>
  </si>
  <si>
    <t>Split yoke crease</t>
  </si>
  <si>
    <t>Pattren Sewer M/C</t>
  </si>
  <si>
    <t>10mm</t>
  </si>
  <si>
    <t>Sleeve</t>
  </si>
  <si>
    <t>Sew small sleeve placket</t>
  </si>
  <si>
    <t>1/2"</t>
  </si>
  <si>
    <t>Sleeve tacking</t>
  </si>
  <si>
    <t>Press sleeve placket</t>
  </si>
  <si>
    <t>Rotary fusing m/c</t>
  </si>
  <si>
    <t>Set and seal placket</t>
  </si>
  <si>
    <t>Sleeve on Button hole X1</t>
  </si>
  <si>
    <t>Button hole m/c</t>
  </si>
  <si>
    <t>Sleeve on Button Sew X1</t>
  </si>
  <si>
    <t>Button m/c</t>
  </si>
  <si>
    <t>Cuff</t>
  </si>
  <si>
    <t>Cuff Fusing Attach</t>
  </si>
  <si>
    <t>Cuff hem iron</t>
  </si>
  <si>
    <t>Cuff hem</t>
  </si>
  <si>
    <t>Cuff raw edge trimming-Round</t>
  </si>
  <si>
    <t>Cuff turning &amp; Shape-Round</t>
  </si>
  <si>
    <t>Cuff Blocking</t>
  </si>
  <si>
    <t>Topstitch cuff fused-Open-Round</t>
  </si>
  <si>
    <t>Button hole X1</t>
  </si>
  <si>
    <t>Button X1</t>
  </si>
  <si>
    <t xml:space="preserve">Open Cuff  Iron </t>
  </si>
  <si>
    <t>Assembly</t>
  </si>
  <si>
    <t>Hanger Loading</t>
  </si>
  <si>
    <t>Join shoulder</t>
  </si>
  <si>
    <t>1mm</t>
  </si>
  <si>
    <t>DNCS</t>
  </si>
  <si>
    <t>Sleeve Top</t>
  </si>
  <si>
    <t>Side serging</t>
  </si>
  <si>
    <t>French fell-1</t>
  </si>
  <si>
    <t>French fell-2</t>
  </si>
  <si>
    <t>Cuff attach</t>
  </si>
  <si>
    <t>Bottom hem with top stitching V patch</t>
  </si>
  <si>
    <t>3/16"</t>
  </si>
  <si>
    <t>Total SMV</t>
  </si>
  <si>
    <t>Fabric allowance</t>
  </si>
  <si>
    <t>SPI allowance</t>
  </si>
  <si>
    <t>Quantity allowance</t>
  </si>
  <si>
    <t>Size allowance</t>
  </si>
  <si>
    <t>Total allowance</t>
  </si>
  <si>
    <t>Total SMV with allowances</t>
  </si>
  <si>
    <t>Sleeve pleat &amp; trim</t>
  </si>
  <si>
    <t>PRL Extra Button  X3</t>
  </si>
  <si>
    <t>Button Down Collar,round neckband, Neck band Fushing Attach, single clean finish rounded cuff -open 1 button,1 B/H, Cut &amp; Sew Placket,Double Split yoke ,1mm stitch @ yoke &amp; shoulder,french fell seam, Box pleat @back,V Patch @ front plkt, Emb Logo @ Chest</t>
  </si>
  <si>
    <t>100% LINEN</t>
  </si>
  <si>
    <t>Sleeve over lock</t>
  </si>
  <si>
    <t>O/L M/C</t>
  </si>
  <si>
    <t xml:space="preserve">Wash care label attach </t>
  </si>
  <si>
    <t xml:space="preserve">Size Label with Barcode label </t>
  </si>
  <si>
    <t>Collar lining attach</t>
  </si>
  <si>
    <t>Collar Attach</t>
  </si>
  <si>
    <t>Collar Finish</t>
  </si>
  <si>
    <t>Sleeve Attach</t>
  </si>
  <si>
    <t>Neckband attach</t>
  </si>
  <si>
    <t>Pick Attach</t>
  </si>
  <si>
    <t>Neck band hem</t>
  </si>
  <si>
    <t>Run Collar</t>
  </si>
  <si>
    <t>Run cuff -Round</t>
  </si>
  <si>
    <t>Center pleat</t>
  </si>
  <si>
    <t>Yoke attach</t>
  </si>
  <si>
    <t>Yoke center tacking</t>
  </si>
  <si>
    <t>Button hole on button down collar</t>
  </si>
  <si>
    <t>Button down</t>
  </si>
  <si>
    <t>Cut &amp; Sew Placket</t>
  </si>
  <si>
    <t>Kansai</t>
  </si>
  <si>
    <t>1/4"</t>
  </si>
  <si>
    <t>Neck trim</t>
  </si>
  <si>
    <t>Button Placket hem</t>
  </si>
  <si>
    <t>Ready Iron cuff</t>
  </si>
  <si>
    <t>SU 26</t>
  </si>
  <si>
    <t>Sew Main Label-4 Side &amp; Two secondary Label-2 Side</t>
  </si>
  <si>
    <t>SPI-18</t>
  </si>
  <si>
    <t xml:space="preserve">710B18632002-CLBDPPCS
</t>
  </si>
  <si>
    <t>Cuff edge stitch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</si>
</sst>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24"/>
      <color rgb="FF000000"/>
      <name val="Calibri Light"/>
      <family val="1"/>
    </font>
    <font>
      <sz val="24"/>
      <color rgb="FF000000"/>
      <name val="Calibri"/>
      <family val="2"/>
    </font>
    <font>
      <sz val="24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sz val="24"/>
      <color theme="1"/>
      <name val="Calibri"/>
      <family val="2"/>
    </font>
    <font>
      <sz val="24"/>
      <color rgb="FF000000"/>
      <name val="Times New Roman"/>
      <family val="1"/>
    </font>
    <font>
      <sz val="24"/>
      <name val="Arial"/>
      <family val="2"/>
    </font>
    <font>
      <b/>
      <sz val="24"/>
      <name val="Times New Roman"/>
      <family val="1"/>
    </font>
    <font>
      <b/>
      <sz val="24"/>
      <color theme="1"/>
      <name val="Calibri"/>
      <family val="2"/>
    </font>
    <font>
      <sz val="24"/>
      <name val="Times New Roman"/>
      <family val="1"/>
    </font>
    <font>
      <b/>
      <sz val="2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2" fillId="2" borderId="6" xfId="0" applyFont="1" applyFill="1" applyBorder="1"/>
    <xf numFmtId="16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2" borderId="0" xfId="0" applyFont="1" applyFill="1"/>
    <xf numFmtId="0" fontId="9" fillId="0" borderId="6" xfId="0" applyFont="1" applyBorder="1" applyAlignment="1">
      <alignment horizontal="center" vertical="center"/>
    </xf>
    <xf numFmtId="0" fontId="2" fillId="4" borderId="3" xfId="0" applyFont="1" applyFill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2" borderId="15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2" fillId="6" borderId="6" xfId="0" applyFont="1" applyFill="1" applyBorder="1"/>
    <xf numFmtId="0" fontId="2" fillId="2" borderId="3" xfId="0" applyFont="1" applyFill="1" applyBorder="1"/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9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2" borderId="9" xfId="0" applyFont="1" applyFill="1" applyBorder="1" applyAlignment="1"/>
    <xf numFmtId="9" fontId="11" fillId="2" borderId="6" xfId="0" applyNumberFormat="1" applyFont="1" applyFill="1" applyBorder="1" applyAlignment="1">
      <alignment horizontal="right"/>
    </xf>
    <xf numFmtId="9" fontId="2" fillId="2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4" borderId="9" xfId="0" applyFont="1" applyFill="1" applyBorder="1" applyAlignment="1"/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7"/>
  <sheetViews>
    <sheetView tabSelected="1" view="pageBreakPreview" zoomScale="40" zoomScaleNormal="40" zoomScaleSheetLayoutView="40" workbookViewId="0">
      <selection activeCell="P15" sqref="P15"/>
    </sheetView>
  </sheetViews>
  <sheetFormatPr defaultColWidth="9.125" defaultRowHeight="31.5"/>
  <cols>
    <col min="1" max="1" width="8.625" style="2" bestFit="1" customWidth="1"/>
    <col min="2" max="2" width="22.75" style="2" customWidth="1"/>
    <col min="3" max="3" width="25.125" style="2" customWidth="1"/>
    <col min="4" max="4" width="31.375" style="2" customWidth="1"/>
    <col min="5" max="5" width="14.25" style="2" customWidth="1"/>
    <col min="6" max="6" width="23" style="2" customWidth="1"/>
    <col min="7" max="7" width="11.375" style="2" customWidth="1"/>
    <col min="8" max="8" width="11.625" style="2" customWidth="1"/>
    <col min="9" max="9" width="13" style="2" customWidth="1"/>
    <col min="10" max="10" width="12.625" style="2" customWidth="1"/>
    <col min="11" max="11" width="12" style="2" customWidth="1"/>
    <col min="12" max="12" width="16.25" style="2" customWidth="1"/>
    <col min="13" max="13" width="12.625" style="2" customWidth="1"/>
    <col min="14" max="14" width="14.875" style="2" customWidth="1"/>
    <col min="15" max="15" width="16.25" style="2" customWidth="1"/>
    <col min="16" max="16" width="26.25" style="6" customWidth="1"/>
    <col min="17" max="17" width="23.375" style="6" bestFit="1" customWidth="1"/>
    <col min="18" max="18" width="29.625" style="6" customWidth="1"/>
    <col min="19" max="19" width="26" style="6" customWidth="1"/>
    <col min="20" max="16384" width="9.125" style="2"/>
  </cols>
  <sheetData>
    <row r="1" spans="1:19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"/>
      <c r="Q1" s="1"/>
      <c r="R1" s="1"/>
      <c r="S1" s="1"/>
    </row>
    <row r="2" spans="1:19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"/>
      <c r="Q2" s="1"/>
      <c r="R2" s="1"/>
      <c r="S2" s="1"/>
    </row>
    <row r="3" spans="1:19">
      <c r="A3" s="3"/>
      <c r="B3" s="3"/>
      <c r="C3" s="3"/>
      <c r="D3" s="3"/>
      <c r="E3" s="3"/>
      <c r="F3" s="3"/>
      <c r="G3" s="102" t="s">
        <v>135</v>
      </c>
      <c r="H3" s="102"/>
      <c r="I3" s="102"/>
      <c r="J3" s="102"/>
      <c r="K3" s="3"/>
      <c r="L3" s="3"/>
      <c r="M3" s="3"/>
      <c r="N3" s="3"/>
      <c r="O3" s="3"/>
      <c r="P3" s="1"/>
      <c r="Q3" s="1"/>
      <c r="R3" s="1"/>
      <c r="S3" s="1"/>
    </row>
    <row r="4" spans="1:19" ht="28.5" customHeight="1">
      <c r="A4" s="103" t="s">
        <v>2</v>
      </c>
      <c r="B4" s="103"/>
      <c r="C4" s="107" t="s">
        <v>3</v>
      </c>
      <c r="D4" s="107"/>
      <c r="E4" s="103" t="s">
        <v>4</v>
      </c>
      <c r="F4" s="103"/>
      <c r="G4" s="102"/>
      <c r="H4" s="102"/>
      <c r="I4" s="102"/>
      <c r="J4" s="102"/>
      <c r="K4" s="103" t="s">
        <v>5</v>
      </c>
      <c r="L4" s="103"/>
      <c r="M4" s="108">
        <f ca="1">TODAY()</f>
        <v>46058</v>
      </c>
      <c r="N4" s="108"/>
      <c r="O4" s="108"/>
      <c r="P4" s="4" t="s">
        <v>6</v>
      </c>
      <c r="Q4" s="5">
        <f>540/J96</f>
        <v>15.09400209079881</v>
      </c>
      <c r="R4" s="4" t="s">
        <v>7</v>
      </c>
      <c r="S4" s="6">
        <v>95</v>
      </c>
    </row>
    <row r="5" spans="1:19">
      <c r="A5" s="103" t="s">
        <v>8</v>
      </c>
      <c r="B5" s="103"/>
      <c r="C5" s="109" t="s">
        <v>132</v>
      </c>
      <c r="D5" s="109"/>
      <c r="E5" s="103" t="s">
        <v>9</v>
      </c>
      <c r="F5" s="103"/>
      <c r="G5" s="109" t="s">
        <v>107</v>
      </c>
      <c r="H5" s="109"/>
      <c r="I5" s="109"/>
      <c r="J5" s="7"/>
      <c r="K5" s="103" t="s">
        <v>10</v>
      </c>
      <c r="L5" s="103"/>
      <c r="M5" s="109" t="s">
        <v>11</v>
      </c>
      <c r="N5" s="109"/>
      <c r="O5" s="109"/>
      <c r="P5" s="4" t="s">
        <v>12</v>
      </c>
      <c r="Q5" s="5">
        <f>Q4*S4</f>
        <v>1433.930198625887</v>
      </c>
      <c r="R5" s="4" t="s">
        <v>13</v>
      </c>
      <c r="S5" s="5">
        <f>Q5/9</f>
        <v>159.32557762509856</v>
      </c>
    </row>
    <row r="6" spans="1:19">
      <c r="A6" s="8"/>
      <c r="B6" s="8"/>
      <c r="C6" s="9"/>
      <c r="D6" s="9"/>
      <c r="E6" s="8"/>
      <c r="F6" s="8"/>
      <c r="G6" s="9"/>
      <c r="H6" s="9"/>
      <c r="I6" s="102"/>
      <c r="J6" s="102"/>
      <c r="K6" s="8"/>
      <c r="L6" s="8"/>
      <c r="M6" s="9"/>
      <c r="N6" s="9"/>
      <c r="O6" s="9"/>
      <c r="P6" s="1"/>
      <c r="Q6" s="1"/>
      <c r="R6" s="1"/>
      <c r="S6" s="1"/>
    </row>
    <row r="7" spans="1:19" ht="31.5" customHeight="1">
      <c r="A7" s="103" t="s">
        <v>14</v>
      </c>
      <c r="B7" s="103"/>
      <c r="C7" s="103"/>
      <c r="D7" s="104" t="s">
        <v>106</v>
      </c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</row>
    <row r="8" spans="1:19">
      <c r="A8" s="8"/>
      <c r="B8" s="8"/>
      <c r="C8" s="9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19">
      <c r="A9" s="7"/>
      <c r="B9" s="7"/>
      <c r="C9" s="7"/>
      <c r="D9" s="7"/>
      <c r="E9" s="7"/>
      <c r="F9" s="7"/>
      <c r="G9" s="7"/>
      <c r="H9" s="7"/>
      <c r="I9" s="105"/>
      <c r="J9" s="105"/>
      <c r="K9" s="7"/>
      <c r="L9" s="7"/>
      <c r="M9" s="7"/>
      <c r="N9" s="7"/>
      <c r="O9" s="7"/>
      <c r="P9" s="1"/>
      <c r="Q9" s="1"/>
      <c r="R9" s="1"/>
      <c r="S9" s="1"/>
    </row>
    <row r="10" spans="1:19" ht="74.25" customHeight="1">
      <c r="A10" s="10" t="s">
        <v>15</v>
      </c>
      <c r="B10" s="99" t="s">
        <v>16</v>
      </c>
      <c r="C10" s="100"/>
      <c r="D10" s="101"/>
      <c r="E10" s="99" t="s">
        <v>17</v>
      </c>
      <c r="F10" s="101"/>
      <c r="G10" s="99" t="s">
        <v>18</v>
      </c>
      <c r="H10" s="100"/>
      <c r="I10" s="101"/>
      <c r="J10" s="99" t="s">
        <v>19</v>
      </c>
      <c r="K10" s="101"/>
      <c r="L10" s="99" t="s">
        <v>20</v>
      </c>
      <c r="M10" s="101"/>
      <c r="N10" s="99" t="s">
        <v>21</v>
      </c>
      <c r="O10" s="101"/>
      <c r="P10" s="11" t="s">
        <v>22</v>
      </c>
      <c r="Q10" s="11" t="s">
        <v>23</v>
      </c>
      <c r="R10" s="11" t="s">
        <v>24</v>
      </c>
      <c r="S10" s="11" t="s">
        <v>25</v>
      </c>
    </row>
    <row r="11" spans="1:19">
      <c r="A11" s="12"/>
      <c r="B11" s="13" t="s">
        <v>26</v>
      </c>
      <c r="C11" s="14"/>
      <c r="D11" s="14"/>
      <c r="E11" s="14"/>
      <c r="F11" s="14"/>
      <c r="G11" s="14"/>
      <c r="H11" s="14"/>
      <c r="I11" s="14"/>
      <c r="J11" s="76"/>
      <c r="K11" s="76"/>
      <c r="L11" s="76"/>
      <c r="M11" s="76"/>
      <c r="N11" s="76"/>
      <c r="O11" s="76"/>
      <c r="P11" s="15"/>
      <c r="Q11" s="15"/>
      <c r="R11" s="15"/>
      <c r="S11" s="15"/>
    </row>
    <row r="12" spans="1:19">
      <c r="A12" s="16">
        <v>1</v>
      </c>
      <c r="B12" s="77" t="s">
        <v>112</v>
      </c>
      <c r="C12" s="78"/>
      <c r="D12" s="79"/>
      <c r="E12" s="80" t="s">
        <v>27</v>
      </c>
      <c r="F12" s="80"/>
      <c r="G12" s="80" t="s">
        <v>28</v>
      </c>
      <c r="H12" s="80"/>
      <c r="I12" s="80"/>
      <c r="J12" s="53">
        <v>0.4</v>
      </c>
      <c r="K12" s="53"/>
      <c r="L12" s="53">
        <f>J12</f>
        <v>0.4</v>
      </c>
      <c r="M12" s="53"/>
      <c r="N12" s="44"/>
      <c r="O12" s="44"/>
      <c r="P12" s="17">
        <f>60/J12</f>
        <v>150</v>
      </c>
      <c r="Q12" s="17">
        <f>P12*0.95</f>
        <v>142.5</v>
      </c>
      <c r="R12" s="18">
        <f>S$5/Q12</f>
        <v>1.1180742289480601</v>
      </c>
      <c r="S12" s="19">
        <v>1</v>
      </c>
    </row>
    <row r="13" spans="1:19">
      <c r="A13" s="16">
        <v>2</v>
      </c>
      <c r="B13" s="77" t="s">
        <v>119</v>
      </c>
      <c r="C13" s="78"/>
      <c r="D13" s="79"/>
      <c r="E13" s="80" t="s">
        <v>27</v>
      </c>
      <c r="F13" s="80"/>
      <c r="G13" s="80" t="s">
        <v>28</v>
      </c>
      <c r="H13" s="80"/>
      <c r="I13" s="80"/>
      <c r="J13" s="53">
        <v>0.52</v>
      </c>
      <c r="K13" s="53"/>
      <c r="L13" s="53">
        <f>J13</f>
        <v>0.52</v>
      </c>
      <c r="M13" s="53"/>
      <c r="N13" s="44"/>
      <c r="O13" s="44"/>
      <c r="P13" s="17">
        <f>60/J13</f>
        <v>115.38461538461539</v>
      </c>
      <c r="Q13" s="17">
        <f>P13*0.95</f>
        <v>109.61538461538461</v>
      </c>
      <c r="R13" s="18">
        <f>S$5/Q13</f>
        <v>1.4534964976324782</v>
      </c>
      <c r="S13" s="19">
        <v>1.5</v>
      </c>
    </row>
    <row r="14" spans="1:19">
      <c r="A14" s="16">
        <v>3</v>
      </c>
      <c r="B14" s="42" t="s">
        <v>29</v>
      </c>
      <c r="C14" s="42"/>
      <c r="D14" s="42"/>
      <c r="E14" s="43" t="s">
        <v>30</v>
      </c>
      <c r="F14" s="43"/>
      <c r="G14" s="43" t="s">
        <v>28</v>
      </c>
      <c r="H14" s="43"/>
      <c r="I14" s="43"/>
      <c r="J14" s="44">
        <v>0.24</v>
      </c>
      <c r="K14" s="44"/>
      <c r="L14" s="51"/>
      <c r="M14" s="52"/>
      <c r="N14" s="51">
        <f>J14</f>
        <v>0.24</v>
      </c>
      <c r="O14" s="52"/>
      <c r="P14" s="17">
        <f t="shared" ref="P14:P83" si="0">60/J14</f>
        <v>250</v>
      </c>
      <c r="Q14" s="17">
        <f t="shared" ref="Q14:Q83" si="1">P14*0.95</f>
        <v>237.5</v>
      </c>
      <c r="R14" s="18">
        <f t="shared" ref="R14:R83" si="2">S$5/Q14</f>
        <v>0.67084453736883609</v>
      </c>
      <c r="S14" s="19">
        <v>1</v>
      </c>
    </row>
    <row r="15" spans="1:19">
      <c r="A15" s="16">
        <v>4</v>
      </c>
      <c r="B15" s="42" t="s">
        <v>31</v>
      </c>
      <c r="C15" s="42"/>
      <c r="D15" s="42"/>
      <c r="E15" s="43" t="s">
        <v>27</v>
      </c>
      <c r="F15" s="43"/>
      <c r="G15" s="43" t="s">
        <v>28</v>
      </c>
      <c r="H15" s="43"/>
      <c r="I15" s="43"/>
      <c r="J15" s="44">
        <v>0.4</v>
      </c>
      <c r="K15" s="44"/>
      <c r="L15" s="44">
        <f>J15</f>
        <v>0.4</v>
      </c>
      <c r="M15" s="44"/>
      <c r="N15" s="44"/>
      <c r="O15" s="44"/>
      <c r="P15" s="17">
        <f t="shared" si="0"/>
        <v>150</v>
      </c>
      <c r="Q15" s="17">
        <f t="shared" si="1"/>
        <v>142.5</v>
      </c>
      <c r="R15" s="18">
        <f t="shared" si="2"/>
        <v>1.1180742289480601</v>
      </c>
      <c r="S15" s="19">
        <v>1.5</v>
      </c>
    </row>
    <row r="16" spans="1:19">
      <c r="A16" s="16">
        <v>5</v>
      </c>
      <c r="B16" s="42" t="s">
        <v>32</v>
      </c>
      <c r="C16" s="42"/>
      <c r="D16" s="42"/>
      <c r="E16" s="43" t="s">
        <v>33</v>
      </c>
      <c r="F16" s="43"/>
      <c r="G16" s="43" t="s">
        <v>28</v>
      </c>
      <c r="H16" s="43"/>
      <c r="I16" s="43"/>
      <c r="J16" s="44">
        <v>0.15</v>
      </c>
      <c r="K16" s="44"/>
      <c r="L16" s="44"/>
      <c r="M16" s="44"/>
      <c r="N16" s="44"/>
      <c r="O16" s="44"/>
      <c r="P16" s="17">
        <f t="shared" si="0"/>
        <v>400</v>
      </c>
      <c r="Q16" s="17">
        <f t="shared" si="1"/>
        <v>380</v>
      </c>
      <c r="R16" s="18">
        <f t="shared" si="2"/>
        <v>0.41927783585552253</v>
      </c>
      <c r="S16" s="19">
        <v>0.5</v>
      </c>
    </row>
    <row r="17" spans="1:19">
      <c r="A17" s="16">
        <v>6</v>
      </c>
      <c r="B17" s="42" t="s">
        <v>34</v>
      </c>
      <c r="C17" s="42"/>
      <c r="D17" s="42"/>
      <c r="E17" s="43" t="s">
        <v>27</v>
      </c>
      <c r="F17" s="43"/>
      <c r="G17" s="43" t="s">
        <v>28</v>
      </c>
      <c r="H17" s="43"/>
      <c r="I17" s="43"/>
      <c r="J17" s="43">
        <v>0.3</v>
      </c>
      <c r="K17" s="43"/>
      <c r="L17" s="44">
        <f>J17</f>
        <v>0.3</v>
      </c>
      <c r="M17" s="44"/>
      <c r="N17" s="44"/>
      <c r="O17" s="44"/>
      <c r="P17" s="17">
        <f t="shared" si="0"/>
        <v>200</v>
      </c>
      <c r="Q17" s="17">
        <f t="shared" si="1"/>
        <v>190</v>
      </c>
      <c r="R17" s="18">
        <f t="shared" si="2"/>
        <v>0.83855567171104506</v>
      </c>
      <c r="S17" s="19">
        <v>1</v>
      </c>
    </row>
    <row r="18" spans="1:19">
      <c r="A18" s="16">
        <v>7</v>
      </c>
      <c r="B18" s="42" t="s">
        <v>118</v>
      </c>
      <c r="C18" s="42"/>
      <c r="D18" s="42"/>
      <c r="E18" s="43" t="s">
        <v>27</v>
      </c>
      <c r="F18" s="43"/>
      <c r="G18" s="43" t="s">
        <v>28</v>
      </c>
      <c r="H18" s="43"/>
      <c r="I18" s="43"/>
      <c r="J18" s="44">
        <v>0.32</v>
      </c>
      <c r="K18" s="44"/>
      <c r="L18" s="44">
        <f>J18</f>
        <v>0.32</v>
      </c>
      <c r="M18" s="44"/>
      <c r="N18" s="44"/>
      <c r="O18" s="44"/>
      <c r="P18" s="17">
        <f t="shared" si="0"/>
        <v>187.5</v>
      </c>
      <c r="Q18" s="17">
        <f t="shared" si="1"/>
        <v>178.125</v>
      </c>
      <c r="R18" s="18">
        <f>S$5/Q18</f>
        <v>0.89445938315844808</v>
      </c>
      <c r="S18" s="19">
        <v>1</v>
      </c>
    </row>
    <row r="19" spans="1:19">
      <c r="A19" s="16">
        <v>8</v>
      </c>
      <c r="B19" s="42" t="s">
        <v>35</v>
      </c>
      <c r="C19" s="42"/>
      <c r="D19" s="42"/>
      <c r="E19" s="43" t="s">
        <v>27</v>
      </c>
      <c r="F19" s="43"/>
      <c r="G19" s="43" t="s">
        <v>28</v>
      </c>
      <c r="H19" s="43"/>
      <c r="I19" s="43"/>
      <c r="J19" s="44">
        <v>0.21</v>
      </c>
      <c r="K19" s="44"/>
      <c r="L19" s="44">
        <f>J19</f>
        <v>0.21</v>
      </c>
      <c r="M19" s="44"/>
      <c r="N19" s="44"/>
      <c r="O19" s="44"/>
      <c r="P19" s="17">
        <f t="shared" si="0"/>
        <v>285.71428571428572</v>
      </c>
      <c r="Q19" s="17">
        <f t="shared" si="1"/>
        <v>271.42857142857144</v>
      </c>
      <c r="R19" s="18">
        <f>S$5/Q19</f>
        <v>0.58698897019773155</v>
      </c>
      <c r="S19" s="19">
        <v>1</v>
      </c>
    </row>
    <row r="20" spans="1:19">
      <c r="A20" s="16">
        <v>9</v>
      </c>
      <c r="B20" s="42" t="s">
        <v>116</v>
      </c>
      <c r="C20" s="42"/>
      <c r="D20" s="42"/>
      <c r="E20" s="43" t="s">
        <v>27</v>
      </c>
      <c r="F20" s="43"/>
      <c r="G20" s="43" t="s">
        <v>28</v>
      </c>
      <c r="H20" s="43"/>
      <c r="I20" s="43"/>
      <c r="J20" s="44">
        <v>0.5</v>
      </c>
      <c r="K20" s="44"/>
      <c r="L20" s="44">
        <f>J20</f>
        <v>0.5</v>
      </c>
      <c r="M20" s="44"/>
      <c r="N20" s="44"/>
      <c r="O20" s="44"/>
      <c r="P20" s="17">
        <f t="shared" si="0"/>
        <v>120</v>
      </c>
      <c r="Q20" s="17">
        <f t="shared" si="1"/>
        <v>114</v>
      </c>
      <c r="R20" s="18">
        <f t="shared" si="2"/>
        <v>1.397592786185075</v>
      </c>
      <c r="S20" s="19">
        <v>1.5</v>
      </c>
    </row>
    <row r="21" spans="1:19">
      <c r="A21" s="16">
        <v>10</v>
      </c>
      <c r="B21" s="42" t="s">
        <v>117</v>
      </c>
      <c r="C21" s="42"/>
      <c r="D21" s="42"/>
      <c r="E21" s="43" t="s">
        <v>27</v>
      </c>
      <c r="F21" s="43"/>
      <c r="G21" s="43" t="s">
        <v>28</v>
      </c>
      <c r="H21" s="43"/>
      <c r="I21" s="43"/>
      <c r="J21" s="44">
        <v>0.5</v>
      </c>
      <c r="K21" s="44"/>
      <c r="L21" s="44">
        <f>J21</f>
        <v>0.5</v>
      </c>
      <c r="M21" s="44"/>
      <c r="N21" s="44"/>
      <c r="O21" s="44"/>
      <c r="P21" s="17">
        <f t="shared" si="0"/>
        <v>120</v>
      </c>
      <c r="Q21" s="17">
        <f t="shared" si="1"/>
        <v>114</v>
      </c>
      <c r="R21" s="18">
        <f t="shared" si="2"/>
        <v>1.397592786185075</v>
      </c>
      <c r="S21" s="19">
        <v>1.5</v>
      </c>
    </row>
    <row r="22" spans="1:19">
      <c r="A22" s="16">
        <v>11</v>
      </c>
      <c r="B22" s="42" t="s">
        <v>36</v>
      </c>
      <c r="C22" s="42"/>
      <c r="D22" s="42"/>
      <c r="E22" s="43" t="s">
        <v>37</v>
      </c>
      <c r="F22" s="43"/>
      <c r="G22" s="43" t="s">
        <v>28</v>
      </c>
      <c r="H22" s="43"/>
      <c r="I22" s="43"/>
      <c r="J22" s="44">
        <v>0.25</v>
      </c>
      <c r="K22" s="44"/>
      <c r="L22" s="44"/>
      <c r="M22" s="44"/>
      <c r="N22" s="44">
        <f>J22</f>
        <v>0.25</v>
      </c>
      <c r="O22" s="44"/>
      <c r="P22" s="17">
        <f t="shared" si="0"/>
        <v>240</v>
      </c>
      <c r="Q22" s="17">
        <f t="shared" si="1"/>
        <v>228</v>
      </c>
      <c r="R22" s="18">
        <f>S$5/Q22</f>
        <v>0.69879639309253749</v>
      </c>
      <c r="S22" s="19">
        <v>1</v>
      </c>
    </row>
    <row r="23" spans="1:19">
      <c r="A23" s="16">
        <v>12</v>
      </c>
      <c r="B23" s="42" t="s">
        <v>38</v>
      </c>
      <c r="C23" s="42"/>
      <c r="D23" s="42"/>
      <c r="E23" s="43" t="s">
        <v>39</v>
      </c>
      <c r="F23" s="43"/>
      <c r="G23" s="43" t="s">
        <v>28</v>
      </c>
      <c r="H23" s="43"/>
      <c r="I23" s="43"/>
      <c r="J23" s="44">
        <v>0.25</v>
      </c>
      <c r="K23" s="44"/>
      <c r="L23" s="44"/>
      <c r="M23" s="44"/>
      <c r="N23" s="44">
        <f>J23</f>
        <v>0.25</v>
      </c>
      <c r="O23" s="44"/>
      <c r="P23" s="17">
        <f t="shared" si="0"/>
        <v>240</v>
      </c>
      <c r="Q23" s="17">
        <f t="shared" si="1"/>
        <v>228</v>
      </c>
      <c r="R23" s="18">
        <f t="shared" si="2"/>
        <v>0.69879639309253749</v>
      </c>
      <c r="S23" s="19">
        <v>1</v>
      </c>
    </row>
    <row r="24" spans="1:19">
      <c r="A24" s="16">
        <v>13</v>
      </c>
      <c r="B24" s="96" t="s">
        <v>40</v>
      </c>
      <c r="C24" s="96"/>
      <c r="D24" s="96"/>
      <c r="E24" s="97" t="s">
        <v>27</v>
      </c>
      <c r="F24" s="97"/>
      <c r="G24" s="97" t="s">
        <v>28</v>
      </c>
      <c r="H24" s="97"/>
      <c r="I24" s="97"/>
      <c r="J24" s="98">
        <v>0.27</v>
      </c>
      <c r="K24" s="98"/>
      <c r="L24" s="98">
        <f>J24</f>
        <v>0.27</v>
      </c>
      <c r="M24" s="98"/>
      <c r="N24" s="98"/>
      <c r="O24" s="98"/>
      <c r="P24" s="17">
        <f t="shared" si="0"/>
        <v>222.2222222222222</v>
      </c>
      <c r="Q24" s="17">
        <f t="shared" si="1"/>
        <v>211.11111111111109</v>
      </c>
      <c r="R24" s="18">
        <f t="shared" si="2"/>
        <v>0.75470010453994063</v>
      </c>
      <c r="S24" s="19">
        <v>1</v>
      </c>
    </row>
    <row r="25" spans="1:19">
      <c r="A25" s="16">
        <v>14</v>
      </c>
      <c r="B25" s="42" t="s">
        <v>41</v>
      </c>
      <c r="C25" s="42"/>
      <c r="D25" s="42"/>
      <c r="E25" s="43" t="s">
        <v>42</v>
      </c>
      <c r="F25" s="43"/>
      <c r="G25" s="43" t="s">
        <v>28</v>
      </c>
      <c r="H25" s="43"/>
      <c r="I25" s="43"/>
      <c r="J25" s="44">
        <v>0.24</v>
      </c>
      <c r="K25" s="44"/>
      <c r="L25" s="44"/>
      <c r="M25" s="44"/>
      <c r="N25" s="44">
        <f>J25</f>
        <v>0.24</v>
      </c>
      <c r="O25" s="44"/>
      <c r="P25" s="17">
        <f t="shared" si="0"/>
        <v>250</v>
      </c>
      <c r="Q25" s="17">
        <f t="shared" si="1"/>
        <v>237.5</v>
      </c>
      <c r="R25" s="18">
        <f t="shared" si="2"/>
        <v>0.67084453736883609</v>
      </c>
      <c r="S25" s="19">
        <v>1</v>
      </c>
    </row>
    <row r="26" spans="1:19">
      <c r="A26" s="16">
        <v>15</v>
      </c>
      <c r="B26" s="42" t="s">
        <v>43</v>
      </c>
      <c r="C26" s="42"/>
      <c r="D26" s="42"/>
      <c r="E26" s="43" t="s">
        <v>44</v>
      </c>
      <c r="F26" s="43"/>
      <c r="G26" s="43" t="s">
        <v>28</v>
      </c>
      <c r="H26" s="43"/>
      <c r="I26" s="43"/>
      <c r="J26" s="44">
        <v>0.26</v>
      </c>
      <c r="K26" s="44"/>
      <c r="L26" s="44"/>
      <c r="M26" s="44"/>
      <c r="N26" s="44">
        <f>J26</f>
        <v>0.26</v>
      </c>
      <c r="O26" s="44"/>
      <c r="P26" s="17">
        <f t="shared" si="0"/>
        <v>230.76923076923077</v>
      </c>
      <c r="Q26" s="17">
        <f t="shared" si="1"/>
        <v>219.23076923076923</v>
      </c>
      <c r="R26" s="18">
        <f t="shared" si="2"/>
        <v>0.72674824881623912</v>
      </c>
      <c r="S26" s="19">
        <v>1</v>
      </c>
    </row>
    <row r="27" spans="1:19">
      <c r="A27" s="16">
        <v>16</v>
      </c>
      <c r="B27" s="42" t="s">
        <v>124</v>
      </c>
      <c r="C27" s="42"/>
      <c r="D27" s="42"/>
      <c r="E27" s="37" t="s">
        <v>52</v>
      </c>
      <c r="F27" s="38"/>
      <c r="G27" s="43" t="s">
        <v>28</v>
      </c>
      <c r="H27" s="43"/>
      <c r="I27" s="43"/>
      <c r="J27" s="44">
        <v>0.3</v>
      </c>
      <c r="K27" s="44"/>
      <c r="L27" s="44">
        <f>J27</f>
        <v>0.3</v>
      </c>
      <c r="M27" s="44"/>
      <c r="N27" s="44">
        <f>J27</f>
        <v>0.3</v>
      </c>
      <c r="O27" s="44"/>
      <c r="P27" s="17">
        <f t="shared" si="0"/>
        <v>200</v>
      </c>
      <c r="Q27" s="17">
        <f t="shared" si="1"/>
        <v>190</v>
      </c>
      <c r="R27" s="18">
        <f t="shared" si="2"/>
        <v>0.83855567171104506</v>
      </c>
      <c r="S27" s="19">
        <v>1</v>
      </c>
    </row>
    <row r="28" spans="1:19">
      <c r="A28" s="16">
        <v>17</v>
      </c>
      <c r="B28" s="42" t="s">
        <v>45</v>
      </c>
      <c r="C28" s="42"/>
      <c r="D28" s="42"/>
      <c r="E28" s="43" t="s">
        <v>46</v>
      </c>
      <c r="F28" s="43"/>
      <c r="G28" s="43" t="s">
        <v>28</v>
      </c>
      <c r="H28" s="43"/>
      <c r="I28" s="43"/>
      <c r="J28" s="44">
        <v>0.28000000000000003</v>
      </c>
      <c r="K28" s="44"/>
      <c r="L28" s="44">
        <f>J28</f>
        <v>0.28000000000000003</v>
      </c>
      <c r="M28" s="44"/>
      <c r="N28" s="44"/>
      <c r="O28" s="44"/>
      <c r="P28" s="17">
        <f t="shared" si="0"/>
        <v>214.28571428571428</v>
      </c>
      <c r="Q28" s="17">
        <f t="shared" si="1"/>
        <v>203.57142857142856</v>
      </c>
      <c r="R28" s="18">
        <f t="shared" si="2"/>
        <v>0.78265196026364214</v>
      </c>
      <c r="S28" s="19">
        <v>1</v>
      </c>
    </row>
    <row r="29" spans="1:19">
      <c r="A29" s="20"/>
      <c r="B29" s="20"/>
      <c r="C29" s="20"/>
      <c r="D29" s="20"/>
      <c r="E29" s="20"/>
      <c r="F29" s="20"/>
      <c r="G29" s="75" t="s">
        <v>47</v>
      </c>
      <c r="H29" s="75"/>
      <c r="I29" s="75"/>
      <c r="J29" s="75">
        <f>SUM(J12:K28)</f>
        <v>5.3899999999999988</v>
      </c>
      <c r="K29" s="75"/>
      <c r="L29" s="75">
        <f>SUM(L12:M28)</f>
        <v>4</v>
      </c>
      <c r="M29" s="75"/>
      <c r="N29" s="75">
        <f>SUM(N12:O28)</f>
        <v>1.54</v>
      </c>
      <c r="O29" s="75"/>
      <c r="P29" s="17"/>
      <c r="Q29" s="17"/>
      <c r="R29" s="18"/>
      <c r="S29" s="21">
        <f>SUM(S12:S28)</f>
        <v>18.5</v>
      </c>
    </row>
    <row r="30" spans="1:19">
      <c r="A30" s="22"/>
      <c r="B30" s="23" t="s">
        <v>48</v>
      </c>
      <c r="C30" s="24"/>
      <c r="D30" s="24"/>
      <c r="E30" s="24"/>
      <c r="F30" s="24"/>
      <c r="G30" s="24"/>
      <c r="H30" s="24"/>
      <c r="I30" s="74"/>
      <c r="J30" s="74"/>
      <c r="K30" s="25"/>
      <c r="L30" s="25"/>
      <c r="M30" s="25"/>
      <c r="N30" s="25"/>
      <c r="O30" s="26"/>
      <c r="P30" s="27"/>
      <c r="Q30" s="27"/>
      <c r="R30" s="27"/>
      <c r="S30" s="27"/>
    </row>
    <row r="31" spans="1:19">
      <c r="A31" s="28">
        <v>1</v>
      </c>
      <c r="B31" s="34" t="s">
        <v>126</v>
      </c>
      <c r="C31" s="35"/>
      <c r="D31" s="36"/>
      <c r="E31" s="37" t="s">
        <v>127</v>
      </c>
      <c r="F31" s="38"/>
      <c r="G31" s="37" t="s">
        <v>128</v>
      </c>
      <c r="H31" s="39"/>
      <c r="I31" s="38"/>
      <c r="J31" s="40">
        <v>0.6</v>
      </c>
      <c r="K31" s="41"/>
      <c r="L31" s="40">
        <f>J31</f>
        <v>0.6</v>
      </c>
      <c r="M31" s="41"/>
      <c r="N31" s="40"/>
      <c r="O31" s="41"/>
      <c r="P31" s="17">
        <f t="shared" ref="P31" si="3">60/J31</f>
        <v>100</v>
      </c>
      <c r="Q31" s="17">
        <f t="shared" ref="Q31" si="4">P31*0.95</f>
        <v>95</v>
      </c>
      <c r="R31" s="18">
        <f t="shared" ref="R31" si="5">S$5/Q31</f>
        <v>1.6771113434220901</v>
      </c>
      <c r="S31" s="19">
        <v>2</v>
      </c>
    </row>
    <row r="32" spans="1:19">
      <c r="A32" s="28">
        <v>2</v>
      </c>
      <c r="B32" s="34" t="s">
        <v>129</v>
      </c>
      <c r="C32" s="35"/>
      <c r="D32" s="36"/>
      <c r="E32" s="37" t="s">
        <v>50</v>
      </c>
      <c r="F32" s="38"/>
      <c r="G32" s="37" t="s">
        <v>28</v>
      </c>
      <c r="H32" s="39"/>
      <c r="I32" s="38"/>
      <c r="J32" s="40">
        <v>0.2</v>
      </c>
      <c r="K32" s="41"/>
      <c r="L32" s="40"/>
      <c r="M32" s="41"/>
      <c r="N32" s="40">
        <f>J32</f>
        <v>0.2</v>
      </c>
      <c r="O32" s="41"/>
      <c r="P32" s="17">
        <f t="shared" ref="P32:P33" si="6">60/J32</f>
        <v>300</v>
      </c>
      <c r="Q32" s="17">
        <f t="shared" ref="Q32:Q33" si="7">P32*0.95</f>
        <v>285</v>
      </c>
      <c r="R32" s="18">
        <f t="shared" ref="R32:R33" si="8">S$5/Q32</f>
        <v>0.55903711447403004</v>
      </c>
      <c r="S32" s="19">
        <v>1</v>
      </c>
    </row>
    <row r="33" spans="1:19">
      <c r="A33" s="28">
        <v>3</v>
      </c>
      <c r="B33" s="34" t="s">
        <v>130</v>
      </c>
      <c r="C33" s="35"/>
      <c r="D33" s="36"/>
      <c r="E33" s="37" t="s">
        <v>27</v>
      </c>
      <c r="F33" s="38"/>
      <c r="G33" s="37" t="s">
        <v>28</v>
      </c>
      <c r="H33" s="39"/>
      <c r="I33" s="38"/>
      <c r="J33" s="40">
        <v>0.4</v>
      </c>
      <c r="K33" s="41"/>
      <c r="L33" s="40">
        <f>J33</f>
        <v>0.4</v>
      </c>
      <c r="M33" s="41"/>
      <c r="N33" s="40"/>
      <c r="O33" s="41"/>
      <c r="P33" s="17">
        <f t="shared" si="6"/>
        <v>150</v>
      </c>
      <c r="Q33" s="17">
        <f t="shared" si="7"/>
        <v>142.5</v>
      </c>
      <c r="R33" s="18">
        <f t="shared" si="8"/>
        <v>1.1180742289480601</v>
      </c>
      <c r="S33" s="19">
        <v>1.5</v>
      </c>
    </row>
    <row r="34" spans="1:19">
      <c r="A34" s="28">
        <v>4</v>
      </c>
      <c r="B34" s="34" t="s">
        <v>51</v>
      </c>
      <c r="C34" s="35"/>
      <c r="D34" s="36"/>
      <c r="E34" s="37" t="s">
        <v>52</v>
      </c>
      <c r="F34" s="38"/>
      <c r="G34" s="37" t="s">
        <v>28</v>
      </c>
      <c r="H34" s="39"/>
      <c r="I34" s="38"/>
      <c r="J34" s="40">
        <v>0.66</v>
      </c>
      <c r="K34" s="41"/>
      <c r="L34" s="40">
        <f>J34</f>
        <v>0.66</v>
      </c>
      <c r="M34" s="41"/>
      <c r="N34" s="40"/>
      <c r="O34" s="41"/>
      <c r="P34" s="17">
        <f t="shared" si="0"/>
        <v>90.909090909090907</v>
      </c>
      <c r="Q34" s="17">
        <f t="shared" si="1"/>
        <v>86.36363636363636</v>
      </c>
      <c r="R34" s="18">
        <f>S$5/Q34</f>
        <v>1.8448224777642992</v>
      </c>
      <c r="S34" s="19">
        <v>2</v>
      </c>
    </row>
    <row r="35" spans="1:19">
      <c r="A35" s="28">
        <v>5</v>
      </c>
      <c r="B35" s="34" t="s">
        <v>53</v>
      </c>
      <c r="C35" s="35"/>
      <c r="D35" s="36"/>
      <c r="E35" s="37" t="s">
        <v>54</v>
      </c>
      <c r="F35" s="38"/>
      <c r="G35" s="37" t="s">
        <v>28</v>
      </c>
      <c r="H35" s="39"/>
      <c r="I35" s="38"/>
      <c r="J35" s="40">
        <v>0.56000000000000005</v>
      </c>
      <c r="K35" s="41"/>
      <c r="L35" s="40">
        <f>J35</f>
        <v>0.56000000000000005</v>
      </c>
      <c r="M35" s="41"/>
      <c r="N35" s="40"/>
      <c r="O35" s="41"/>
      <c r="P35" s="17">
        <f t="shared" si="0"/>
        <v>107.14285714285714</v>
      </c>
      <c r="Q35" s="17">
        <f t="shared" si="1"/>
        <v>101.78571428571428</v>
      </c>
      <c r="R35" s="18">
        <f t="shared" si="2"/>
        <v>1.5653039205272843</v>
      </c>
      <c r="S35" s="19">
        <v>1.5</v>
      </c>
    </row>
    <row r="36" spans="1:19">
      <c r="A36" s="28">
        <v>6</v>
      </c>
      <c r="B36" s="34" t="s">
        <v>55</v>
      </c>
      <c r="C36" s="35"/>
      <c r="D36" s="36"/>
      <c r="E36" s="37" t="s">
        <v>50</v>
      </c>
      <c r="F36" s="38"/>
      <c r="G36" s="37" t="s">
        <v>28</v>
      </c>
      <c r="H36" s="39"/>
      <c r="I36" s="38"/>
      <c r="J36" s="93">
        <v>0.25</v>
      </c>
      <c r="K36" s="94"/>
      <c r="L36" s="40"/>
      <c r="M36" s="41"/>
      <c r="N36" s="40">
        <f>J36</f>
        <v>0.25</v>
      </c>
      <c r="O36" s="41"/>
      <c r="P36" s="17">
        <f t="shared" si="0"/>
        <v>240</v>
      </c>
      <c r="Q36" s="17">
        <f t="shared" si="1"/>
        <v>228</v>
      </c>
      <c r="R36" s="18">
        <f>S$5/Q36</f>
        <v>0.69879639309253749</v>
      </c>
      <c r="S36" s="19">
        <v>1</v>
      </c>
    </row>
    <row r="37" spans="1:19">
      <c r="A37" s="28">
        <v>7</v>
      </c>
      <c r="B37" s="34" t="s">
        <v>56</v>
      </c>
      <c r="C37" s="35"/>
      <c r="D37" s="36"/>
      <c r="E37" s="37" t="s">
        <v>42</v>
      </c>
      <c r="F37" s="38"/>
      <c r="G37" s="37" t="s">
        <v>28</v>
      </c>
      <c r="H37" s="39"/>
      <c r="I37" s="38"/>
      <c r="J37" s="93">
        <v>0.45</v>
      </c>
      <c r="K37" s="94"/>
      <c r="L37" s="40"/>
      <c r="M37" s="41"/>
      <c r="N37" s="40">
        <f>J37</f>
        <v>0.45</v>
      </c>
      <c r="O37" s="41"/>
      <c r="P37" s="17">
        <f t="shared" si="0"/>
        <v>133.33333333333334</v>
      </c>
      <c r="Q37" s="17">
        <f t="shared" si="1"/>
        <v>126.66666666666667</v>
      </c>
      <c r="R37" s="18">
        <f>S$5/Q37</f>
        <v>1.2578335075665676</v>
      </c>
      <c r="S37" s="19">
        <v>1.5</v>
      </c>
    </row>
    <row r="38" spans="1:19">
      <c r="A38" s="28">
        <v>8</v>
      </c>
      <c r="B38" s="34" t="s">
        <v>57</v>
      </c>
      <c r="C38" s="35"/>
      <c r="D38" s="36"/>
      <c r="E38" s="37" t="s">
        <v>39</v>
      </c>
      <c r="F38" s="38"/>
      <c r="G38" s="37" t="s">
        <v>28</v>
      </c>
      <c r="H38" s="39"/>
      <c r="I38" s="38"/>
      <c r="J38" s="93">
        <v>0.55000000000000004</v>
      </c>
      <c r="K38" s="94"/>
      <c r="L38" s="40"/>
      <c r="M38" s="41"/>
      <c r="N38" s="40">
        <f>J38</f>
        <v>0.55000000000000004</v>
      </c>
      <c r="O38" s="41"/>
      <c r="P38" s="17">
        <f t="shared" si="0"/>
        <v>109.09090909090908</v>
      </c>
      <c r="Q38" s="17">
        <f t="shared" si="1"/>
        <v>103.63636363636363</v>
      </c>
      <c r="R38" s="18">
        <f>S$5/Q38</f>
        <v>1.5373520648035828</v>
      </c>
      <c r="S38" s="19">
        <v>1.5</v>
      </c>
    </row>
    <row r="39" spans="1:19">
      <c r="A39" s="20"/>
      <c r="B39" s="20"/>
      <c r="C39" s="20"/>
      <c r="D39" s="20"/>
      <c r="E39" s="20"/>
      <c r="F39" s="20"/>
      <c r="G39" s="73" t="s">
        <v>47</v>
      </c>
      <c r="H39" s="73"/>
      <c r="I39" s="73"/>
      <c r="J39" s="73">
        <f>SUM(J31:K38)</f>
        <v>3.6700000000000008</v>
      </c>
      <c r="K39" s="73"/>
      <c r="L39" s="73">
        <f>SUM(L31:M38)</f>
        <v>2.2200000000000002</v>
      </c>
      <c r="M39" s="73"/>
      <c r="N39" s="73">
        <f>SUM(N31:O38)</f>
        <v>1.4500000000000002</v>
      </c>
      <c r="O39" s="73"/>
      <c r="P39" s="17"/>
      <c r="Q39" s="17"/>
      <c r="R39" s="18"/>
      <c r="S39" s="21">
        <f>SUM(S31:S38)</f>
        <v>12</v>
      </c>
    </row>
    <row r="40" spans="1:19">
      <c r="A40" s="12"/>
      <c r="B40" s="13" t="s">
        <v>58</v>
      </c>
      <c r="C40" s="14"/>
      <c r="D40" s="14"/>
      <c r="E40" s="14"/>
      <c r="F40" s="14"/>
      <c r="G40" s="14"/>
      <c r="H40" s="14"/>
      <c r="I40" s="85"/>
      <c r="J40" s="85"/>
      <c r="K40" s="29"/>
      <c r="L40" s="29"/>
      <c r="M40" s="29"/>
      <c r="N40" s="29"/>
      <c r="O40" s="30"/>
      <c r="P40" s="31"/>
      <c r="Q40" s="31"/>
      <c r="R40" s="31"/>
      <c r="S40" s="31"/>
    </row>
    <row r="41" spans="1:19">
      <c r="A41" s="32">
        <v>1</v>
      </c>
      <c r="B41" s="95" t="s">
        <v>59</v>
      </c>
      <c r="C41" s="95"/>
      <c r="D41" s="95"/>
      <c r="E41" s="80" t="s">
        <v>27</v>
      </c>
      <c r="F41" s="80"/>
      <c r="G41" s="80" t="s">
        <v>28</v>
      </c>
      <c r="H41" s="80"/>
      <c r="I41" s="80"/>
      <c r="J41" s="53">
        <v>0.9</v>
      </c>
      <c r="K41" s="53"/>
      <c r="L41" s="53">
        <f>J41</f>
        <v>0.9</v>
      </c>
      <c r="M41" s="53"/>
      <c r="N41" s="53"/>
      <c r="O41" s="53"/>
      <c r="P41" s="17">
        <f t="shared" si="0"/>
        <v>66.666666666666671</v>
      </c>
      <c r="Q41" s="17">
        <f t="shared" si="1"/>
        <v>63.333333333333336</v>
      </c>
      <c r="R41" s="18">
        <f t="shared" si="2"/>
        <v>2.5156670151331353</v>
      </c>
      <c r="S41" s="19">
        <v>2.5</v>
      </c>
    </row>
    <row r="42" spans="1:19">
      <c r="A42" s="32">
        <v>2</v>
      </c>
      <c r="B42" s="95" t="s">
        <v>60</v>
      </c>
      <c r="C42" s="95"/>
      <c r="D42" s="95"/>
      <c r="E42" s="80" t="s">
        <v>39</v>
      </c>
      <c r="F42" s="80"/>
      <c r="G42" s="80" t="s">
        <v>28</v>
      </c>
      <c r="H42" s="80"/>
      <c r="I42" s="80"/>
      <c r="J42" s="53">
        <v>0.23</v>
      </c>
      <c r="K42" s="53"/>
      <c r="L42" s="53"/>
      <c r="M42" s="53"/>
      <c r="N42" s="53">
        <f>J42</f>
        <v>0.23</v>
      </c>
      <c r="O42" s="53"/>
      <c r="P42" s="17">
        <f t="shared" si="0"/>
        <v>260.86956521739131</v>
      </c>
      <c r="Q42" s="17">
        <f t="shared" si="1"/>
        <v>247.82608695652172</v>
      </c>
      <c r="R42" s="18">
        <f t="shared" si="2"/>
        <v>0.64289268164513458</v>
      </c>
      <c r="S42" s="19">
        <v>1</v>
      </c>
    </row>
    <row r="43" spans="1:19">
      <c r="A43" s="16">
        <v>3</v>
      </c>
      <c r="B43" s="42" t="s">
        <v>111</v>
      </c>
      <c r="C43" s="42"/>
      <c r="D43" s="42"/>
      <c r="E43" s="43" t="s">
        <v>27</v>
      </c>
      <c r="F43" s="43"/>
      <c r="G43" s="43" t="s">
        <v>28</v>
      </c>
      <c r="H43" s="43"/>
      <c r="I43" s="43"/>
      <c r="J43" s="53">
        <v>0.24</v>
      </c>
      <c r="K43" s="53"/>
      <c r="L43" s="44">
        <f>J43</f>
        <v>0.24</v>
      </c>
      <c r="M43" s="44"/>
      <c r="N43" s="44"/>
      <c r="O43" s="44"/>
      <c r="P43" s="17">
        <f t="shared" si="0"/>
        <v>250</v>
      </c>
      <c r="Q43" s="17">
        <f t="shared" si="1"/>
        <v>237.5</v>
      </c>
      <c r="R43" s="18">
        <f t="shared" si="2"/>
        <v>0.67084453736883609</v>
      </c>
      <c r="S43" s="19">
        <v>1</v>
      </c>
    </row>
    <row r="44" spans="1:19" ht="59.25" customHeight="1">
      <c r="A44" s="32">
        <v>4</v>
      </c>
      <c r="B44" s="92" t="s">
        <v>133</v>
      </c>
      <c r="C44" s="92"/>
      <c r="D44" s="92"/>
      <c r="E44" s="43" t="s">
        <v>61</v>
      </c>
      <c r="F44" s="43"/>
      <c r="G44" s="43" t="s">
        <v>28</v>
      </c>
      <c r="H44" s="43"/>
      <c r="I44" s="43"/>
      <c r="J44" s="44">
        <v>0.68</v>
      </c>
      <c r="K44" s="44"/>
      <c r="L44" s="44">
        <f t="shared" ref="L44:L48" si="9">J44</f>
        <v>0.68</v>
      </c>
      <c r="M44" s="44"/>
      <c r="N44" s="44"/>
      <c r="O44" s="44"/>
      <c r="P44" s="17">
        <f t="shared" si="0"/>
        <v>88.235294117647058</v>
      </c>
      <c r="Q44" s="17">
        <f t="shared" si="1"/>
        <v>83.823529411764696</v>
      </c>
      <c r="R44" s="18">
        <f t="shared" si="2"/>
        <v>1.9007261892117024</v>
      </c>
      <c r="S44" s="19">
        <v>2</v>
      </c>
    </row>
    <row r="45" spans="1:19">
      <c r="A45" s="16">
        <v>5</v>
      </c>
      <c r="B45" s="42" t="s">
        <v>121</v>
      </c>
      <c r="C45" s="42"/>
      <c r="D45" s="42"/>
      <c r="E45" s="43" t="s">
        <v>27</v>
      </c>
      <c r="F45" s="43"/>
      <c r="G45" s="43" t="s">
        <v>28</v>
      </c>
      <c r="H45" s="43"/>
      <c r="I45" s="43"/>
      <c r="J45" s="53">
        <v>0.42</v>
      </c>
      <c r="K45" s="53"/>
      <c r="L45" s="44">
        <f t="shared" si="9"/>
        <v>0.42</v>
      </c>
      <c r="M45" s="44"/>
      <c r="N45" s="44"/>
      <c r="O45" s="44"/>
      <c r="P45" s="17">
        <f t="shared" si="0"/>
        <v>142.85714285714286</v>
      </c>
      <c r="Q45" s="17">
        <f t="shared" si="1"/>
        <v>135.71428571428572</v>
      </c>
      <c r="R45" s="18">
        <f t="shared" si="2"/>
        <v>1.1739779403954631</v>
      </c>
      <c r="S45" s="19">
        <v>1.5</v>
      </c>
    </row>
    <row r="46" spans="1:19">
      <c r="A46" s="32">
        <v>6</v>
      </c>
      <c r="B46" s="42" t="s">
        <v>123</v>
      </c>
      <c r="C46" s="42"/>
      <c r="D46" s="42"/>
      <c r="E46" s="43" t="s">
        <v>27</v>
      </c>
      <c r="F46" s="43"/>
      <c r="G46" s="43" t="s">
        <v>28</v>
      </c>
      <c r="H46" s="43"/>
      <c r="I46" s="43"/>
      <c r="J46" s="53">
        <v>0.5</v>
      </c>
      <c r="K46" s="53"/>
      <c r="L46" s="44">
        <f>J46</f>
        <v>0.5</v>
      </c>
      <c r="M46" s="44"/>
      <c r="N46" s="44"/>
      <c r="O46" s="44"/>
      <c r="P46" s="17">
        <f t="shared" si="0"/>
        <v>120</v>
      </c>
      <c r="Q46" s="17">
        <f t="shared" si="1"/>
        <v>114</v>
      </c>
      <c r="R46" s="18">
        <f t="shared" si="2"/>
        <v>1.397592786185075</v>
      </c>
      <c r="S46" s="19">
        <v>1.5</v>
      </c>
    </row>
    <row r="47" spans="1:19">
      <c r="A47" s="16">
        <v>7</v>
      </c>
      <c r="B47" s="42" t="s">
        <v>122</v>
      </c>
      <c r="C47" s="42"/>
      <c r="D47" s="42"/>
      <c r="E47" s="43" t="s">
        <v>27</v>
      </c>
      <c r="F47" s="43"/>
      <c r="G47" s="43" t="s">
        <v>62</v>
      </c>
      <c r="H47" s="43"/>
      <c r="I47" s="43"/>
      <c r="J47" s="44">
        <v>0.6</v>
      </c>
      <c r="K47" s="44"/>
      <c r="L47" s="44">
        <f t="shared" si="9"/>
        <v>0.6</v>
      </c>
      <c r="M47" s="44"/>
      <c r="N47" s="44"/>
      <c r="O47" s="44"/>
      <c r="P47" s="17">
        <f t="shared" si="0"/>
        <v>100</v>
      </c>
      <c r="Q47" s="17">
        <f t="shared" si="1"/>
        <v>95</v>
      </c>
      <c r="R47" s="18">
        <f t="shared" si="2"/>
        <v>1.6771113434220901</v>
      </c>
      <c r="S47" s="19">
        <v>2</v>
      </c>
    </row>
    <row r="48" spans="1:19">
      <c r="A48" s="32">
        <v>8</v>
      </c>
      <c r="B48" s="42" t="s">
        <v>110</v>
      </c>
      <c r="C48" s="42"/>
      <c r="D48" s="42"/>
      <c r="E48" s="91" t="s">
        <v>27</v>
      </c>
      <c r="F48" s="91"/>
      <c r="G48" s="91" t="s">
        <v>28</v>
      </c>
      <c r="H48" s="91"/>
      <c r="I48" s="91"/>
      <c r="J48" s="91">
        <v>0.5</v>
      </c>
      <c r="K48" s="91"/>
      <c r="L48" s="91">
        <f t="shared" si="9"/>
        <v>0.5</v>
      </c>
      <c r="M48" s="91"/>
      <c r="N48" s="44"/>
      <c r="O48" s="44"/>
      <c r="P48" s="17">
        <f t="shared" si="0"/>
        <v>120</v>
      </c>
      <c r="Q48" s="17">
        <f t="shared" si="1"/>
        <v>114</v>
      </c>
      <c r="R48" s="18">
        <f t="shared" si="2"/>
        <v>1.397592786185075</v>
      </c>
      <c r="S48" s="19">
        <v>1.5</v>
      </c>
    </row>
    <row r="49" spans="1:19">
      <c r="A49" s="20"/>
      <c r="B49" s="20"/>
      <c r="C49" s="20"/>
      <c r="D49" s="20"/>
      <c r="E49" s="20"/>
      <c r="F49" s="20"/>
      <c r="G49" s="75" t="s">
        <v>47</v>
      </c>
      <c r="H49" s="75"/>
      <c r="I49" s="75"/>
      <c r="J49" s="75">
        <f>SUM(J41:K48)</f>
        <v>4.07</v>
      </c>
      <c r="K49" s="75"/>
      <c r="L49" s="75">
        <f>SUM(L41:M48)</f>
        <v>3.8400000000000003</v>
      </c>
      <c r="M49" s="75"/>
      <c r="N49" s="75">
        <f>SUM(N41:O48)</f>
        <v>0.23</v>
      </c>
      <c r="O49" s="75"/>
      <c r="P49" s="17"/>
      <c r="Q49" s="17"/>
      <c r="R49" s="18"/>
      <c r="S49" s="21">
        <f>SUM(S41:S48)</f>
        <v>13</v>
      </c>
    </row>
    <row r="50" spans="1:19">
      <c r="A50" s="22"/>
      <c r="B50" s="23" t="s">
        <v>63</v>
      </c>
      <c r="C50" s="24"/>
      <c r="D50" s="24"/>
      <c r="E50" s="24"/>
      <c r="F50" s="24"/>
      <c r="G50" s="24"/>
      <c r="H50" s="24"/>
      <c r="I50" s="74"/>
      <c r="J50" s="74"/>
      <c r="K50" s="25"/>
      <c r="L50" s="25"/>
      <c r="M50" s="25"/>
      <c r="N50" s="25"/>
      <c r="O50" s="26"/>
      <c r="P50" s="27"/>
      <c r="Q50" s="27"/>
      <c r="R50" s="27"/>
      <c r="S50" s="27"/>
    </row>
    <row r="51" spans="1:19">
      <c r="A51" s="28">
        <v>1</v>
      </c>
      <c r="B51" s="34" t="s">
        <v>108</v>
      </c>
      <c r="C51" s="35"/>
      <c r="D51" s="36"/>
      <c r="E51" s="37" t="s">
        <v>109</v>
      </c>
      <c r="F51" s="38"/>
      <c r="G51" s="37" t="s">
        <v>28</v>
      </c>
      <c r="H51" s="39"/>
      <c r="I51" s="38"/>
      <c r="J51" s="86">
        <v>0.4</v>
      </c>
      <c r="K51" s="87"/>
      <c r="L51" s="40">
        <f>J51</f>
        <v>0.4</v>
      </c>
      <c r="M51" s="41"/>
      <c r="N51" s="40"/>
      <c r="O51" s="88"/>
      <c r="P51" s="17">
        <f t="shared" ref="P51" si="10">60/J51</f>
        <v>150</v>
      </c>
      <c r="Q51" s="17">
        <f t="shared" ref="Q51" si="11">P51*0.95</f>
        <v>142.5</v>
      </c>
      <c r="R51" s="18">
        <f>S$5/Q51</f>
        <v>1.1180742289480601</v>
      </c>
      <c r="S51" s="19">
        <v>1.5</v>
      </c>
    </row>
    <row r="52" spans="1:19">
      <c r="A52" s="28">
        <v>2</v>
      </c>
      <c r="B52" s="34" t="s">
        <v>64</v>
      </c>
      <c r="C52" s="35"/>
      <c r="D52" s="36"/>
      <c r="E52" s="37" t="s">
        <v>27</v>
      </c>
      <c r="F52" s="38"/>
      <c r="G52" s="37" t="s">
        <v>65</v>
      </c>
      <c r="H52" s="39"/>
      <c r="I52" s="38"/>
      <c r="J52" s="89">
        <v>0.53</v>
      </c>
      <c r="K52" s="90"/>
      <c r="L52" s="40">
        <f>J52</f>
        <v>0.53</v>
      </c>
      <c r="M52" s="41"/>
      <c r="N52" s="40"/>
      <c r="O52" s="41"/>
      <c r="P52" s="17">
        <f t="shared" si="0"/>
        <v>113.20754716981132</v>
      </c>
      <c r="Q52" s="17">
        <f t="shared" si="1"/>
        <v>107.54716981132074</v>
      </c>
      <c r="R52" s="18">
        <f>S$5/Q52</f>
        <v>1.4814483533561797</v>
      </c>
      <c r="S52" s="19">
        <v>1.5</v>
      </c>
    </row>
    <row r="53" spans="1:19">
      <c r="A53" s="28">
        <v>3</v>
      </c>
      <c r="B53" s="34" t="s">
        <v>66</v>
      </c>
      <c r="C53" s="35"/>
      <c r="D53" s="36"/>
      <c r="E53" s="37" t="s">
        <v>27</v>
      </c>
      <c r="F53" s="38"/>
      <c r="G53" s="37" t="s">
        <v>28</v>
      </c>
      <c r="H53" s="39"/>
      <c r="I53" s="38"/>
      <c r="J53" s="37">
        <v>0.3</v>
      </c>
      <c r="K53" s="38"/>
      <c r="L53" s="40">
        <f>J53</f>
        <v>0.3</v>
      </c>
      <c r="M53" s="41"/>
      <c r="N53" s="40"/>
      <c r="O53" s="41"/>
      <c r="P53" s="17">
        <f t="shared" si="0"/>
        <v>200</v>
      </c>
      <c r="Q53" s="17">
        <f t="shared" si="1"/>
        <v>190</v>
      </c>
      <c r="R53" s="18">
        <f t="shared" si="2"/>
        <v>0.83855567171104506</v>
      </c>
      <c r="S53" s="19">
        <v>1</v>
      </c>
    </row>
    <row r="54" spans="1:19">
      <c r="A54" s="28">
        <v>4</v>
      </c>
      <c r="B54" s="34" t="s">
        <v>67</v>
      </c>
      <c r="C54" s="35"/>
      <c r="D54" s="36"/>
      <c r="E54" s="37" t="s">
        <v>68</v>
      </c>
      <c r="F54" s="38"/>
      <c r="G54" s="37" t="s">
        <v>49</v>
      </c>
      <c r="H54" s="39"/>
      <c r="I54" s="38"/>
      <c r="J54" s="37">
        <v>0.4</v>
      </c>
      <c r="K54" s="38"/>
      <c r="L54" s="40"/>
      <c r="M54" s="41"/>
      <c r="N54" s="40">
        <f>J54</f>
        <v>0.4</v>
      </c>
      <c r="O54" s="41"/>
      <c r="P54" s="17">
        <f t="shared" si="0"/>
        <v>150</v>
      </c>
      <c r="Q54" s="17">
        <f t="shared" si="1"/>
        <v>142.5</v>
      </c>
      <c r="R54" s="18">
        <f t="shared" si="2"/>
        <v>1.1180742289480601</v>
      </c>
      <c r="S54" s="19">
        <v>1.5</v>
      </c>
    </row>
    <row r="55" spans="1:19">
      <c r="A55" s="28">
        <v>5</v>
      </c>
      <c r="B55" s="34" t="s">
        <v>69</v>
      </c>
      <c r="C55" s="35"/>
      <c r="D55" s="36"/>
      <c r="E55" s="37" t="s">
        <v>27</v>
      </c>
      <c r="F55" s="38"/>
      <c r="G55" s="37" t="s">
        <v>28</v>
      </c>
      <c r="H55" s="39"/>
      <c r="I55" s="38"/>
      <c r="J55" s="37">
        <v>1.2</v>
      </c>
      <c r="K55" s="38"/>
      <c r="L55" s="40">
        <f>J55</f>
        <v>1.2</v>
      </c>
      <c r="M55" s="41"/>
      <c r="N55" s="40"/>
      <c r="O55" s="41"/>
      <c r="P55" s="17">
        <f t="shared" si="0"/>
        <v>50</v>
      </c>
      <c r="Q55" s="17">
        <f t="shared" si="1"/>
        <v>47.5</v>
      </c>
      <c r="R55" s="18">
        <f t="shared" si="2"/>
        <v>3.3542226868441802</v>
      </c>
      <c r="S55" s="19">
        <v>3.5</v>
      </c>
    </row>
    <row r="56" spans="1:19">
      <c r="A56" s="28">
        <v>6</v>
      </c>
      <c r="B56" s="34" t="s">
        <v>104</v>
      </c>
      <c r="C56" s="35"/>
      <c r="D56" s="36"/>
      <c r="E56" s="37" t="s">
        <v>27</v>
      </c>
      <c r="F56" s="38"/>
      <c r="G56" s="37" t="s">
        <v>28</v>
      </c>
      <c r="H56" s="39"/>
      <c r="I56" s="38"/>
      <c r="J56" s="37">
        <v>0.4</v>
      </c>
      <c r="K56" s="38"/>
      <c r="L56" s="40">
        <f>J56</f>
        <v>0.4</v>
      </c>
      <c r="M56" s="41"/>
      <c r="N56" s="40"/>
      <c r="O56" s="41"/>
      <c r="P56" s="17">
        <f t="shared" si="0"/>
        <v>150</v>
      </c>
      <c r="Q56" s="17">
        <f t="shared" si="1"/>
        <v>142.5</v>
      </c>
      <c r="R56" s="18">
        <f t="shared" si="2"/>
        <v>1.1180742289480601</v>
      </c>
      <c r="S56" s="19">
        <v>1.5</v>
      </c>
    </row>
    <row r="57" spans="1:19">
      <c r="A57" s="28">
        <v>7</v>
      </c>
      <c r="B57" s="34" t="s">
        <v>70</v>
      </c>
      <c r="C57" s="35"/>
      <c r="D57" s="36"/>
      <c r="E57" s="37" t="s">
        <v>71</v>
      </c>
      <c r="F57" s="38"/>
      <c r="G57" s="37" t="s">
        <v>28</v>
      </c>
      <c r="H57" s="39"/>
      <c r="I57" s="38"/>
      <c r="J57" s="37">
        <v>0.23</v>
      </c>
      <c r="K57" s="38"/>
      <c r="L57" s="40">
        <f>J57</f>
        <v>0.23</v>
      </c>
      <c r="M57" s="41"/>
      <c r="N57" s="40"/>
      <c r="O57" s="41"/>
      <c r="P57" s="17">
        <f t="shared" si="0"/>
        <v>260.86956521739131</v>
      </c>
      <c r="Q57" s="17">
        <f t="shared" si="1"/>
        <v>247.82608695652172</v>
      </c>
      <c r="R57" s="18">
        <f t="shared" si="2"/>
        <v>0.64289268164513458</v>
      </c>
      <c r="S57" s="19">
        <v>1</v>
      </c>
    </row>
    <row r="58" spans="1:19">
      <c r="A58" s="28">
        <v>8</v>
      </c>
      <c r="B58" s="34" t="s">
        <v>72</v>
      </c>
      <c r="C58" s="35"/>
      <c r="D58" s="36"/>
      <c r="E58" s="37" t="s">
        <v>73</v>
      </c>
      <c r="F58" s="38"/>
      <c r="G58" s="37" t="s">
        <v>28</v>
      </c>
      <c r="H58" s="39"/>
      <c r="I58" s="38"/>
      <c r="J58" s="37">
        <v>0.27</v>
      </c>
      <c r="K58" s="38"/>
      <c r="L58" s="40">
        <f>J58</f>
        <v>0.27</v>
      </c>
      <c r="M58" s="41"/>
      <c r="N58" s="40"/>
      <c r="O58" s="41"/>
      <c r="P58" s="17">
        <f t="shared" si="0"/>
        <v>222.2222222222222</v>
      </c>
      <c r="Q58" s="17">
        <f t="shared" si="1"/>
        <v>211.11111111111109</v>
      </c>
      <c r="R58" s="18">
        <f t="shared" si="2"/>
        <v>0.75470010453994063</v>
      </c>
      <c r="S58" s="19">
        <v>1</v>
      </c>
    </row>
    <row r="59" spans="1:19">
      <c r="A59" s="20"/>
      <c r="B59" s="20"/>
      <c r="C59" s="20"/>
      <c r="D59" s="20"/>
      <c r="E59" s="20"/>
      <c r="F59" s="20"/>
      <c r="G59" s="73" t="s">
        <v>47</v>
      </c>
      <c r="H59" s="73"/>
      <c r="I59" s="73"/>
      <c r="J59" s="73">
        <f>SUM(J51:K58)</f>
        <v>3.73</v>
      </c>
      <c r="K59" s="73"/>
      <c r="L59" s="73">
        <f>SUM(L51:M58)</f>
        <v>3.3299999999999996</v>
      </c>
      <c r="M59" s="73"/>
      <c r="N59" s="73">
        <f>SUM(N51:O58)</f>
        <v>0.4</v>
      </c>
      <c r="O59" s="73"/>
      <c r="P59" s="17"/>
      <c r="Q59" s="17"/>
      <c r="R59" s="18"/>
      <c r="S59" s="21">
        <f>SUM(S51:S58)</f>
        <v>12.5</v>
      </c>
    </row>
    <row r="60" spans="1:19">
      <c r="A60" s="22"/>
      <c r="B60" s="23" t="s">
        <v>74</v>
      </c>
      <c r="C60" s="24"/>
      <c r="D60" s="24"/>
      <c r="E60" s="24"/>
      <c r="F60" s="24"/>
      <c r="G60" s="24"/>
      <c r="H60" s="24"/>
      <c r="I60" s="74"/>
      <c r="J60" s="74"/>
      <c r="K60" s="25"/>
      <c r="L60" s="25"/>
      <c r="M60" s="25"/>
      <c r="N60" s="25"/>
      <c r="O60" s="26"/>
      <c r="P60" s="27"/>
      <c r="Q60" s="27"/>
      <c r="R60" s="27"/>
      <c r="S60" s="27"/>
    </row>
    <row r="61" spans="1:19">
      <c r="A61" s="28">
        <v>1</v>
      </c>
      <c r="B61" s="34" t="s">
        <v>75</v>
      </c>
      <c r="C61" s="35"/>
      <c r="D61" s="36"/>
      <c r="E61" s="37" t="s">
        <v>27</v>
      </c>
      <c r="F61" s="38"/>
      <c r="G61" s="37" t="s">
        <v>28</v>
      </c>
      <c r="H61" s="39"/>
      <c r="I61" s="38"/>
      <c r="J61" s="37">
        <v>0.56999999999999995</v>
      </c>
      <c r="K61" s="38"/>
      <c r="L61" s="40">
        <f>J61</f>
        <v>0.56999999999999995</v>
      </c>
      <c r="M61" s="41"/>
      <c r="N61" s="40"/>
      <c r="O61" s="41"/>
      <c r="P61" s="17">
        <f t="shared" si="0"/>
        <v>105.26315789473685</v>
      </c>
      <c r="Q61" s="17">
        <f t="shared" si="1"/>
        <v>100</v>
      </c>
      <c r="R61" s="18">
        <f t="shared" si="2"/>
        <v>1.5932557762509856</v>
      </c>
      <c r="S61" s="19">
        <v>1.5</v>
      </c>
    </row>
    <row r="62" spans="1:19">
      <c r="A62" s="28">
        <v>2</v>
      </c>
      <c r="B62" s="34" t="s">
        <v>76</v>
      </c>
      <c r="C62" s="35"/>
      <c r="D62" s="36"/>
      <c r="E62" s="37" t="s">
        <v>39</v>
      </c>
      <c r="F62" s="38"/>
      <c r="G62" s="37" t="s">
        <v>28</v>
      </c>
      <c r="H62" s="39"/>
      <c r="I62" s="38"/>
      <c r="J62" s="37">
        <v>0.3</v>
      </c>
      <c r="K62" s="38"/>
      <c r="L62" s="40"/>
      <c r="M62" s="41"/>
      <c r="N62" s="40">
        <f>J62</f>
        <v>0.3</v>
      </c>
      <c r="O62" s="41"/>
      <c r="P62" s="17">
        <f t="shared" si="0"/>
        <v>200</v>
      </c>
      <c r="Q62" s="17">
        <f t="shared" si="1"/>
        <v>190</v>
      </c>
      <c r="R62" s="18">
        <f t="shared" si="2"/>
        <v>0.83855567171104506</v>
      </c>
      <c r="S62" s="19">
        <v>1</v>
      </c>
    </row>
    <row r="63" spans="1:19">
      <c r="A63" s="28">
        <v>3</v>
      </c>
      <c r="B63" s="34" t="s">
        <v>77</v>
      </c>
      <c r="C63" s="35"/>
      <c r="D63" s="36"/>
      <c r="E63" s="37" t="s">
        <v>27</v>
      </c>
      <c r="F63" s="38"/>
      <c r="G63" s="37" t="s">
        <v>28</v>
      </c>
      <c r="H63" s="39"/>
      <c r="I63" s="38"/>
      <c r="J63" s="37">
        <v>0.31</v>
      </c>
      <c r="K63" s="38"/>
      <c r="L63" s="40">
        <f>J63</f>
        <v>0.31</v>
      </c>
      <c r="M63" s="41"/>
      <c r="N63" s="40"/>
      <c r="O63" s="41"/>
      <c r="P63" s="17">
        <f t="shared" si="0"/>
        <v>193.54838709677421</v>
      </c>
      <c r="Q63" s="17">
        <f t="shared" si="1"/>
        <v>183.87096774193549</v>
      </c>
      <c r="R63" s="18">
        <f t="shared" si="2"/>
        <v>0.86650752743474657</v>
      </c>
      <c r="S63" s="19">
        <v>1</v>
      </c>
    </row>
    <row r="64" spans="1:19">
      <c r="A64" s="28">
        <v>4</v>
      </c>
      <c r="B64" s="34" t="s">
        <v>120</v>
      </c>
      <c r="C64" s="35"/>
      <c r="D64" s="36"/>
      <c r="E64" s="37" t="s">
        <v>27</v>
      </c>
      <c r="F64" s="38"/>
      <c r="G64" s="37" t="s">
        <v>28</v>
      </c>
      <c r="H64" s="39"/>
      <c r="I64" s="38"/>
      <c r="J64" s="37">
        <v>0.52</v>
      </c>
      <c r="K64" s="38"/>
      <c r="L64" s="40">
        <f>J64</f>
        <v>0.52</v>
      </c>
      <c r="M64" s="41"/>
      <c r="N64" s="40"/>
      <c r="O64" s="41"/>
      <c r="P64" s="17">
        <f t="shared" si="0"/>
        <v>115.38461538461539</v>
      </c>
      <c r="Q64" s="17">
        <f t="shared" si="1"/>
        <v>109.61538461538461</v>
      </c>
      <c r="R64" s="18">
        <f t="shared" si="2"/>
        <v>1.4534964976324782</v>
      </c>
      <c r="S64" s="19">
        <v>1.5</v>
      </c>
    </row>
    <row r="65" spans="1:19">
      <c r="A65" s="28">
        <v>5</v>
      </c>
      <c r="B65" s="34" t="s">
        <v>78</v>
      </c>
      <c r="C65" s="35"/>
      <c r="D65" s="36"/>
      <c r="E65" s="37" t="s">
        <v>42</v>
      </c>
      <c r="F65" s="38"/>
      <c r="G65" s="37" t="s">
        <v>28</v>
      </c>
      <c r="H65" s="39"/>
      <c r="I65" s="38"/>
      <c r="J65" s="37">
        <v>0.26</v>
      </c>
      <c r="K65" s="38"/>
      <c r="L65" s="40"/>
      <c r="M65" s="41"/>
      <c r="N65" s="40">
        <f>J65</f>
        <v>0.26</v>
      </c>
      <c r="O65" s="41"/>
      <c r="P65" s="17">
        <f t="shared" si="0"/>
        <v>230.76923076923077</v>
      </c>
      <c r="Q65" s="17">
        <f t="shared" si="1"/>
        <v>219.23076923076923</v>
      </c>
      <c r="R65" s="18">
        <f t="shared" si="2"/>
        <v>0.72674824881623912</v>
      </c>
      <c r="S65" s="19">
        <v>1</v>
      </c>
    </row>
    <row r="66" spans="1:19">
      <c r="A66" s="28">
        <v>6</v>
      </c>
      <c r="B66" s="34" t="s">
        <v>79</v>
      </c>
      <c r="C66" s="35"/>
      <c r="D66" s="36"/>
      <c r="E66" s="37" t="s">
        <v>37</v>
      </c>
      <c r="F66" s="38"/>
      <c r="G66" s="37" t="s">
        <v>28</v>
      </c>
      <c r="H66" s="39"/>
      <c r="I66" s="38"/>
      <c r="J66" s="37">
        <v>0.25</v>
      </c>
      <c r="K66" s="38"/>
      <c r="L66" s="40"/>
      <c r="M66" s="41"/>
      <c r="N66" s="40">
        <f>J66</f>
        <v>0.25</v>
      </c>
      <c r="O66" s="41"/>
      <c r="P66" s="17">
        <f t="shared" si="0"/>
        <v>240</v>
      </c>
      <c r="Q66" s="17">
        <f t="shared" si="1"/>
        <v>228</v>
      </c>
      <c r="R66" s="18">
        <f t="shared" si="2"/>
        <v>0.69879639309253749</v>
      </c>
      <c r="S66" s="19">
        <v>1</v>
      </c>
    </row>
    <row r="67" spans="1:19">
      <c r="A67" s="28">
        <v>7</v>
      </c>
      <c r="B67" s="34" t="s">
        <v>80</v>
      </c>
      <c r="C67" s="35"/>
      <c r="D67" s="36"/>
      <c r="E67" s="37" t="s">
        <v>30</v>
      </c>
      <c r="F67" s="38"/>
      <c r="G67" s="37" t="s">
        <v>28</v>
      </c>
      <c r="H67" s="39"/>
      <c r="I67" s="38"/>
      <c r="J67" s="37">
        <v>0.25</v>
      </c>
      <c r="K67" s="38"/>
      <c r="L67" s="40"/>
      <c r="M67" s="41"/>
      <c r="N67" s="40">
        <f>J67</f>
        <v>0.25</v>
      </c>
      <c r="O67" s="41"/>
      <c r="P67" s="17">
        <f t="shared" si="0"/>
        <v>240</v>
      </c>
      <c r="Q67" s="17">
        <f t="shared" si="1"/>
        <v>228</v>
      </c>
      <c r="R67" s="18">
        <f t="shared" si="2"/>
        <v>0.69879639309253749</v>
      </c>
      <c r="S67" s="19">
        <v>1</v>
      </c>
    </row>
    <row r="68" spans="1:19">
      <c r="A68" s="28">
        <v>8</v>
      </c>
      <c r="B68" s="34" t="s">
        <v>131</v>
      </c>
      <c r="C68" s="35"/>
      <c r="D68" s="36"/>
      <c r="E68" s="37" t="s">
        <v>39</v>
      </c>
      <c r="F68" s="38"/>
      <c r="G68" s="37" t="s">
        <v>28</v>
      </c>
      <c r="H68" s="39"/>
      <c r="I68" s="38"/>
      <c r="J68" s="37">
        <v>0.45</v>
      </c>
      <c r="K68" s="38"/>
      <c r="L68" s="40"/>
      <c r="M68" s="41"/>
      <c r="N68" s="40">
        <f>J68</f>
        <v>0.45</v>
      </c>
      <c r="O68" s="41"/>
      <c r="P68" s="17">
        <f t="shared" si="0"/>
        <v>133.33333333333334</v>
      </c>
      <c r="Q68" s="17">
        <f t="shared" si="1"/>
        <v>126.66666666666667</v>
      </c>
      <c r="R68" s="18">
        <f t="shared" si="2"/>
        <v>1.2578335075665676</v>
      </c>
      <c r="S68" s="19">
        <v>1.5</v>
      </c>
    </row>
    <row r="69" spans="1:19">
      <c r="A69" s="28">
        <v>9</v>
      </c>
      <c r="B69" s="34" t="s">
        <v>81</v>
      </c>
      <c r="C69" s="35"/>
      <c r="D69" s="36"/>
      <c r="E69" s="37" t="s">
        <v>27</v>
      </c>
      <c r="F69" s="38"/>
      <c r="G69" s="37" t="s">
        <v>28</v>
      </c>
      <c r="H69" s="39"/>
      <c r="I69" s="38"/>
      <c r="J69" s="37">
        <v>0.52</v>
      </c>
      <c r="K69" s="38"/>
      <c r="L69" s="40">
        <f>J69</f>
        <v>0.52</v>
      </c>
      <c r="M69" s="41"/>
      <c r="N69" s="40"/>
      <c r="O69" s="41"/>
      <c r="P69" s="17">
        <f t="shared" si="0"/>
        <v>115.38461538461539</v>
      </c>
      <c r="Q69" s="17">
        <f t="shared" si="1"/>
        <v>109.61538461538461</v>
      </c>
      <c r="R69" s="18">
        <f t="shared" si="2"/>
        <v>1.4534964976324782</v>
      </c>
      <c r="S69" s="19">
        <v>1.5</v>
      </c>
    </row>
    <row r="70" spans="1:19">
      <c r="A70" s="28">
        <v>10</v>
      </c>
      <c r="B70" s="34" t="s">
        <v>136</v>
      </c>
      <c r="C70" s="35"/>
      <c r="D70" s="36"/>
      <c r="E70" s="37" t="s">
        <v>27</v>
      </c>
      <c r="F70" s="38"/>
      <c r="G70" s="37" t="s">
        <v>28</v>
      </c>
      <c r="H70" s="39"/>
      <c r="I70" s="38"/>
      <c r="J70" s="37">
        <v>0.55000000000000004</v>
      </c>
      <c r="K70" s="38"/>
      <c r="L70" s="40">
        <f>J70</f>
        <v>0.55000000000000004</v>
      </c>
      <c r="M70" s="41"/>
      <c r="N70" s="40"/>
      <c r="O70" s="41"/>
      <c r="P70" s="17">
        <f t="shared" si="0"/>
        <v>109.09090909090908</v>
      </c>
      <c r="Q70" s="17">
        <f t="shared" si="1"/>
        <v>103.63636363636363</v>
      </c>
      <c r="R70" s="18">
        <f t="shared" si="2"/>
        <v>1.5373520648035828</v>
      </c>
      <c r="S70" s="19">
        <v>1.5</v>
      </c>
    </row>
    <row r="71" spans="1:19">
      <c r="A71" s="28">
        <v>11</v>
      </c>
      <c r="B71" s="34" t="s">
        <v>82</v>
      </c>
      <c r="C71" s="35"/>
      <c r="D71" s="36"/>
      <c r="E71" s="37" t="s">
        <v>71</v>
      </c>
      <c r="F71" s="38"/>
      <c r="G71" s="37" t="s">
        <v>28</v>
      </c>
      <c r="H71" s="39"/>
      <c r="I71" s="38"/>
      <c r="J71" s="37">
        <v>0.28999999999999998</v>
      </c>
      <c r="K71" s="38"/>
      <c r="L71" s="40">
        <f>J71</f>
        <v>0.28999999999999998</v>
      </c>
      <c r="M71" s="41"/>
      <c r="N71" s="40"/>
      <c r="O71" s="41"/>
      <c r="P71" s="17">
        <f t="shared" si="0"/>
        <v>206.89655172413794</v>
      </c>
      <c r="Q71" s="17">
        <f t="shared" si="1"/>
        <v>196.55172413793102</v>
      </c>
      <c r="R71" s="18">
        <f t="shared" si="2"/>
        <v>0.81060381598734366</v>
      </c>
      <c r="S71" s="19">
        <v>1</v>
      </c>
    </row>
    <row r="72" spans="1:19">
      <c r="A72" s="28">
        <v>12</v>
      </c>
      <c r="B72" s="34" t="s">
        <v>83</v>
      </c>
      <c r="C72" s="35"/>
      <c r="D72" s="36"/>
      <c r="E72" s="37" t="s">
        <v>73</v>
      </c>
      <c r="F72" s="38"/>
      <c r="G72" s="37" t="s">
        <v>28</v>
      </c>
      <c r="H72" s="39"/>
      <c r="I72" s="38"/>
      <c r="J72" s="37">
        <v>0.25</v>
      </c>
      <c r="K72" s="38"/>
      <c r="L72" s="40">
        <f>J72</f>
        <v>0.25</v>
      </c>
      <c r="M72" s="41"/>
      <c r="N72" s="40"/>
      <c r="O72" s="41"/>
      <c r="P72" s="17">
        <f t="shared" si="0"/>
        <v>240</v>
      </c>
      <c r="Q72" s="17">
        <f t="shared" si="1"/>
        <v>228</v>
      </c>
      <c r="R72" s="18">
        <f t="shared" si="2"/>
        <v>0.69879639309253749</v>
      </c>
      <c r="S72" s="19">
        <v>1</v>
      </c>
    </row>
    <row r="73" spans="1:19">
      <c r="A73" s="28">
        <v>13</v>
      </c>
      <c r="B73" s="34" t="s">
        <v>84</v>
      </c>
      <c r="C73" s="35"/>
      <c r="D73" s="36"/>
      <c r="E73" s="37" t="s">
        <v>39</v>
      </c>
      <c r="F73" s="38"/>
      <c r="G73" s="37" t="s">
        <v>28</v>
      </c>
      <c r="H73" s="39"/>
      <c r="I73" s="38"/>
      <c r="J73" s="37">
        <v>0.25</v>
      </c>
      <c r="K73" s="38"/>
      <c r="L73" s="40"/>
      <c r="M73" s="41"/>
      <c r="N73" s="40">
        <f>J73</f>
        <v>0.25</v>
      </c>
      <c r="O73" s="41"/>
      <c r="P73" s="17">
        <f t="shared" si="0"/>
        <v>240</v>
      </c>
      <c r="Q73" s="17">
        <f t="shared" si="1"/>
        <v>228</v>
      </c>
      <c r="R73" s="18">
        <f t="shared" si="2"/>
        <v>0.69879639309253749</v>
      </c>
      <c r="S73" s="19">
        <v>1</v>
      </c>
    </row>
    <row r="74" spans="1:19">
      <c r="A74" s="20"/>
      <c r="B74" s="20"/>
      <c r="C74" s="20"/>
      <c r="D74" s="20"/>
      <c r="E74" s="20"/>
      <c r="F74" s="20"/>
      <c r="G74" s="73" t="s">
        <v>47</v>
      </c>
      <c r="H74" s="73"/>
      <c r="I74" s="73"/>
      <c r="J74" s="73">
        <f>SUM(J61:K73)</f>
        <v>4.7700000000000005</v>
      </c>
      <c r="K74" s="73"/>
      <c r="L74" s="73">
        <f>SUM(L61:M73)</f>
        <v>3.01</v>
      </c>
      <c r="M74" s="73"/>
      <c r="N74" s="73">
        <f>SUM(N61:O73)</f>
        <v>1.76</v>
      </c>
      <c r="O74" s="73"/>
      <c r="P74" s="17"/>
      <c r="Q74" s="17"/>
      <c r="R74" s="18"/>
      <c r="S74" s="21">
        <f>SUM(S61:S73)</f>
        <v>15.5</v>
      </c>
    </row>
    <row r="75" spans="1:19">
      <c r="A75" s="12"/>
      <c r="B75" s="13" t="s">
        <v>85</v>
      </c>
      <c r="C75" s="14"/>
      <c r="D75" s="14"/>
      <c r="E75" s="14"/>
      <c r="F75" s="14"/>
      <c r="G75" s="14"/>
      <c r="H75" s="14"/>
      <c r="I75" s="85"/>
      <c r="J75" s="85"/>
      <c r="K75" s="29"/>
      <c r="L75" s="29"/>
      <c r="M75" s="29"/>
      <c r="N75" s="29"/>
      <c r="O75" s="30"/>
      <c r="P75" s="31"/>
      <c r="Q75" s="31"/>
      <c r="R75" s="31"/>
      <c r="S75" s="31"/>
    </row>
    <row r="76" spans="1:19">
      <c r="A76" s="16">
        <v>1</v>
      </c>
      <c r="B76" s="42" t="s">
        <v>86</v>
      </c>
      <c r="C76" s="42"/>
      <c r="D76" s="42"/>
      <c r="E76" s="43" t="s">
        <v>50</v>
      </c>
      <c r="F76" s="48"/>
      <c r="G76" s="43" t="s">
        <v>28</v>
      </c>
      <c r="H76" s="43"/>
      <c r="I76" s="43"/>
      <c r="J76" s="44">
        <v>0.6</v>
      </c>
      <c r="K76" s="44"/>
      <c r="L76" s="44"/>
      <c r="M76" s="44"/>
      <c r="N76" s="52">
        <f>J76</f>
        <v>0.6</v>
      </c>
      <c r="O76" s="44"/>
      <c r="P76" s="17">
        <f t="shared" ref="P76" si="12">60/J76</f>
        <v>100</v>
      </c>
      <c r="Q76" s="17">
        <f t="shared" ref="Q76" si="13">P76*0.95</f>
        <v>95</v>
      </c>
      <c r="R76" s="18">
        <f t="shared" ref="R76" si="14">S$5/Q76</f>
        <v>1.6771113434220901</v>
      </c>
      <c r="S76" s="19">
        <v>2</v>
      </c>
    </row>
    <row r="77" spans="1:19">
      <c r="A77" s="16">
        <v>2</v>
      </c>
      <c r="B77" s="42" t="s">
        <v>87</v>
      </c>
      <c r="C77" s="42"/>
      <c r="D77" s="42"/>
      <c r="E77" s="43" t="s">
        <v>27</v>
      </c>
      <c r="F77" s="43"/>
      <c r="G77" s="83" t="s">
        <v>88</v>
      </c>
      <c r="H77" s="83"/>
      <c r="I77" s="83"/>
      <c r="J77" s="84">
        <v>0.65</v>
      </c>
      <c r="K77" s="84"/>
      <c r="L77" s="84">
        <f>J77</f>
        <v>0.65</v>
      </c>
      <c r="M77" s="84"/>
      <c r="N77" s="44"/>
      <c r="O77" s="44"/>
      <c r="P77" s="17">
        <f t="shared" si="0"/>
        <v>92.307692307692307</v>
      </c>
      <c r="Q77" s="17">
        <f t="shared" si="1"/>
        <v>87.692307692307693</v>
      </c>
      <c r="R77" s="18">
        <f t="shared" si="2"/>
        <v>1.8168706220405977</v>
      </c>
      <c r="S77" s="19">
        <v>2</v>
      </c>
    </row>
    <row r="78" spans="1:19">
      <c r="A78" s="16">
        <v>3</v>
      </c>
      <c r="B78" s="42" t="s">
        <v>113</v>
      </c>
      <c r="C78" s="42"/>
      <c r="D78" s="42"/>
      <c r="E78" s="43" t="s">
        <v>27</v>
      </c>
      <c r="F78" s="43"/>
      <c r="G78" s="43" t="s">
        <v>28</v>
      </c>
      <c r="H78" s="43"/>
      <c r="I78" s="43"/>
      <c r="J78" s="44">
        <v>0.74</v>
      </c>
      <c r="K78" s="44"/>
      <c r="L78" s="44">
        <f>J78</f>
        <v>0.74</v>
      </c>
      <c r="M78" s="44"/>
      <c r="N78" s="44"/>
      <c r="O78" s="44"/>
      <c r="P78" s="17">
        <f t="shared" si="0"/>
        <v>81.081081081081081</v>
      </c>
      <c r="Q78" s="17">
        <f t="shared" si="1"/>
        <v>77.027027027027017</v>
      </c>
      <c r="R78" s="18">
        <f t="shared" si="2"/>
        <v>2.0684373235539115</v>
      </c>
      <c r="S78" s="19">
        <v>2.5</v>
      </c>
    </row>
    <row r="79" spans="1:19">
      <c r="A79" s="16">
        <v>4</v>
      </c>
      <c r="B79" s="42" t="s">
        <v>114</v>
      </c>
      <c r="C79" s="42"/>
      <c r="D79" s="42"/>
      <c r="E79" s="43" t="s">
        <v>27</v>
      </c>
      <c r="F79" s="43"/>
      <c r="G79" s="43" t="s">
        <v>28</v>
      </c>
      <c r="H79" s="43"/>
      <c r="I79" s="43"/>
      <c r="J79" s="44">
        <v>0.65</v>
      </c>
      <c r="K79" s="44"/>
      <c r="L79" s="44">
        <f>J79</f>
        <v>0.65</v>
      </c>
      <c r="M79" s="44"/>
      <c r="N79" s="44"/>
      <c r="O79" s="44"/>
      <c r="P79" s="17">
        <f t="shared" si="0"/>
        <v>92.307692307692307</v>
      </c>
      <c r="Q79" s="17">
        <f t="shared" si="1"/>
        <v>87.692307692307693</v>
      </c>
      <c r="R79" s="18">
        <f t="shared" si="2"/>
        <v>1.8168706220405977</v>
      </c>
      <c r="S79" s="19">
        <v>2</v>
      </c>
    </row>
    <row r="80" spans="1:19">
      <c r="A80" s="16">
        <v>5</v>
      </c>
      <c r="B80" s="42" t="s">
        <v>115</v>
      </c>
      <c r="C80" s="42"/>
      <c r="D80" s="42"/>
      <c r="E80" s="43" t="s">
        <v>89</v>
      </c>
      <c r="F80" s="43"/>
      <c r="G80" s="43" t="s">
        <v>65</v>
      </c>
      <c r="H80" s="43"/>
      <c r="I80" s="43"/>
      <c r="J80" s="44">
        <v>0.84</v>
      </c>
      <c r="K80" s="44"/>
      <c r="L80" s="44">
        <f>J80</f>
        <v>0.84</v>
      </c>
      <c r="M80" s="44"/>
      <c r="N80" s="44"/>
      <c r="O80" s="44"/>
      <c r="P80" s="17">
        <f t="shared" si="0"/>
        <v>71.428571428571431</v>
      </c>
      <c r="Q80" s="17">
        <f t="shared" si="1"/>
        <v>67.857142857142861</v>
      </c>
      <c r="R80" s="18">
        <f t="shared" si="2"/>
        <v>2.3479558807909262</v>
      </c>
      <c r="S80" s="19">
        <v>2.5</v>
      </c>
    </row>
    <row r="81" spans="1:19">
      <c r="A81" s="16">
        <v>6</v>
      </c>
      <c r="B81" s="42" t="s">
        <v>90</v>
      </c>
      <c r="C81" s="42"/>
      <c r="D81" s="42"/>
      <c r="E81" s="43" t="s">
        <v>27</v>
      </c>
      <c r="F81" s="43"/>
      <c r="G81" s="43" t="s">
        <v>28</v>
      </c>
      <c r="H81" s="43"/>
      <c r="I81" s="43"/>
      <c r="J81" s="44">
        <v>0.75</v>
      </c>
      <c r="K81" s="44"/>
      <c r="L81" s="44">
        <f>J81</f>
        <v>0.75</v>
      </c>
      <c r="M81" s="44"/>
      <c r="N81" s="44"/>
      <c r="O81" s="44"/>
      <c r="P81" s="17">
        <f t="shared" si="0"/>
        <v>80</v>
      </c>
      <c r="Q81" s="17">
        <f t="shared" si="1"/>
        <v>76</v>
      </c>
      <c r="R81" s="18">
        <f t="shared" si="2"/>
        <v>2.0963891792776126</v>
      </c>
      <c r="S81" s="19">
        <v>2.5</v>
      </c>
    </row>
    <row r="82" spans="1:19">
      <c r="A82" s="16">
        <v>7</v>
      </c>
      <c r="B82" s="42" t="s">
        <v>91</v>
      </c>
      <c r="C82" s="42"/>
      <c r="D82" s="42"/>
      <c r="E82" s="43" t="s">
        <v>42</v>
      </c>
      <c r="F82" s="43"/>
      <c r="G82" s="43" t="s">
        <v>28</v>
      </c>
      <c r="H82" s="43"/>
      <c r="I82" s="43"/>
      <c r="J82" s="44">
        <v>0.45</v>
      </c>
      <c r="K82" s="44"/>
      <c r="L82" s="44"/>
      <c r="M82" s="44"/>
      <c r="N82" s="44">
        <f>J82</f>
        <v>0.45</v>
      </c>
      <c r="O82" s="44"/>
      <c r="P82" s="17">
        <f t="shared" si="0"/>
        <v>133.33333333333334</v>
      </c>
      <c r="Q82" s="17">
        <f t="shared" si="1"/>
        <v>126.66666666666667</v>
      </c>
      <c r="R82" s="18">
        <f t="shared" si="2"/>
        <v>1.2578335075665676</v>
      </c>
      <c r="S82" s="19">
        <v>1.5</v>
      </c>
    </row>
    <row r="83" spans="1:19">
      <c r="A83" s="16">
        <v>8</v>
      </c>
      <c r="B83" s="42" t="s">
        <v>92</v>
      </c>
      <c r="C83" s="42"/>
      <c r="D83" s="42"/>
      <c r="E83" s="43" t="s">
        <v>27</v>
      </c>
      <c r="F83" s="43"/>
      <c r="G83" s="43" t="s">
        <v>28</v>
      </c>
      <c r="H83" s="43"/>
      <c r="I83" s="43"/>
      <c r="J83" s="44">
        <v>1.2</v>
      </c>
      <c r="K83" s="44"/>
      <c r="L83" s="44">
        <f t="shared" ref="L83:L86" si="15">J83</f>
        <v>1.2</v>
      </c>
      <c r="M83" s="44"/>
      <c r="N83" s="44"/>
      <c r="O83" s="44"/>
      <c r="P83" s="17">
        <f t="shared" si="0"/>
        <v>50</v>
      </c>
      <c r="Q83" s="17">
        <f t="shared" si="1"/>
        <v>47.5</v>
      </c>
      <c r="R83" s="18">
        <f t="shared" si="2"/>
        <v>3.3542226868441802</v>
      </c>
      <c r="S83" s="19">
        <v>3.5</v>
      </c>
    </row>
    <row r="84" spans="1:19">
      <c r="A84" s="16">
        <v>9</v>
      </c>
      <c r="B84" s="45" t="s">
        <v>93</v>
      </c>
      <c r="C84" s="46"/>
      <c r="D84" s="47"/>
      <c r="E84" s="48" t="s">
        <v>27</v>
      </c>
      <c r="F84" s="49"/>
      <c r="G84" s="48" t="s">
        <v>28</v>
      </c>
      <c r="H84" s="50"/>
      <c r="I84" s="49"/>
      <c r="J84" s="51">
        <v>1.1000000000000001</v>
      </c>
      <c r="K84" s="52"/>
      <c r="L84" s="51">
        <f t="shared" si="15"/>
        <v>1.1000000000000001</v>
      </c>
      <c r="M84" s="52"/>
      <c r="N84" s="51"/>
      <c r="O84" s="52"/>
      <c r="P84" s="17">
        <f t="shared" ref="P84:P88" si="16">60/J84</f>
        <v>54.54545454545454</v>
      </c>
      <c r="Q84" s="17">
        <f t="shared" ref="Q84:Q88" si="17">P84*0.95</f>
        <v>51.818181818181813</v>
      </c>
      <c r="R84" s="18">
        <f t="shared" ref="R84:R88" si="18">S$5/Q84</f>
        <v>3.0747041296071655</v>
      </c>
      <c r="S84" s="19">
        <v>3.5</v>
      </c>
    </row>
    <row r="85" spans="1:19">
      <c r="A85" s="16">
        <v>10</v>
      </c>
      <c r="B85" s="45" t="s">
        <v>94</v>
      </c>
      <c r="C85" s="46"/>
      <c r="D85" s="47"/>
      <c r="E85" s="48" t="s">
        <v>27</v>
      </c>
      <c r="F85" s="49"/>
      <c r="G85" s="48" t="s">
        <v>28</v>
      </c>
      <c r="H85" s="50"/>
      <c r="I85" s="49"/>
      <c r="J85" s="81">
        <v>1.2</v>
      </c>
      <c r="K85" s="82"/>
      <c r="L85" s="51">
        <f t="shared" si="15"/>
        <v>1.2</v>
      </c>
      <c r="M85" s="52"/>
      <c r="N85" s="51"/>
      <c r="O85" s="52"/>
      <c r="P85" s="17">
        <f t="shared" si="16"/>
        <v>50</v>
      </c>
      <c r="Q85" s="17">
        <f t="shared" si="17"/>
        <v>47.5</v>
      </c>
      <c r="R85" s="18">
        <f t="shared" si="18"/>
        <v>3.3542226868441802</v>
      </c>
      <c r="S85" s="19">
        <v>3.5</v>
      </c>
    </row>
    <row r="86" spans="1:19">
      <c r="A86" s="16">
        <v>11</v>
      </c>
      <c r="B86" s="45" t="s">
        <v>95</v>
      </c>
      <c r="C86" s="46"/>
      <c r="D86" s="47"/>
      <c r="E86" s="48" t="s">
        <v>27</v>
      </c>
      <c r="F86" s="49"/>
      <c r="G86" s="48" t="s">
        <v>96</v>
      </c>
      <c r="H86" s="50"/>
      <c r="I86" s="49"/>
      <c r="J86" s="51">
        <v>1</v>
      </c>
      <c r="K86" s="52"/>
      <c r="L86" s="51">
        <f t="shared" si="15"/>
        <v>1</v>
      </c>
      <c r="M86" s="52"/>
      <c r="N86" s="51"/>
      <c r="O86" s="52"/>
      <c r="P86" s="17">
        <f t="shared" si="16"/>
        <v>60</v>
      </c>
      <c r="Q86" s="17">
        <f t="shared" si="17"/>
        <v>57</v>
      </c>
      <c r="R86" s="18">
        <f t="shared" si="18"/>
        <v>2.79518557237015</v>
      </c>
      <c r="S86" s="19">
        <v>3</v>
      </c>
    </row>
    <row r="87" spans="1:19">
      <c r="A87" s="16">
        <v>12</v>
      </c>
      <c r="B87" s="45" t="s">
        <v>125</v>
      </c>
      <c r="C87" s="46"/>
      <c r="D87" s="47"/>
      <c r="E87" s="48" t="s">
        <v>73</v>
      </c>
      <c r="F87" s="49"/>
      <c r="G87" s="48" t="s">
        <v>28</v>
      </c>
      <c r="H87" s="50"/>
      <c r="I87" s="49"/>
      <c r="J87" s="51">
        <v>0.3</v>
      </c>
      <c r="K87" s="52"/>
      <c r="L87" s="51">
        <f>J87</f>
        <v>0.3</v>
      </c>
      <c r="M87" s="52"/>
      <c r="N87" s="51"/>
      <c r="O87" s="52"/>
      <c r="P87" s="17">
        <f t="shared" si="16"/>
        <v>200</v>
      </c>
      <c r="Q87" s="17">
        <f t="shared" si="17"/>
        <v>190</v>
      </c>
      <c r="R87" s="18">
        <f t="shared" si="18"/>
        <v>0.83855567171104506</v>
      </c>
      <c r="S87" s="19">
        <v>1</v>
      </c>
    </row>
    <row r="88" spans="1:19">
      <c r="A88" s="16">
        <v>12</v>
      </c>
      <c r="B88" s="45" t="s">
        <v>105</v>
      </c>
      <c r="C88" s="46"/>
      <c r="D88" s="47"/>
      <c r="E88" s="48" t="s">
        <v>73</v>
      </c>
      <c r="F88" s="49"/>
      <c r="G88" s="48" t="s">
        <v>28</v>
      </c>
      <c r="H88" s="50"/>
      <c r="I88" s="49"/>
      <c r="J88" s="51">
        <v>0.4</v>
      </c>
      <c r="K88" s="52"/>
      <c r="L88" s="51">
        <f>J88</f>
        <v>0.4</v>
      </c>
      <c r="M88" s="52"/>
      <c r="N88" s="51"/>
      <c r="O88" s="52"/>
      <c r="P88" s="17">
        <f t="shared" si="16"/>
        <v>150</v>
      </c>
      <c r="Q88" s="17">
        <f t="shared" si="17"/>
        <v>142.5</v>
      </c>
      <c r="R88" s="18">
        <f t="shared" si="18"/>
        <v>1.1180742289480601</v>
      </c>
      <c r="S88" s="19">
        <v>1</v>
      </c>
    </row>
    <row r="89" spans="1:19">
      <c r="A89" s="16"/>
      <c r="B89" s="42"/>
      <c r="C89" s="42"/>
      <c r="D89" s="42"/>
      <c r="E89" s="43"/>
      <c r="F89" s="43"/>
      <c r="G89" s="67" t="s">
        <v>47</v>
      </c>
      <c r="H89" s="67"/>
      <c r="I89" s="67"/>
      <c r="J89" s="67">
        <f>SUM(J76:K88)</f>
        <v>9.8800000000000008</v>
      </c>
      <c r="K89" s="67"/>
      <c r="L89" s="67">
        <f>SUM(L76:M88)</f>
        <v>8.83</v>
      </c>
      <c r="M89" s="67"/>
      <c r="N89" s="67">
        <f>SUM(N76:O88)</f>
        <v>1.05</v>
      </c>
      <c r="O89" s="67"/>
      <c r="P89" s="17"/>
      <c r="Q89" s="17"/>
      <c r="R89" s="18"/>
      <c r="S89" s="21">
        <f>SUM(S76:S88)</f>
        <v>30.5</v>
      </c>
    </row>
    <row r="90" spans="1:19">
      <c r="A90" s="68" t="s">
        <v>97</v>
      </c>
      <c r="B90" s="56"/>
      <c r="C90" s="56"/>
      <c r="D90" s="56"/>
      <c r="E90" s="56"/>
      <c r="F90" s="56"/>
      <c r="G90" s="69"/>
      <c r="H90" s="69"/>
      <c r="I90" s="70"/>
      <c r="J90" s="71">
        <f>SUM(J12:K28,J31:K38,J41:K48,J51:K58,J61:K73,J76:K88)</f>
        <v>31.509999999999994</v>
      </c>
      <c r="K90" s="72"/>
      <c r="L90" s="71">
        <f>SUM(L12:M28,L31:M38,L41:M48,L51:M58,L61:M73,L76:M88)</f>
        <v>25.229999999999997</v>
      </c>
      <c r="M90" s="72"/>
      <c r="N90" s="71">
        <f>SUM(N12:O28,N31:O38,N41:O48,N51:O58,N61:O73,N76:O88)</f>
        <v>6.43</v>
      </c>
      <c r="O90" s="72"/>
      <c r="P90" s="17"/>
      <c r="Q90" s="17"/>
      <c r="R90" s="18"/>
      <c r="S90" s="21">
        <f>S89+S74+S59+S49+S39+S29</f>
        <v>102</v>
      </c>
    </row>
    <row r="91" spans="1:19">
      <c r="A91" s="33"/>
      <c r="B91" s="60" t="s">
        <v>98</v>
      </c>
      <c r="C91" s="55"/>
      <c r="D91" s="55"/>
      <c r="E91" s="55"/>
      <c r="F91" s="55"/>
      <c r="G91" s="65">
        <v>0.03</v>
      </c>
      <c r="H91" s="65"/>
      <c r="I91" s="65"/>
      <c r="J91" s="65"/>
      <c r="K91" s="65"/>
      <c r="L91" s="66">
        <f>G91</f>
        <v>0.03</v>
      </c>
      <c r="M91" s="66"/>
      <c r="N91" s="66">
        <f>G91</f>
        <v>0.03</v>
      </c>
      <c r="O91" s="44"/>
      <c r="P91" s="17"/>
      <c r="Q91" s="17"/>
      <c r="R91" s="18"/>
      <c r="S91" s="19"/>
    </row>
    <row r="92" spans="1:19">
      <c r="A92" s="33"/>
      <c r="B92" s="60" t="s">
        <v>99</v>
      </c>
      <c r="C92" s="55"/>
      <c r="D92" s="55"/>
      <c r="E92" s="55"/>
      <c r="F92" s="55"/>
      <c r="G92" s="65">
        <v>0.1</v>
      </c>
      <c r="H92" s="65"/>
      <c r="I92" s="65"/>
      <c r="J92" s="65"/>
      <c r="K92" s="65"/>
      <c r="L92" s="66">
        <f>G92</f>
        <v>0.1</v>
      </c>
      <c r="M92" s="66"/>
      <c r="N92" s="66">
        <f t="shared" ref="N92:N94" si="19">G92</f>
        <v>0.1</v>
      </c>
      <c r="O92" s="44"/>
      <c r="P92" s="17"/>
      <c r="Q92" s="17"/>
      <c r="R92" s="18"/>
      <c r="S92" s="19"/>
    </row>
    <row r="93" spans="1:19">
      <c r="A93" s="33"/>
      <c r="B93" s="60" t="s">
        <v>100</v>
      </c>
      <c r="C93" s="55"/>
      <c r="D93" s="55"/>
      <c r="E93" s="55"/>
      <c r="F93" s="55"/>
      <c r="G93" s="65">
        <v>0</v>
      </c>
      <c r="H93" s="65"/>
      <c r="I93" s="65"/>
      <c r="J93" s="65"/>
      <c r="K93" s="65"/>
      <c r="L93" s="66">
        <f>G93</f>
        <v>0</v>
      </c>
      <c r="M93" s="66"/>
      <c r="N93" s="66">
        <f>G93</f>
        <v>0</v>
      </c>
      <c r="O93" s="44"/>
      <c r="P93" s="17"/>
      <c r="Q93" s="17"/>
      <c r="R93" s="18"/>
      <c r="S93" s="19"/>
    </row>
    <row r="94" spans="1:19">
      <c r="A94" s="33"/>
      <c r="B94" s="60" t="s">
        <v>101</v>
      </c>
      <c r="C94" s="55"/>
      <c r="D94" s="55"/>
      <c r="E94" s="55"/>
      <c r="F94" s="55"/>
      <c r="G94" s="65">
        <v>0</v>
      </c>
      <c r="H94" s="65"/>
      <c r="I94" s="65"/>
      <c r="J94" s="65"/>
      <c r="K94" s="65"/>
      <c r="L94" s="66">
        <f>G94</f>
        <v>0</v>
      </c>
      <c r="M94" s="66"/>
      <c r="N94" s="66">
        <f t="shared" si="19"/>
        <v>0</v>
      </c>
      <c r="O94" s="44"/>
      <c r="P94" s="17"/>
      <c r="Q94" s="17"/>
      <c r="R94" s="18"/>
      <c r="S94" s="19"/>
    </row>
    <row r="95" spans="1:19">
      <c r="A95" s="54" t="s">
        <v>102</v>
      </c>
      <c r="B95" s="55"/>
      <c r="C95" s="55"/>
      <c r="D95" s="55"/>
      <c r="E95" s="55"/>
      <c r="F95" s="55"/>
      <c r="G95" s="56"/>
      <c r="H95" s="56"/>
      <c r="I95" s="57"/>
      <c r="J95" s="58"/>
      <c r="K95" s="59"/>
      <c r="L95" s="58">
        <f t="shared" ref="L95" si="20">SUM(L91:M94)</f>
        <v>0.13</v>
      </c>
      <c r="M95" s="59"/>
      <c r="N95" s="58">
        <f t="shared" ref="N95" si="21">SUM(N91:O94)</f>
        <v>0.13</v>
      </c>
      <c r="O95" s="59"/>
      <c r="P95" s="17"/>
      <c r="Q95" s="17"/>
      <c r="R95" s="18"/>
      <c r="S95" s="19"/>
    </row>
    <row r="96" spans="1:19">
      <c r="A96" s="60" t="s">
        <v>103</v>
      </c>
      <c r="B96" s="55"/>
      <c r="C96" s="55"/>
      <c r="D96" s="55"/>
      <c r="E96" s="55"/>
      <c r="F96" s="55"/>
      <c r="G96" s="55"/>
      <c r="H96" s="55"/>
      <c r="I96" s="61"/>
      <c r="J96" s="62">
        <f>L96+N96</f>
        <v>35.775799999999997</v>
      </c>
      <c r="K96" s="63"/>
      <c r="L96" s="62">
        <f>(L90*L95)+L90</f>
        <v>28.509899999999995</v>
      </c>
      <c r="M96" s="63"/>
      <c r="N96" s="62">
        <f>(N90*N95)+N90</f>
        <v>7.2658999999999994</v>
      </c>
      <c r="O96" s="63"/>
      <c r="P96" s="17"/>
      <c r="Q96" s="17"/>
      <c r="R96" s="18"/>
      <c r="S96" s="19"/>
    </row>
    <row r="97" spans="1:15">
      <c r="A97" s="20"/>
      <c r="B97" s="20"/>
      <c r="C97" s="20"/>
      <c r="D97" s="20"/>
      <c r="E97" s="20"/>
      <c r="F97" s="20"/>
      <c r="G97" s="20"/>
      <c r="H97" s="20"/>
      <c r="I97" s="64"/>
      <c r="J97" s="64"/>
      <c r="K97" s="20"/>
      <c r="L97" s="2" t="s">
        <v>134</v>
      </c>
      <c r="N97" s="20"/>
      <c r="O97" s="20"/>
    </row>
  </sheetData>
  <mergeCells count="489">
    <mergeCell ref="I6:J6"/>
    <mergeCell ref="A7:C7"/>
    <mergeCell ref="D7:S8"/>
    <mergeCell ref="I9:J9"/>
    <mergeCell ref="A1:O1"/>
    <mergeCell ref="A2:O2"/>
    <mergeCell ref="G3:J4"/>
    <mergeCell ref="A4:B4"/>
    <mergeCell ref="C4:D4"/>
    <mergeCell ref="E4:F4"/>
    <mergeCell ref="K4:L4"/>
    <mergeCell ref="M4:O4"/>
    <mergeCell ref="A5:B5"/>
    <mergeCell ref="C5:D5"/>
    <mergeCell ref="E5:F5"/>
    <mergeCell ref="G5:I5"/>
    <mergeCell ref="K5:L5"/>
    <mergeCell ref="M5:O5"/>
    <mergeCell ref="B10:D10"/>
    <mergeCell ref="E10:F10"/>
    <mergeCell ref="G10:I10"/>
    <mergeCell ref="J10:K10"/>
    <mergeCell ref="L10:M10"/>
    <mergeCell ref="N10:O10"/>
    <mergeCell ref="B18:D18"/>
    <mergeCell ref="E18:F18"/>
    <mergeCell ref="G18:I18"/>
    <mergeCell ref="J18:K18"/>
    <mergeCell ref="L18:M18"/>
    <mergeCell ref="N18:O18"/>
    <mergeCell ref="B14:D14"/>
    <mergeCell ref="E14:F14"/>
    <mergeCell ref="G14:I14"/>
    <mergeCell ref="B15:D15"/>
    <mergeCell ref="E15:F15"/>
    <mergeCell ref="G15:I15"/>
    <mergeCell ref="J15:K15"/>
    <mergeCell ref="L15:M15"/>
    <mergeCell ref="N15:O15"/>
    <mergeCell ref="B16:D16"/>
    <mergeCell ref="E16:F16"/>
    <mergeCell ref="G16:I16"/>
    <mergeCell ref="J16:K16"/>
    <mergeCell ref="L16:M16"/>
    <mergeCell ref="N16:O16"/>
    <mergeCell ref="B17:D17"/>
    <mergeCell ref="E17:F17"/>
    <mergeCell ref="G17:I17"/>
    <mergeCell ref="B19:D19"/>
    <mergeCell ref="E19:F19"/>
    <mergeCell ref="G19:I19"/>
    <mergeCell ref="J19:K19"/>
    <mergeCell ref="L19:M19"/>
    <mergeCell ref="N19:O19"/>
    <mergeCell ref="B20:D20"/>
    <mergeCell ref="E20:F20"/>
    <mergeCell ref="G20:I20"/>
    <mergeCell ref="J20:K20"/>
    <mergeCell ref="L20:M20"/>
    <mergeCell ref="N20:O20"/>
    <mergeCell ref="B21:D21"/>
    <mergeCell ref="E21:F21"/>
    <mergeCell ref="G21:I21"/>
    <mergeCell ref="J21:K21"/>
    <mergeCell ref="L21:M21"/>
    <mergeCell ref="N21:O21"/>
    <mergeCell ref="B22:D22"/>
    <mergeCell ref="E22:F22"/>
    <mergeCell ref="G22:I22"/>
    <mergeCell ref="J22:K22"/>
    <mergeCell ref="L22:M22"/>
    <mergeCell ref="N22:O22"/>
    <mergeCell ref="B23:D23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4:O24"/>
    <mergeCell ref="B25:D25"/>
    <mergeCell ref="E25:F25"/>
    <mergeCell ref="G25:I25"/>
    <mergeCell ref="J25:K25"/>
    <mergeCell ref="L25:M25"/>
    <mergeCell ref="N25:O25"/>
    <mergeCell ref="B26:D26"/>
    <mergeCell ref="E26:F26"/>
    <mergeCell ref="G26:I26"/>
    <mergeCell ref="J26:K26"/>
    <mergeCell ref="L26:M26"/>
    <mergeCell ref="N26:O26"/>
    <mergeCell ref="B36:D36"/>
    <mergeCell ref="E36:F36"/>
    <mergeCell ref="G36:I36"/>
    <mergeCell ref="J36:K36"/>
    <mergeCell ref="L36:M36"/>
    <mergeCell ref="N36:O36"/>
    <mergeCell ref="B31:D31"/>
    <mergeCell ref="E31:F31"/>
    <mergeCell ref="G31:I31"/>
    <mergeCell ref="J31:K31"/>
    <mergeCell ref="L31:M31"/>
    <mergeCell ref="N31:O31"/>
    <mergeCell ref="B33:D33"/>
    <mergeCell ref="E33:F33"/>
    <mergeCell ref="G33:I33"/>
    <mergeCell ref="J33:K33"/>
    <mergeCell ref="L33:M33"/>
    <mergeCell ref="N33:O33"/>
    <mergeCell ref="B34:D34"/>
    <mergeCell ref="E34:F34"/>
    <mergeCell ref="G34:I34"/>
    <mergeCell ref="B37:D37"/>
    <mergeCell ref="E37:F37"/>
    <mergeCell ref="G37:I37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B38:D38"/>
    <mergeCell ref="E38:F38"/>
    <mergeCell ref="G38:I38"/>
    <mergeCell ref="J38:K38"/>
    <mergeCell ref="L38:M38"/>
    <mergeCell ref="N38:O38"/>
    <mergeCell ref="B43:D43"/>
    <mergeCell ref="E43:F43"/>
    <mergeCell ref="G43:I43"/>
    <mergeCell ref="J43:K43"/>
    <mergeCell ref="L43:M43"/>
    <mergeCell ref="N43:O43"/>
    <mergeCell ref="G39:I39"/>
    <mergeCell ref="J39:K39"/>
    <mergeCell ref="L39:M39"/>
    <mergeCell ref="N39:O39"/>
    <mergeCell ref="I40:J40"/>
    <mergeCell ref="B41:D41"/>
    <mergeCell ref="E41:F41"/>
    <mergeCell ref="G41:I41"/>
    <mergeCell ref="J41:K41"/>
    <mergeCell ref="L41:M41"/>
    <mergeCell ref="N41:O41"/>
    <mergeCell ref="B42:D42"/>
    <mergeCell ref="E42:F42"/>
    <mergeCell ref="G42:I42"/>
    <mergeCell ref="J42:K42"/>
    <mergeCell ref="L42:M42"/>
    <mergeCell ref="N42:O42"/>
    <mergeCell ref="B44:D44"/>
    <mergeCell ref="E44:F44"/>
    <mergeCell ref="G44:I44"/>
    <mergeCell ref="J44:K44"/>
    <mergeCell ref="L44:M44"/>
    <mergeCell ref="N44:O44"/>
    <mergeCell ref="B45:D45"/>
    <mergeCell ref="E45:F45"/>
    <mergeCell ref="G45:I45"/>
    <mergeCell ref="J45:K45"/>
    <mergeCell ref="L45:M45"/>
    <mergeCell ref="N45:O45"/>
    <mergeCell ref="G49:I49"/>
    <mergeCell ref="J49:K49"/>
    <mergeCell ref="L49:M49"/>
    <mergeCell ref="N49:O49"/>
    <mergeCell ref="B47:D47"/>
    <mergeCell ref="E47:F47"/>
    <mergeCell ref="G47:I47"/>
    <mergeCell ref="J47:K47"/>
    <mergeCell ref="L47:M47"/>
    <mergeCell ref="N47:O47"/>
    <mergeCell ref="I50:J50"/>
    <mergeCell ref="B48:D48"/>
    <mergeCell ref="E48:F48"/>
    <mergeCell ref="G48:I48"/>
    <mergeCell ref="J48:K48"/>
    <mergeCell ref="L48:M48"/>
    <mergeCell ref="N48:O48"/>
    <mergeCell ref="B53:D53"/>
    <mergeCell ref="E53:F53"/>
    <mergeCell ref="G53:I53"/>
    <mergeCell ref="J53:K53"/>
    <mergeCell ref="L53:M53"/>
    <mergeCell ref="N53:O53"/>
    <mergeCell ref="B54:D54"/>
    <mergeCell ref="E54:F54"/>
    <mergeCell ref="B51:D51"/>
    <mergeCell ref="E51:F51"/>
    <mergeCell ref="G51:I51"/>
    <mergeCell ref="J51:K51"/>
    <mergeCell ref="L51:M51"/>
    <mergeCell ref="N51:O51"/>
    <mergeCell ref="B52:D52"/>
    <mergeCell ref="E52:F52"/>
    <mergeCell ref="G52:I52"/>
    <mergeCell ref="J52:K52"/>
    <mergeCell ref="L52:M52"/>
    <mergeCell ref="N52:O52"/>
    <mergeCell ref="G54:I54"/>
    <mergeCell ref="J54:K54"/>
    <mergeCell ref="L54:M54"/>
    <mergeCell ref="N54:O54"/>
    <mergeCell ref="L67:M67"/>
    <mergeCell ref="N67:O67"/>
    <mergeCell ref="B63:D63"/>
    <mergeCell ref="E63:F63"/>
    <mergeCell ref="G63:I63"/>
    <mergeCell ref="J63:K63"/>
    <mergeCell ref="L63:M63"/>
    <mergeCell ref="N63:O63"/>
    <mergeCell ref="B64:D64"/>
    <mergeCell ref="E64:F64"/>
    <mergeCell ref="G64:I64"/>
    <mergeCell ref="J64:K64"/>
    <mergeCell ref="L64:M64"/>
    <mergeCell ref="N64:O64"/>
    <mergeCell ref="B66:D66"/>
    <mergeCell ref="E66:F66"/>
    <mergeCell ref="G66:I66"/>
    <mergeCell ref="J66:K66"/>
    <mergeCell ref="L66:M66"/>
    <mergeCell ref="N66:O66"/>
    <mergeCell ref="B71:D71"/>
    <mergeCell ref="E71:F71"/>
    <mergeCell ref="G71:I71"/>
    <mergeCell ref="J71:K71"/>
    <mergeCell ref="L71:M71"/>
    <mergeCell ref="N71:O71"/>
    <mergeCell ref="B72:D72"/>
    <mergeCell ref="E72:F72"/>
    <mergeCell ref="G72:I72"/>
    <mergeCell ref="J72:K72"/>
    <mergeCell ref="L72:M72"/>
    <mergeCell ref="N72:O72"/>
    <mergeCell ref="I75:J75"/>
    <mergeCell ref="B76:D76"/>
    <mergeCell ref="E76:F76"/>
    <mergeCell ref="G76:I76"/>
    <mergeCell ref="J76:K76"/>
    <mergeCell ref="L76:M76"/>
    <mergeCell ref="N76:O76"/>
    <mergeCell ref="B73:D73"/>
    <mergeCell ref="E73:F73"/>
    <mergeCell ref="G73:I73"/>
    <mergeCell ref="J73:K73"/>
    <mergeCell ref="L73:M73"/>
    <mergeCell ref="N73:O73"/>
    <mergeCell ref="G74:I74"/>
    <mergeCell ref="J74:K74"/>
    <mergeCell ref="L74:M74"/>
    <mergeCell ref="N74:O74"/>
    <mergeCell ref="J80:K80"/>
    <mergeCell ref="L80:M80"/>
    <mergeCell ref="N80:O80"/>
    <mergeCell ref="B77:D77"/>
    <mergeCell ref="E77:F77"/>
    <mergeCell ref="G77:I77"/>
    <mergeCell ref="J77:K77"/>
    <mergeCell ref="L77:M77"/>
    <mergeCell ref="N77:O77"/>
    <mergeCell ref="B78:D78"/>
    <mergeCell ref="E78:F78"/>
    <mergeCell ref="G78:I78"/>
    <mergeCell ref="J78:K78"/>
    <mergeCell ref="L78:M78"/>
    <mergeCell ref="N78:O78"/>
    <mergeCell ref="B79:D79"/>
    <mergeCell ref="E79:F79"/>
    <mergeCell ref="G79:I79"/>
    <mergeCell ref="J79:K79"/>
    <mergeCell ref="L79:M79"/>
    <mergeCell ref="N79:O79"/>
    <mergeCell ref="B80:D80"/>
    <mergeCell ref="E80:F80"/>
    <mergeCell ref="G80:I80"/>
    <mergeCell ref="B85:D85"/>
    <mergeCell ref="E85:F85"/>
    <mergeCell ref="G85:I85"/>
    <mergeCell ref="J85:K85"/>
    <mergeCell ref="L85:M85"/>
    <mergeCell ref="N85:O85"/>
    <mergeCell ref="B81:D81"/>
    <mergeCell ref="E81:F81"/>
    <mergeCell ref="G81:I81"/>
    <mergeCell ref="J81:K81"/>
    <mergeCell ref="L81:M81"/>
    <mergeCell ref="N81:O81"/>
    <mergeCell ref="B82:D82"/>
    <mergeCell ref="E82:F82"/>
    <mergeCell ref="G82:I82"/>
    <mergeCell ref="J82:K82"/>
    <mergeCell ref="L82:M82"/>
    <mergeCell ref="N82:O82"/>
    <mergeCell ref="J11:K11"/>
    <mergeCell ref="L11:M11"/>
    <mergeCell ref="N11:O11"/>
    <mergeCell ref="B13:D13"/>
    <mergeCell ref="E13:F13"/>
    <mergeCell ref="G13:I13"/>
    <mergeCell ref="J13:K13"/>
    <mergeCell ref="L13:M13"/>
    <mergeCell ref="N13:O13"/>
    <mergeCell ref="B12:D12"/>
    <mergeCell ref="E12:F12"/>
    <mergeCell ref="G12:I12"/>
    <mergeCell ref="J12:K12"/>
    <mergeCell ref="L12:M12"/>
    <mergeCell ref="N12:O12"/>
    <mergeCell ref="J14:K14"/>
    <mergeCell ref="L14:M14"/>
    <mergeCell ref="N14:O14"/>
    <mergeCell ref="J17:K17"/>
    <mergeCell ref="L17:M17"/>
    <mergeCell ref="N17:O17"/>
    <mergeCell ref="B35:D35"/>
    <mergeCell ref="E35:F35"/>
    <mergeCell ref="G35:I35"/>
    <mergeCell ref="G29:I29"/>
    <mergeCell ref="J29:K29"/>
    <mergeCell ref="L29:M29"/>
    <mergeCell ref="N29:O29"/>
    <mergeCell ref="I30:J30"/>
    <mergeCell ref="B28:D28"/>
    <mergeCell ref="E28:F28"/>
    <mergeCell ref="G28:I28"/>
    <mergeCell ref="J28:K28"/>
    <mergeCell ref="L28:M28"/>
    <mergeCell ref="N28:O28"/>
    <mergeCell ref="B32:D32"/>
    <mergeCell ref="E32:F32"/>
    <mergeCell ref="G32:I32"/>
    <mergeCell ref="J32:K32"/>
    <mergeCell ref="E58:F58"/>
    <mergeCell ref="G58:I58"/>
    <mergeCell ref="J58:K58"/>
    <mergeCell ref="L58:M58"/>
    <mergeCell ref="N58:O58"/>
    <mergeCell ref="B55:D55"/>
    <mergeCell ref="E55:F55"/>
    <mergeCell ref="G55:I55"/>
    <mergeCell ref="J55:K55"/>
    <mergeCell ref="L55:M55"/>
    <mergeCell ref="N55:O55"/>
    <mergeCell ref="B56:D56"/>
    <mergeCell ref="E56:F56"/>
    <mergeCell ref="G56:I56"/>
    <mergeCell ref="J56:K56"/>
    <mergeCell ref="L56:M56"/>
    <mergeCell ref="N56:O56"/>
    <mergeCell ref="L65:M65"/>
    <mergeCell ref="N65:O65"/>
    <mergeCell ref="B67:D67"/>
    <mergeCell ref="E67:F67"/>
    <mergeCell ref="G67:I67"/>
    <mergeCell ref="J67:K67"/>
    <mergeCell ref="B57:D57"/>
    <mergeCell ref="E57:F57"/>
    <mergeCell ref="G57:I57"/>
    <mergeCell ref="J57:K57"/>
    <mergeCell ref="L57:M57"/>
    <mergeCell ref="N57:O57"/>
    <mergeCell ref="B61:D61"/>
    <mergeCell ref="E61:F61"/>
    <mergeCell ref="G61:I61"/>
    <mergeCell ref="J61:K61"/>
    <mergeCell ref="L61:M61"/>
    <mergeCell ref="N61:O61"/>
    <mergeCell ref="G59:I59"/>
    <mergeCell ref="J59:K59"/>
    <mergeCell ref="L59:M59"/>
    <mergeCell ref="N59:O59"/>
    <mergeCell ref="I60:J60"/>
    <mergeCell ref="B58:D58"/>
    <mergeCell ref="B88:D88"/>
    <mergeCell ref="E88:F88"/>
    <mergeCell ref="G88:I88"/>
    <mergeCell ref="J88:K88"/>
    <mergeCell ref="L88:M88"/>
    <mergeCell ref="N88:O88"/>
    <mergeCell ref="B83:D83"/>
    <mergeCell ref="E83:F83"/>
    <mergeCell ref="G83:I83"/>
    <mergeCell ref="J83:K83"/>
    <mergeCell ref="L83:M83"/>
    <mergeCell ref="N83:O83"/>
    <mergeCell ref="B84:D84"/>
    <mergeCell ref="E84:F84"/>
    <mergeCell ref="G84:I84"/>
    <mergeCell ref="J84:K84"/>
    <mergeCell ref="L84:M84"/>
    <mergeCell ref="N84:O84"/>
    <mergeCell ref="B86:D86"/>
    <mergeCell ref="E86:F86"/>
    <mergeCell ref="G86:I86"/>
    <mergeCell ref="J86:K86"/>
    <mergeCell ref="L86:M86"/>
    <mergeCell ref="N86:O86"/>
    <mergeCell ref="G89:I89"/>
    <mergeCell ref="J89:K89"/>
    <mergeCell ref="L89:M89"/>
    <mergeCell ref="N89:O89"/>
    <mergeCell ref="A90:I90"/>
    <mergeCell ref="J90:K90"/>
    <mergeCell ref="L90:M90"/>
    <mergeCell ref="N90:O90"/>
    <mergeCell ref="B91:F91"/>
    <mergeCell ref="G91:K91"/>
    <mergeCell ref="L91:M91"/>
    <mergeCell ref="N91:O91"/>
    <mergeCell ref="B89:D89"/>
    <mergeCell ref="E89:F89"/>
    <mergeCell ref="B92:F92"/>
    <mergeCell ref="G92:K92"/>
    <mergeCell ref="L92:M92"/>
    <mergeCell ref="N92:O92"/>
    <mergeCell ref="B93:F93"/>
    <mergeCell ref="G93:K93"/>
    <mergeCell ref="L93:M93"/>
    <mergeCell ref="N93:O93"/>
    <mergeCell ref="B94:F94"/>
    <mergeCell ref="G94:K94"/>
    <mergeCell ref="L94:M94"/>
    <mergeCell ref="N94:O94"/>
    <mergeCell ref="A95:I95"/>
    <mergeCell ref="J95:K95"/>
    <mergeCell ref="L95:M95"/>
    <mergeCell ref="N95:O95"/>
    <mergeCell ref="A96:I96"/>
    <mergeCell ref="J96:K96"/>
    <mergeCell ref="L96:M96"/>
    <mergeCell ref="N96:O96"/>
    <mergeCell ref="I97:J97"/>
    <mergeCell ref="B87:D87"/>
    <mergeCell ref="E87:F87"/>
    <mergeCell ref="G87:I87"/>
    <mergeCell ref="J87:K87"/>
    <mergeCell ref="L87:M87"/>
    <mergeCell ref="N87:O87"/>
    <mergeCell ref="L32:M32"/>
    <mergeCell ref="N32:O32"/>
    <mergeCell ref="B46:D46"/>
    <mergeCell ref="E46:F46"/>
    <mergeCell ref="G46:I46"/>
    <mergeCell ref="J46:K46"/>
    <mergeCell ref="L46:M46"/>
    <mergeCell ref="N46:O46"/>
    <mergeCell ref="B68:D68"/>
    <mergeCell ref="E68:F68"/>
    <mergeCell ref="G68:I68"/>
    <mergeCell ref="J68:K68"/>
    <mergeCell ref="L68:M68"/>
    <mergeCell ref="N68:O68"/>
    <mergeCell ref="B69:D69"/>
    <mergeCell ref="E69:F69"/>
    <mergeCell ref="G69:I69"/>
    <mergeCell ref="J69:K69"/>
    <mergeCell ref="B70:D70"/>
    <mergeCell ref="E70:F70"/>
    <mergeCell ref="G70:I70"/>
    <mergeCell ref="J70:K70"/>
    <mergeCell ref="L70:M70"/>
    <mergeCell ref="N70:O70"/>
    <mergeCell ref="B27:D27"/>
    <mergeCell ref="E27:F27"/>
    <mergeCell ref="G27:I27"/>
    <mergeCell ref="J27:K27"/>
    <mergeCell ref="L27:M27"/>
    <mergeCell ref="N27:O27"/>
    <mergeCell ref="L69:M69"/>
    <mergeCell ref="N69:O69"/>
    <mergeCell ref="B62:D62"/>
    <mergeCell ref="E62:F62"/>
    <mergeCell ref="G62:I62"/>
    <mergeCell ref="J62:K62"/>
    <mergeCell ref="L62:M62"/>
    <mergeCell ref="N62:O62"/>
    <mergeCell ref="B65:D65"/>
    <mergeCell ref="E65:F65"/>
    <mergeCell ref="G65:I65"/>
    <mergeCell ref="J65:K65"/>
  </mergeCells>
  <pageMargins left="0.70866141732283472" right="0.15748031496062992" top="0.31496062992125984" bottom="0.51181102362204722" header="0.31496062992125984" footer="0.15748031496062992"/>
  <pageSetup paperSize="9" scale="24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2026-01-13T09:10:26Z</cp:lastPrinted>
  <dcterms:created xsi:type="dcterms:W3CDTF">2025-01-08T12:01:07Z</dcterms:created>
  <dcterms:modified xsi:type="dcterms:W3CDTF">2026-02-05T07:58:15Z</dcterms:modified>
  <cp:category/>
  <cp:contentStatus/>
</cp:coreProperties>
</file>