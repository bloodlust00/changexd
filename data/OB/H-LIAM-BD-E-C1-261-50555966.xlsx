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108" windowWidth="14808" windowHeight="8016" activeTab="1"/>
  </bookViews>
  <sheets>
    <sheet name="Sheet1" sheetId="1" r:id="rId1"/>
    <sheet name="Sheet2" sheetId="3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9" i="1"/>
  <c r="R85"/>
  <c r="T85"/>
  <c r="V85"/>
  <c r="AA49"/>
  <c r="V49"/>
  <c r="T49"/>
  <c r="R49"/>
  <c r="T46"/>
  <c r="AA69"/>
  <c r="V69"/>
  <c r="T69"/>
  <c r="R69"/>
  <c r="R84"/>
  <c r="X66"/>
  <c r="Y66"/>
  <c r="T66"/>
  <c r="R39"/>
  <c r="V31"/>
  <c r="T30"/>
  <c r="AA84" l="1"/>
  <c r="X83" l="1"/>
  <c r="Y83" s="1"/>
  <c r="T83"/>
  <c r="Q94"/>
  <c r="V90"/>
  <c r="T90"/>
  <c r="V89"/>
  <c r="T89"/>
  <c r="V88"/>
  <c r="T88"/>
  <c r="V87"/>
  <c r="V91" s="1"/>
  <c r="T87"/>
  <c r="X81"/>
  <c r="Y81" s="1"/>
  <c r="T81"/>
  <c r="X82"/>
  <c r="Y82" s="1"/>
  <c r="T82"/>
  <c r="X80"/>
  <c r="Y80" s="1"/>
  <c r="V80"/>
  <c r="X79"/>
  <c r="Y79" s="1"/>
  <c r="T79"/>
  <c r="X78"/>
  <c r="Y78" s="1"/>
  <c r="X77"/>
  <c r="Y77" s="1"/>
  <c r="T77"/>
  <c r="X76"/>
  <c r="Y76" s="1"/>
  <c r="T76"/>
  <c r="X75"/>
  <c r="Y75" s="1"/>
  <c r="T75"/>
  <c r="X74"/>
  <c r="Y74" s="1"/>
  <c r="T74"/>
  <c r="X73"/>
  <c r="Y73" s="1"/>
  <c r="T73"/>
  <c r="X72"/>
  <c r="Y72" s="1"/>
  <c r="T72"/>
  <c r="X71"/>
  <c r="Y71" s="1"/>
  <c r="V71"/>
  <c r="V84" s="1"/>
  <c r="X68"/>
  <c r="Y68" s="1"/>
  <c r="T68"/>
  <c r="X67"/>
  <c r="Y67" s="1"/>
  <c r="T67"/>
  <c r="X65"/>
  <c r="Y65" s="1"/>
  <c r="T65"/>
  <c r="X64"/>
  <c r="Y64" s="1"/>
  <c r="T64"/>
  <c r="X63"/>
  <c r="Y63" s="1"/>
  <c r="T63"/>
  <c r="AA61"/>
  <c r="R61"/>
  <c r="X60"/>
  <c r="Y60" s="1"/>
  <c r="T60"/>
  <c r="X59"/>
  <c r="Y59" s="1"/>
  <c r="T59"/>
  <c r="X58"/>
  <c r="Y58" s="1"/>
  <c r="T58"/>
  <c r="X57"/>
  <c r="Y57" s="1"/>
  <c r="T57"/>
  <c r="X56"/>
  <c r="Y56" s="1"/>
  <c r="V56"/>
  <c r="X55"/>
  <c r="Y55" s="1"/>
  <c r="V55"/>
  <c r="X54"/>
  <c r="Y54" s="1"/>
  <c r="V54"/>
  <c r="X53"/>
  <c r="Y53" s="1"/>
  <c r="V53"/>
  <c r="X52"/>
  <c r="Y52" s="1"/>
  <c r="T52"/>
  <c r="X51"/>
  <c r="Y51" s="1"/>
  <c r="V51"/>
  <c r="X48"/>
  <c r="Y48" s="1"/>
  <c r="T48"/>
  <c r="X47"/>
  <c r="Y47" s="1"/>
  <c r="T47"/>
  <c r="X46"/>
  <c r="Y46" s="1"/>
  <c r="X45"/>
  <c r="Y45" s="1"/>
  <c r="T45"/>
  <c r="X44"/>
  <c r="Y44" s="1"/>
  <c r="V44"/>
  <c r="X43"/>
  <c r="Y43" s="1"/>
  <c r="T43"/>
  <c r="X42"/>
  <c r="Y42" s="1"/>
  <c r="T42"/>
  <c r="X41"/>
  <c r="Y41" s="1"/>
  <c r="T41"/>
  <c r="X38"/>
  <c r="Y38" s="1"/>
  <c r="V38"/>
  <c r="X37"/>
  <c r="Y37" s="1"/>
  <c r="T37"/>
  <c r="X35"/>
  <c r="Y35" s="1"/>
  <c r="T35"/>
  <c r="X36"/>
  <c r="Y36" s="1"/>
  <c r="T36"/>
  <c r="X34"/>
  <c r="Y34" s="1"/>
  <c r="T34"/>
  <c r="X33"/>
  <c r="Y33" s="1"/>
  <c r="T33"/>
  <c r="X32"/>
  <c r="Y32" s="1"/>
  <c r="T32"/>
  <c r="X31"/>
  <c r="Y31" s="1"/>
  <c r="X30"/>
  <c r="Y30" s="1"/>
  <c r="AA28"/>
  <c r="R28"/>
  <c r="X27"/>
  <c r="Y27" s="1"/>
  <c r="T27"/>
  <c r="X26"/>
  <c r="Y26" s="1"/>
  <c r="T26"/>
  <c r="X25"/>
  <c r="Y25" s="1"/>
  <c r="V25"/>
  <c r="X24"/>
  <c r="Y24" s="1"/>
  <c r="V24"/>
  <c r="X23"/>
  <c r="Y23" s="1"/>
  <c r="V23"/>
  <c r="X22"/>
  <c r="Y22" s="1"/>
  <c r="T22"/>
  <c r="X21"/>
  <c r="Y21" s="1"/>
  <c r="V21"/>
  <c r="X20"/>
  <c r="Y20" s="1"/>
  <c r="T20"/>
  <c r="X19"/>
  <c r="Y19" s="1"/>
  <c r="T19"/>
  <c r="X18"/>
  <c r="Y18" s="1"/>
  <c r="T18"/>
  <c r="X17"/>
  <c r="Y17" s="1"/>
  <c r="T17"/>
  <c r="X16"/>
  <c r="Y16" s="1"/>
  <c r="T16"/>
  <c r="X15"/>
  <c r="Y15" s="1"/>
  <c r="V15"/>
  <c r="X14"/>
  <c r="Y14" s="1"/>
  <c r="T14"/>
  <c r="X13"/>
  <c r="Y13" s="1"/>
  <c r="V13"/>
  <c r="X12"/>
  <c r="Y12" s="1"/>
  <c r="T12"/>
  <c r="U4"/>
  <c r="AA85" l="1"/>
  <c r="V39"/>
  <c r="V92"/>
  <c r="T84"/>
  <c r="T91"/>
  <c r="T39"/>
  <c r="V61"/>
  <c r="T61"/>
  <c r="T28"/>
  <c r="V28"/>
  <c r="T92" l="1"/>
  <c r="R92" s="1"/>
  <c r="Y4" s="1"/>
  <c r="Y5" s="1"/>
  <c r="AA5" s="1"/>
  <c r="Z83" l="1"/>
  <c r="Z66"/>
  <c r="Z81"/>
  <c r="Z82"/>
  <c r="Z80"/>
  <c r="Z79"/>
  <c r="Z78"/>
  <c r="Z77"/>
  <c r="Z76"/>
  <c r="Z75"/>
  <c r="Z74"/>
  <c r="Z73"/>
  <c r="Z72"/>
  <c r="Z71"/>
  <c r="Z68"/>
  <c r="Z67"/>
  <c r="Z65"/>
  <c r="Z64"/>
  <c r="Z63"/>
  <c r="Z60"/>
  <c r="Z59"/>
  <c r="Z58"/>
  <c r="Z57"/>
  <c r="Z56"/>
  <c r="Z55"/>
  <c r="Z54"/>
  <c r="Z53"/>
  <c r="Z52"/>
  <c r="Z51"/>
  <c r="Z48"/>
  <c r="Z47"/>
  <c r="Z46"/>
  <c r="Z45"/>
  <c r="Z44"/>
  <c r="Z43"/>
  <c r="Z42"/>
  <c r="Z41"/>
  <c r="Z38"/>
  <c r="Z37"/>
  <c r="Z35"/>
  <c r="Z36"/>
  <c r="Z34"/>
  <c r="Z33"/>
  <c r="Z32"/>
  <c r="Z31"/>
  <c r="Z30"/>
  <c r="Z27"/>
  <c r="Z26"/>
  <c r="Z25"/>
  <c r="Z24"/>
  <c r="Z23"/>
  <c r="Z22"/>
  <c r="Z21"/>
  <c r="Z20"/>
  <c r="Z19"/>
  <c r="Z18"/>
  <c r="Z17"/>
  <c r="Z16"/>
  <c r="Z15"/>
  <c r="Z14"/>
  <c r="Z13"/>
  <c r="Z12"/>
</calcChain>
</file>

<file path=xl/sharedStrings.xml><?xml version="1.0" encoding="utf-8"?>
<sst xmlns="http://schemas.openxmlformats.org/spreadsheetml/2006/main" count="297" uniqueCount="140">
  <si>
    <t>Laguna Clothing Pvt Ltd</t>
  </si>
  <si>
    <t>SMV &amp; Operation Breakdown</t>
  </si>
  <si>
    <t>Buyer:</t>
  </si>
  <si>
    <t>Hugo Boss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</si>
  <si>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</si>
  <si>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</si>
  <si>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</si>
  <si>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</si>
  <si>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</si>
  <si>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</si>
  <si>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</si>
  <si>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</si>
  <si>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</si>
  <si>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</si>
  <si>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</si>
  <si>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</si>
  <si>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</si>
  <si>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</si>
  <si>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</si>
  <si>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</si>
  <si>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</si>
  <si>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</si>
  <si>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</si>
  <si>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</si>
  <si>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</si>
  <si>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</si>
  <si>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</si>
  <si>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Run Collar-Fusible</t>
  </si>
  <si>
    <t>SNLS</t>
  </si>
  <si>
    <t>N/A</t>
  </si>
  <si>
    <t>Collar Blocking</t>
  </si>
  <si>
    <t>Blocking</t>
  </si>
  <si>
    <t xml:space="preserve">Top stitch collar </t>
  </si>
  <si>
    <t>Collar contour trim</t>
  </si>
  <si>
    <t>Contour M/C</t>
  </si>
  <si>
    <t>Collar Stay Stitch</t>
  </si>
  <si>
    <t>3mm</t>
  </si>
  <si>
    <t>Tape Attach at band</t>
  </si>
  <si>
    <t>Inner neckband attach</t>
  </si>
  <si>
    <t>Outer neckband attach</t>
  </si>
  <si>
    <t>Pick turn</t>
  </si>
  <si>
    <t>Turning M/C</t>
  </si>
  <si>
    <t>Band top deco stitch</t>
  </si>
  <si>
    <t>Pick iron</t>
  </si>
  <si>
    <t>Iron Table</t>
  </si>
  <si>
    <t>Trim base</t>
  </si>
  <si>
    <t>SNEC</t>
  </si>
  <si>
    <t>Notch &amp; mark collar</t>
  </si>
  <si>
    <t>Notch M/C</t>
  </si>
  <si>
    <t>Button hole on Button Down Collar</t>
  </si>
  <si>
    <t>Button M/C</t>
  </si>
  <si>
    <t>Button hole  &amp; Attach on neck band</t>
  </si>
  <si>
    <t>Tandom M/C</t>
  </si>
  <si>
    <t>Sub Total</t>
  </si>
  <si>
    <t>Front</t>
  </si>
  <si>
    <t>25mm</t>
  </si>
  <si>
    <t>Button hole front X 6</t>
  </si>
  <si>
    <t>B/Hole M/C</t>
  </si>
  <si>
    <t>Flag Label Attach</t>
  </si>
  <si>
    <t>Sew extra button X 2</t>
  </si>
  <si>
    <t>Wash Care Lable Attach</t>
  </si>
  <si>
    <t>Pairing</t>
  </si>
  <si>
    <t>Helper Table</t>
  </si>
  <si>
    <t>Sleeve</t>
  </si>
  <si>
    <t xml:space="preserve">Sew small sleeve placket </t>
  </si>
  <si>
    <t>10mm</t>
  </si>
  <si>
    <t>Sleeve tacking</t>
  </si>
  <si>
    <t>Press sleeve placket</t>
  </si>
  <si>
    <t>Rotary Fusing M/C</t>
  </si>
  <si>
    <t xml:space="preserve">Set &amp; seal placket </t>
  </si>
  <si>
    <t>Button hole on sleeve placket</t>
  </si>
  <si>
    <t>Button stitch on sleeve placket</t>
  </si>
  <si>
    <t>Cuff</t>
  </si>
  <si>
    <t>Cuff hem iron</t>
  </si>
  <si>
    <t>Iron table</t>
  </si>
  <si>
    <t>Run cuff- Round</t>
  </si>
  <si>
    <t>Cuff raw edge trimming-Round</t>
  </si>
  <si>
    <t>Cuff turning &amp;  Shape-Round</t>
  </si>
  <si>
    <t>Cuff  Blocking</t>
  </si>
  <si>
    <t>Blocking M/C</t>
  </si>
  <si>
    <t xml:space="preserve">Ready Iron cuff  </t>
  </si>
  <si>
    <t>Top stitch cuff fused -Close-Round</t>
  </si>
  <si>
    <t>Buttonhole on cuff X 1</t>
  </si>
  <si>
    <t>Button X1</t>
  </si>
  <si>
    <t>Button m/c</t>
  </si>
  <si>
    <t>Back</t>
  </si>
  <si>
    <t>Sew Main Label-4 side &amp; Sew secondary Label- 4side</t>
  </si>
  <si>
    <t>Pattren Sewer M/C</t>
  </si>
  <si>
    <t>Tack Size Label</t>
  </si>
  <si>
    <t>Made in India Lable</t>
  </si>
  <si>
    <t>Yoke Attach-5T O/L</t>
  </si>
  <si>
    <t>5T O/L</t>
  </si>
  <si>
    <t>Yoke Edge Stitch</t>
  </si>
  <si>
    <t>Assembly</t>
  </si>
  <si>
    <t>Hanger Loading</t>
  </si>
  <si>
    <t>Shoulder join</t>
  </si>
  <si>
    <t>1mm</t>
  </si>
  <si>
    <t>DNCS</t>
  </si>
  <si>
    <t>3/8"</t>
  </si>
  <si>
    <t xml:space="preserve">Side seam </t>
  </si>
  <si>
    <t>FOA</t>
  </si>
  <si>
    <t>3/16"</t>
  </si>
  <si>
    <t>Gusset Iron</t>
  </si>
  <si>
    <t>Gusset Attach</t>
  </si>
  <si>
    <t>Bottom hem</t>
  </si>
  <si>
    <t>4mm</t>
  </si>
  <si>
    <t>Button Down</t>
  </si>
  <si>
    <t>Fabric allowance</t>
  </si>
  <si>
    <t>SPI allowance</t>
  </si>
  <si>
    <t>Quantity allowance</t>
  </si>
  <si>
    <t>Size allowance</t>
  </si>
  <si>
    <t>TOTAL ALLOWANCES</t>
  </si>
  <si>
    <t>Total SMV with Allowances</t>
  </si>
  <si>
    <t>SPI</t>
  </si>
  <si>
    <t>Cuff Logo button</t>
  </si>
  <si>
    <t>Sleeve over lock</t>
  </si>
  <si>
    <t>O/L M/C</t>
  </si>
  <si>
    <t>Neck band hem with tape</t>
  </si>
  <si>
    <t xml:space="preserve">Sleeve top </t>
  </si>
  <si>
    <t xml:space="preserve">H-LIAM-BD-E-C1-263-50566988
</t>
  </si>
  <si>
    <t>FA-26</t>
  </si>
  <si>
    <t xml:space="preserve">10261879-100% REGENARATIVE COTTON </t>
  </si>
  <si>
    <t>Neck trim</t>
  </si>
  <si>
    <t>Cut &amp; Sew Placket</t>
  </si>
  <si>
    <t>Kansai</t>
  </si>
  <si>
    <t>35mm</t>
  </si>
  <si>
    <t>Button Placket Hem</t>
  </si>
  <si>
    <t>Button sew front X 6</t>
  </si>
  <si>
    <t>Center pleat</t>
  </si>
  <si>
    <t>Sleeve pleat &amp; trim</t>
  </si>
  <si>
    <t>Collar attach</t>
  </si>
  <si>
    <t>Collar finish</t>
  </si>
  <si>
    <t>Sleeve attach</t>
  </si>
  <si>
    <t>Bottom serging</t>
  </si>
  <si>
    <t>Cuff attach</t>
  </si>
  <si>
    <t xml:space="preserve"> Collar Button down hole,Tape at piping, round neckband, Cut &amp; Sew Placket, single round cuff 1 bttn 1 B/H,Logo Button @ Right Cuff,  side seam-FOA, 1 mm stitch at shoulder &amp;yoke, Yoke Attach 5T O/L,Gusset attach</t>
  </si>
  <si>
    <t>Bone patch iron</t>
  </si>
  <si>
    <t>Bone patch attach</t>
  </si>
  <si>
    <t>Neckband attach</t>
  </si>
  <si>
    <t>Pick attach</t>
  </si>
</sst>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36"/>
      <color rgb="FF000000"/>
      <name val="Calibri Light"/>
      <family val="2"/>
    </font>
    <font>
      <sz val="36"/>
      <color rgb="FF000000"/>
      <name val="Calibri"/>
      <family val="2"/>
    </font>
    <font>
      <sz val="36"/>
      <color theme="1"/>
      <name val="Aptos Narrow"/>
      <charset val="134"/>
      <scheme val="minor"/>
    </font>
    <font>
      <b/>
      <sz val="36"/>
      <color rgb="FF2F75B5"/>
      <name val="Calibri"/>
      <family val="2"/>
    </font>
    <font>
      <sz val="36"/>
      <color theme="1"/>
      <name val="Aptos Narrow"/>
      <family val="2"/>
      <scheme val="minor"/>
    </font>
    <font>
      <b/>
      <sz val="36"/>
      <color rgb="FF000000"/>
      <name val="Calibri"/>
      <family val="2"/>
    </font>
    <font>
      <sz val="36"/>
      <color rgb="FF000000"/>
      <name val="Times New Roman"/>
      <family val="1"/>
    </font>
    <font>
      <sz val="36"/>
      <name val="Arial"/>
      <family val="2"/>
    </font>
    <font>
      <b/>
      <sz val="36"/>
      <name val="Times New Roman"/>
      <family val="1"/>
    </font>
    <font>
      <b/>
      <sz val="36"/>
      <color theme="1"/>
      <name val="Aptos Narrow"/>
      <family val="2"/>
      <scheme val="minor"/>
    </font>
    <font>
      <b/>
      <sz val="36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2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vertical="center"/>
    </xf>
    <xf numFmtId="0" fontId="2" fillId="2" borderId="0" xfId="0" applyFont="1" applyFill="1"/>
    <xf numFmtId="0" fontId="2" fillId="2" borderId="4" xfId="0" applyFont="1" applyFill="1" applyBorder="1"/>
    <xf numFmtId="0" fontId="4" fillId="2" borderId="0" xfId="0" applyFont="1" applyFill="1" applyAlignment="1">
      <alignment horizontal="right" vertical="center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vertical="center"/>
    </xf>
    <xf numFmtId="0" fontId="6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3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8" fillId="2" borderId="0" xfId="0" applyFont="1" applyFill="1"/>
    <xf numFmtId="0" fontId="10" fillId="0" borderId="9" xfId="0" applyFon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1" fillId="4" borderId="7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0" fontId="2" fillId="0" borderId="10" xfId="0" applyFont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5" fillId="6" borderId="9" xfId="0" applyNumberFormat="1" applyFont="1" applyFill="1" applyBorder="1" applyAlignment="1">
      <alignment horizontal="center" vertical="center"/>
    </xf>
    <xf numFmtId="165" fontId="5" fillId="6" borderId="9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/>
    <xf numFmtId="0" fontId="12" fillId="2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left" wrapText="1"/>
    </xf>
    <xf numFmtId="15" fontId="2" fillId="2" borderId="4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9" fontId="11" fillId="2" borderId="7" xfId="0" applyNumberFormat="1" applyFont="1" applyFill="1" applyBorder="1" applyAlignment="1">
      <alignment horizontal="center"/>
    </xf>
    <xf numFmtId="9" fontId="11" fillId="2" borderId="5" xfId="0" applyNumberFormat="1" applyFont="1" applyFill="1" applyBorder="1" applyAlignment="1">
      <alignment horizontal="center"/>
    </xf>
    <xf numFmtId="9" fontId="11" fillId="2" borderId="8" xfId="0" applyNumberFormat="1" applyFont="1" applyFill="1" applyBorder="1" applyAlignment="1">
      <alignment horizontal="center"/>
    </xf>
    <xf numFmtId="9" fontId="2" fillId="2" borderId="7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9" fontId="2" fillId="2" borderId="8" xfId="0" applyNumberFormat="1" applyFont="1" applyFill="1" applyBorder="1" applyAlignment="1">
      <alignment horizontal="center"/>
    </xf>
    <xf numFmtId="9" fontId="11" fillId="6" borderId="7" xfId="0" applyNumberFormat="1" applyFont="1" applyFill="1" applyBorder="1" applyAlignment="1">
      <alignment horizontal="center"/>
    </xf>
    <xf numFmtId="9" fontId="11" fillId="6" borderId="5" xfId="0" applyNumberFormat="1" applyFont="1" applyFill="1" applyBorder="1" applyAlignment="1">
      <alignment horizontal="center"/>
    </xf>
    <xf numFmtId="9" fontId="11" fillId="6" borderId="8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right"/>
    </xf>
    <xf numFmtId="0" fontId="12" fillId="7" borderId="10" xfId="0" applyFont="1" applyFill="1" applyBorder="1" applyAlignment="1">
      <alignment horizontal="left" vertical="center"/>
    </xf>
    <xf numFmtId="0" fontId="12" fillId="6" borderId="10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left" vertical="center"/>
    </xf>
    <xf numFmtId="0" fontId="14" fillId="7" borderId="10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4"/>
  <sheetViews>
    <sheetView view="pageBreakPreview" zoomScale="25" zoomScaleNormal="40" zoomScaleSheetLayoutView="25" workbookViewId="0">
      <selection activeCell="AC21" sqref="AC21"/>
    </sheetView>
  </sheetViews>
  <sheetFormatPr defaultColWidth="10.3984375" defaultRowHeight="45"/>
  <cols>
    <col min="1" max="1" width="10.3984375" style="2" bestFit="1" customWidth="1"/>
    <col min="2" max="11" width="13.19921875" style="2" customWidth="1"/>
    <col min="12" max="12" width="22.19921875" style="2" customWidth="1"/>
    <col min="13" max="13" width="23.69921875" style="2" customWidth="1"/>
    <col min="14" max="14" width="16.69921875" style="2" customWidth="1"/>
    <col min="15" max="15" width="20.69921875" style="2" customWidth="1"/>
    <col min="16" max="16" width="21.19921875" style="2" customWidth="1"/>
    <col min="17" max="17" width="20.19921875" style="2" customWidth="1"/>
    <col min="18" max="18" width="16.09765625" style="2" customWidth="1"/>
    <col min="19" max="19" width="19.19921875" style="2" customWidth="1"/>
    <col min="20" max="20" width="19" style="2" customWidth="1"/>
    <col min="21" max="23" width="16.09765625" style="2" customWidth="1"/>
    <col min="24" max="24" width="38.59765625" style="2" customWidth="1"/>
    <col min="25" max="27" width="55.09765625" style="2" customWidth="1"/>
    <col min="28" max="28" width="12" style="2" bestFit="1" customWidth="1"/>
    <col min="29" max="16384" width="10.3984375" style="2"/>
  </cols>
  <sheetData>
    <row r="1" spans="1:27" ht="46.2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1"/>
      <c r="Y1" s="1"/>
      <c r="Z1" s="1"/>
      <c r="AA1" s="1"/>
    </row>
    <row r="2" spans="1:27" ht="46.2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1"/>
      <c r="Y2" s="1"/>
      <c r="Z2" s="1"/>
      <c r="AA2" s="1"/>
    </row>
    <row r="3" spans="1:27" ht="46.2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1"/>
      <c r="Y3" s="1"/>
      <c r="Z3" s="1"/>
      <c r="AA3" s="1"/>
    </row>
    <row r="4" spans="1:27" ht="46.2">
      <c r="A4" s="46" t="s">
        <v>2</v>
      </c>
      <c r="B4" s="47"/>
      <c r="C4" s="48" t="s">
        <v>3</v>
      </c>
      <c r="D4" s="48"/>
      <c r="E4" s="48"/>
      <c r="F4" s="48"/>
      <c r="G4" s="48"/>
      <c r="H4" s="5"/>
      <c r="I4" s="5"/>
      <c r="J4" s="47" t="s">
        <v>4</v>
      </c>
      <c r="K4" s="47"/>
      <c r="L4" s="39" t="s">
        <v>119</v>
      </c>
      <c r="M4" s="6"/>
      <c r="N4" s="6"/>
      <c r="O4" s="6"/>
      <c r="P4" s="6"/>
      <c r="Q4" s="5"/>
      <c r="R4" s="5"/>
      <c r="S4" s="47" t="s">
        <v>5</v>
      </c>
      <c r="T4" s="47"/>
      <c r="U4" s="49">
        <f ca="1">TODAY()</f>
        <v>46059</v>
      </c>
      <c r="V4" s="49"/>
      <c r="W4" s="49"/>
      <c r="X4" s="7" t="s">
        <v>6</v>
      </c>
      <c r="Y4" s="8">
        <f>540/R92</f>
        <v>17.752354652596281</v>
      </c>
      <c r="Z4" s="7" t="s">
        <v>7</v>
      </c>
      <c r="AA4" s="9">
        <v>95</v>
      </c>
    </row>
    <row r="5" spans="1:27" ht="46.2">
      <c r="A5" s="46" t="s">
        <v>8</v>
      </c>
      <c r="B5" s="47"/>
      <c r="C5" s="54" t="s">
        <v>120</v>
      </c>
      <c r="D5" s="54"/>
      <c r="E5" s="54"/>
      <c r="F5" s="54"/>
      <c r="G5" s="54"/>
      <c r="H5" s="5"/>
      <c r="I5" s="5"/>
      <c r="J5" s="47" t="s">
        <v>9</v>
      </c>
      <c r="K5" s="47"/>
      <c r="L5" s="54" t="s">
        <v>121</v>
      </c>
      <c r="M5" s="54"/>
      <c r="N5" s="54"/>
      <c r="O5" s="54"/>
      <c r="P5" s="54"/>
      <c r="Q5" s="5"/>
      <c r="R5" s="5"/>
      <c r="S5" s="47" t="s">
        <v>10</v>
      </c>
      <c r="T5" s="47"/>
      <c r="U5" s="54" t="s">
        <v>11</v>
      </c>
      <c r="V5" s="54"/>
      <c r="W5" s="54"/>
      <c r="X5" s="7" t="s">
        <v>12</v>
      </c>
      <c r="Y5" s="8">
        <f>Y4*AA4</f>
        <v>1686.4736919966467</v>
      </c>
      <c r="Z5" s="7" t="s">
        <v>13</v>
      </c>
      <c r="AA5" s="8">
        <f>Y5/9</f>
        <v>187.3859657774052</v>
      </c>
    </row>
    <row r="6" spans="1:27" ht="46.2">
      <c r="A6" s="10"/>
      <c r="B6" s="11"/>
      <c r="C6" s="12"/>
      <c r="D6" s="12"/>
      <c r="E6" s="12"/>
      <c r="F6" s="12"/>
      <c r="G6" s="12"/>
      <c r="H6" s="5"/>
      <c r="I6" s="5"/>
      <c r="J6" s="11"/>
      <c r="K6" s="11"/>
      <c r="L6" s="12"/>
      <c r="M6" s="12"/>
      <c r="N6" s="12"/>
      <c r="O6" s="12"/>
      <c r="P6" s="12"/>
      <c r="Q6" s="5"/>
      <c r="R6" s="5"/>
      <c r="S6" s="11"/>
      <c r="T6" s="11"/>
      <c r="U6" s="12"/>
      <c r="V6" s="12"/>
      <c r="X6" s="1"/>
      <c r="Y6" s="1"/>
      <c r="Z6" s="1"/>
      <c r="AA6" s="1"/>
    </row>
    <row r="7" spans="1:27" ht="46.2">
      <c r="A7" s="46" t="s">
        <v>14</v>
      </c>
      <c r="B7" s="47"/>
      <c r="C7" s="47"/>
      <c r="D7" s="50" t="s">
        <v>135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ht="46.2">
      <c r="A8" s="10"/>
      <c r="B8" s="11"/>
      <c r="C8" s="12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27" ht="46.2">
      <c r="A9" s="1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"/>
      <c r="Y9" s="1"/>
      <c r="Z9" s="1"/>
      <c r="AA9" s="1"/>
    </row>
    <row r="10" spans="1:27" ht="135" customHeight="1">
      <c r="A10" s="14" t="s">
        <v>15</v>
      </c>
      <c r="B10" s="51" t="s">
        <v>16</v>
      </c>
      <c r="C10" s="52"/>
      <c r="D10" s="52"/>
      <c r="E10" s="52"/>
      <c r="F10" s="52"/>
      <c r="G10" s="52"/>
      <c r="H10" s="52"/>
      <c r="I10" s="53"/>
      <c r="J10" s="51" t="s">
        <v>17</v>
      </c>
      <c r="K10" s="52"/>
      <c r="L10" s="52"/>
      <c r="M10" s="53"/>
      <c r="N10" s="51" t="s">
        <v>18</v>
      </c>
      <c r="O10" s="52"/>
      <c r="P10" s="52"/>
      <c r="Q10" s="53"/>
      <c r="R10" s="51" t="s">
        <v>19</v>
      </c>
      <c r="S10" s="53"/>
      <c r="T10" s="51" t="s">
        <v>20</v>
      </c>
      <c r="U10" s="53"/>
      <c r="V10" s="51" t="s">
        <v>21</v>
      </c>
      <c r="W10" s="53"/>
      <c r="X10" s="15" t="s">
        <v>22</v>
      </c>
      <c r="Y10" s="16" t="s">
        <v>23</v>
      </c>
      <c r="Z10" s="16" t="s">
        <v>24</v>
      </c>
      <c r="AA10" s="16" t="s">
        <v>25</v>
      </c>
    </row>
    <row r="11" spans="1:27" ht="46.2">
      <c r="A11" s="17"/>
      <c r="B11" s="58" t="s">
        <v>26</v>
      </c>
      <c r="C11" s="59"/>
      <c r="D11" s="59"/>
      <c r="E11" s="59"/>
      <c r="F11" s="59"/>
      <c r="G11" s="59"/>
      <c r="H11" s="59"/>
      <c r="I11" s="60"/>
      <c r="J11" s="61"/>
      <c r="K11" s="62"/>
      <c r="L11" s="62"/>
      <c r="M11" s="63"/>
      <c r="N11" s="61"/>
      <c r="O11" s="62"/>
      <c r="P11" s="62"/>
      <c r="Q11" s="63"/>
      <c r="R11" s="64"/>
      <c r="S11" s="64"/>
      <c r="T11" s="64"/>
      <c r="U11" s="64"/>
      <c r="V11" s="64"/>
      <c r="W11" s="64"/>
      <c r="X11" s="19"/>
      <c r="Y11" s="19"/>
      <c r="Z11" s="19"/>
      <c r="AA11" s="19"/>
    </row>
    <row r="12" spans="1:27" ht="46.8">
      <c r="A12" s="20">
        <v>1</v>
      </c>
      <c r="B12" s="55" t="s">
        <v>27</v>
      </c>
      <c r="C12" s="55"/>
      <c r="D12" s="55"/>
      <c r="E12" s="55"/>
      <c r="F12" s="55"/>
      <c r="G12" s="55"/>
      <c r="H12" s="55"/>
      <c r="I12" s="55"/>
      <c r="J12" s="56" t="s">
        <v>28</v>
      </c>
      <c r="K12" s="56"/>
      <c r="L12" s="56"/>
      <c r="M12" s="56"/>
      <c r="N12" s="56" t="s">
        <v>29</v>
      </c>
      <c r="O12" s="56"/>
      <c r="P12" s="56"/>
      <c r="Q12" s="56"/>
      <c r="R12" s="57">
        <v>0.52</v>
      </c>
      <c r="S12" s="57"/>
      <c r="T12" s="57">
        <f>R12</f>
        <v>0.52</v>
      </c>
      <c r="U12" s="57"/>
      <c r="V12" s="57"/>
      <c r="W12" s="57"/>
      <c r="X12" s="21">
        <f>60/R12</f>
        <v>115.38461538461539</v>
      </c>
      <c r="Y12" s="21">
        <f>X12*0.95</f>
        <v>109.61538461538461</v>
      </c>
      <c r="Z12" s="22">
        <f>AA$5/Y12</f>
        <v>1.7094860035833457</v>
      </c>
      <c r="AA12" s="23">
        <v>2</v>
      </c>
    </row>
    <row r="13" spans="1:27" ht="46.8">
      <c r="A13" s="20">
        <v>2</v>
      </c>
      <c r="B13" s="55" t="s">
        <v>30</v>
      </c>
      <c r="C13" s="55"/>
      <c r="D13" s="55"/>
      <c r="E13" s="55"/>
      <c r="F13" s="55"/>
      <c r="G13" s="55"/>
      <c r="H13" s="55"/>
      <c r="I13" s="55"/>
      <c r="J13" s="56" t="s">
        <v>31</v>
      </c>
      <c r="K13" s="56"/>
      <c r="L13" s="56"/>
      <c r="M13" s="56"/>
      <c r="N13" s="56" t="s">
        <v>29</v>
      </c>
      <c r="O13" s="56"/>
      <c r="P13" s="56"/>
      <c r="Q13" s="56"/>
      <c r="R13" s="57">
        <v>0.24</v>
      </c>
      <c r="S13" s="57"/>
      <c r="T13" s="57"/>
      <c r="U13" s="57"/>
      <c r="V13" s="57">
        <f>R13</f>
        <v>0.24</v>
      </c>
      <c r="W13" s="57"/>
      <c r="X13" s="21">
        <f t="shared" ref="X13:X76" si="0">60/R13</f>
        <v>250</v>
      </c>
      <c r="Y13" s="21">
        <f t="shared" ref="Y13:Y76" si="1">X13*0.95</f>
        <v>237.5</v>
      </c>
      <c r="Z13" s="22">
        <f t="shared" ref="Z13:Z76" si="2">AA$5/Y13</f>
        <v>0.78899354011539036</v>
      </c>
      <c r="AA13" s="23">
        <v>1</v>
      </c>
    </row>
    <row r="14" spans="1:27" ht="46.8">
      <c r="A14" s="20">
        <v>3</v>
      </c>
      <c r="B14" s="55" t="s">
        <v>32</v>
      </c>
      <c r="C14" s="55"/>
      <c r="D14" s="55"/>
      <c r="E14" s="55"/>
      <c r="F14" s="55"/>
      <c r="G14" s="55"/>
      <c r="H14" s="55"/>
      <c r="I14" s="55"/>
      <c r="J14" s="56" t="s">
        <v>28</v>
      </c>
      <c r="K14" s="56"/>
      <c r="L14" s="56"/>
      <c r="M14" s="56"/>
      <c r="N14" s="56" t="s">
        <v>29</v>
      </c>
      <c r="O14" s="56"/>
      <c r="P14" s="56"/>
      <c r="Q14" s="56"/>
      <c r="R14" s="57">
        <v>0.4</v>
      </c>
      <c r="S14" s="57"/>
      <c r="T14" s="57">
        <f>R14</f>
        <v>0.4</v>
      </c>
      <c r="U14" s="57"/>
      <c r="V14" s="57"/>
      <c r="W14" s="57"/>
      <c r="X14" s="21">
        <f t="shared" si="0"/>
        <v>150</v>
      </c>
      <c r="Y14" s="21">
        <f t="shared" si="1"/>
        <v>142.5</v>
      </c>
      <c r="Z14" s="22">
        <f t="shared" si="2"/>
        <v>1.3149892335256506</v>
      </c>
      <c r="AA14" s="23">
        <v>1.5</v>
      </c>
    </row>
    <row r="15" spans="1:27" ht="46.8">
      <c r="A15" s="20">
        <v>4</v>
      </c>
      <c r="B15" s="55" t="s">
        <v>33</v>
      </c>
      <c r="C15" s="55"/>
      <c r="D15" s="55"/>
      <c r="E15" s="55"/>
      <c r="F15" s="55"/>
      <c r="G15" s="55"/>
      <c r="H15" s="55"/>
      <c r="I15" s="55"/>
      <c r="J15" s="56" t="s">
        <v>34</v>
      </c>
      <c r="K15" s="56"/>
      <c r="L15" s="56"/>
      <c r="M15" s="56"/>
      <c r="N15" s="56" t="s">
        <v>29</v>
      </c>
      <c r="O15" s="56"/>
      <c r="P15" s="56"/>
      <c r="Q15" s="56"/>
      <c r="R15" s="57">
        <v>0.15</v>
      </c>
      <c r="S15" s="57"/>
      <c r="T15" s="57"/>
      <c r="U15" s="57"/>
      <c r="V15" s="57">
        <f>R15</f>
        <v>0.15</v>
      </c>
      <c r="W15" s="57"/>
      <c r="X15" s="21">
        <f t="shared" si="0"/>
        <v>400</v>
      </c>
      <c r="Y15" s="21">
        <f t="shared" si="1"/>
        <v>380</v>
      </c>
      <c r="Z15" s="22">
        <f t="shared" si="2"/>
        <v>0.49312096257211896</v>
      </c>
      <c r="AA15" s="23">
        <v>0.5</v>
      </c>
    </row>
    <row r="16" spans="1:27" ht="46.8">
      <c r="A16" s="20">
        <v>5</v>
      </c>
      <c r="B16" s="55" t="s">
        <v>35</v>
      </c>
      <c r="C16" s="55"/>
      <c r="D16" s="55"/>
      <c r="E16" s="55"/>
      <c r="F16" s="55"/>
      <c r="G16" s="55"/>
      <c r="H16" s="55"/>
      <c r="I16" s="55"/>
      <c r="J16" s="56" t="s">
        <v>28</v>
      </c>
      <c r="K16" s="56"/>
      <c r="L16" s="56"/>
      <c r="M16" s="56"/>
      <c r="N16" s="65" t="s">
        <v>36</v>
      </c>
      <c r="O16" s="66"/>
      <c r="P16" s="66"/>
      <c r="Q16" s="67"/>
      <c r="R16" s="57">
        <v>0.21</v>
      </c>
      <c r="S16" s="57"/>
      <c r="T16" s="57">
        <f t="shared" ref="T16:T20" si="3">R16</f>
        <v>0.21</v>
      </c>
      <c r="U16" s="57"/>
      <c r="V16" s="68"/>
      <c r="W16" s="69"/>
      <c r="X16" s="21">
        <f t="shared" si="0"/>
        <v>285.71428571428572</v>
      </c>
      <c r="Y16" s="21">
        <f t="shared" si="1"/>
        <v>271.42857142857144</v>
      </c>
      <c r="Z16" s="22">
        <f t="shared" si="2"/>
        <v>0.69036934760096647</v>
      </c>
      <c r="AA16" s="23">
        <v>1</v>
      </c>
    </row>
    <row r="17" spans="1:27" ht="46.8">
      <c r="A17" s="20">
        <v>6</v>
      </c>
      <c r="B17" s="55" t="s">
        <v>37</v>
      </c>
      <c r="C17" s="55"/>
      <c r="D17" s="55"/>
      <c r="E17" s="55"/>
      <c r="F17" s="55"/>
      <c r="G17" s="55"/>
      <c r="H17" s="55"/>
      <c r="I17" s="55"/>
      <c r="J17" s="56" t="s">
        <v>28</v>
      </c>
      <c r="K17" s="56"/>
      <c r="L17" s="56"/>
      <c r="M17" s="56"/>
      <c r="N17" s="65" t="s">
        <v>29</v>
      </c>
      <c r="O17" s="66"/>
      <c r="P17" s="66"/>
      <c r="Q17" s="67"/>
      <c r="R17" s="57">
        <v>0.34</v>
      </c>
      <c r="S17" s="57"/>
      <c r="T17" s="57">
        <f t="shared" si="3"/>
        <v>0.34</v>
      </c>
      <c r="U17" s="57"/>
      <c r="V17" s="68"/>
      <c r="W17" s="69"/>
      <c r="X17" s="21">
        <f t="shared" si="0"/>
        <v>176.47058823529412</v>
      </c>
      <c r="Y17" s="21">
        <f t="shared" si="1"/>
        <v>167.64705882352939</v>
      </c>
      <c r="Z17" s="22">
        <f t="shared" si="2"/>
        <v>1.117740848496803</v>
      </c>
      <c r="AA17" s="23">
        <v>1</v>
      </c>
    </row>
    <row r="18" spans="1:27" ht="46.8">
      <c r="A18" s="20">
        <v>7</v>
      </c>
      <c r="B18" s="55" t="s">
        <v>117</v>
      </c>
      <c r="C18" s="55"/>
      <c r="D18" s="55"/>
      <c r="E18" s="55"/>
      <c r="F18" s="55"/>
      <c r="G18" s="55"/>
      <c r="H18" s="55"/>
      <c r="I18" s="55"/>
      <c r="J18" s="56" t="s">
        <v>28</v>
      </c>
      <c r="K18" s="56"/>
      <c r="L18" s="56"/>
      <c r="M18" s="56"/>
      <c r="N18" s="65" t="s">
        <v>29</v>
      </c>
      <c r="O18" s="66"/>
      <c r="P18" s="66"/>
      <c r="Q18" s="67"/>
      <c r="R18" s="57">
        <v>0.3</v>
      </c>
      <c r="S18" s="57"/>
      <c r="T18" s="57">
        <f t="shared" si="3"/>
        <v>0.3</v>
      </c>
      <c r="U18" s="57"/>
      <c r="V18" s="68"/>
      <c r="W18" s="69"/>
      <c r="X18" s="21">
        <f t="shared" si="0"/>
        <v>200</v>
      </c>
      <c r="Y18" s="21">
        <f t="shared" si="1"/>
        <v>190</v>
      </c>
      <c r="Z18" s="22">
        <f t="shared" si="2"/>
        <v>0.98624192514423792</v>
      </c>
      <c r="AA18" s="23">
        <v>1</v>
      </c>
    </row>
    <row r="19" spans="1:27" ht="46.8">
      <c r="A19" s="20">
        <v>8</v>
      </c>
      <c r="B19" s="70" t="s">
        <v>38</v>
      </c>
      <c r="C19" s="71"/>
      <c r="D19" s="71"/>
      <c r="E19" s="71"/>
      <c r="F19" s="71"/>
      <c r="G19" s="71"/>
      <c r="H19" s="71"/>
      <c r="I19" s="72"/>
      <c r="J19" s="56" t="s">
        <v>28</v>
      </c>
      <c r="K19" s="56"/>
      <c r="L19" s="56"/>
      <c r="M19" s="56"/>
      <c r="N19" s="65" t="s">
        <v>29</v>
      </c>
      <c r="O19" s="66"/>
      <c r="P19" s="66"/>
      <c r="Q19" s="67"/>
      <c r="R19" s="57">
        <v>0.5</v>
      </c>
      <c r="S19" s="57"/>
      <c r="T19" s="57">
        <f t="shared" si="3"/>
        <v>0.5</v>
      </c>
      <c r="U19" s="57"/>
      <c r="V19" s="68"/>
      <c r="W19" s="73"/>
      <c r="X19" s="21">
        <f t="shared" si="0"/>
        <v>120</v>
      </c>
      <c r="Y19" s="21">
        <f t="shared" si="1"/>
        <v>114</v>
      </c>
      <c r="Z19" s="22">
        <f t="shared" si="2"/>
        <v>1.6437365419070631</v>
      </c>
      <c r="AA19" s="23">
        <v>2</v>
      </c>
    </row>
    <row r="20" spans="1:27" ht="46.8">
      <c r="A20" s="20">
        <v>9</v>
      </c>
      <c r="B20" s="55" t="s">
        <v>39</v>
      </c>
      <c r="C20" s="55"/>
      <c r="D20" s="55"/>
      <c r="E20" s="55"/>
      <c r="F20" s="55"/>
      <c r="G20" s="55"/>
      <c r="H20" s="55"/>
      <c r="I20" s="55"/>
      <c r="J20" s="56" t="s">
        <v>28</v>
      </c>
      <c r="K20" s="56"/>
      <c r="L20" s="56"/>
      <c r="M20" s="56"/>
      <c r="N20" s="65" t="s">
        <v>29</v>
      </c>
      <c r="O20" s="66"/>
      <c r="P20" s="66"/>
      <c r="Q20" s="67"/>
      <c r="R20" s="57">
        <v>0.5</v>
      </c>
      <c r="S20" s="57"/>
      <c r="T20" s="57">
        <f t="shared" si="3"/>
        <v>0.5</v>
      </c>
      <c r="U20" s="57"/>
      <c r="V20" s="57"/>
      <c r="W20" s="57"/>
      <c r="X20" s="21">
        <f t="shared" si="0"/>
        <v>120</v>
      </c>
      <c r="Y20" s="21">
        <f t="shared" si="1"/>
        <v>114</v>
      </c>
      <c r="Z20" s="22">
        <f t="shared" si="2"/>
        <v>1.6437365419070631</v>
      </c>
      <c r="AA20" s="23">
        <v>2</v>
      </c>
    </row>
    <row r="21" spans="1:27" ht="46.8">
      <c r="A21" s="20">
        <v>10</v>
      </c>
      <c r="B21" s="55" t="s">
        <v>40</v>
      </c>
      <c r="C21" s="55"/>
      <c r="D21" s="55"/>
      <c r="E21" s="55"/>
      <c r="F21" s="55"/>
      <c r="G21" s="55"/>
      <c r="H21" s="55"/>
      <c r="I21" s="55"/>
      <c r="J21" s="56" t="s">
        <v>41</v>
      </c>
      <c r="K21" s="56"/>
      <c r="L21" s="56"/>
      <c r="M21" s="56"/>
      <c r="N21" s="65" t="s">
        <v>29</v>
      </c>
      <c r="O21" s="66"/>
      <c r="P21" s="66"/>
      <c r="Q21" s="67"/>
      <c r="R21" s="57">
        <v>0.25</v>
      </c>
      <c r="S21" s="57"/>
      <c r="T21" s="57"/>
      <c r="U21" s="57"/>
      <c r="V21" s="57">
        <f>R21</f>
        <v>0.25</v>
      </c>
      <c r="W21" s="57"/>
      <c r="X21" s="21">
        <f t="shared" si="0"/>
        <v>240</v>
      </c>
      <c r="Y21" s="21">
        <f t="shared" si="1"/>
        <v>228</v>
      </c>
      <c r="Z21" s="22">
        <f t="shared" si="2"/>
        <v>0.82186827095353154</v>
      </c>
      <c r="AA21" s="23">
        <v>1</v>
      </c>
    </row>
    <row r="22" spans="1:27" ht="46.8">
      <c r="A22" s="20">
        <v>11</v>
      </c>
      <c r="B22" s="75" t="s">
        <v>42</v>
      </c>
      <c r="C22" s="75"/>
      <c r="D22" s="75"/>
      <c r="E22" s="75"/>
      <c r="F22" s="75"/>
      <c r="G22" s="75"/>
      <c r="H22" s="75"/>
      <c r="I22" s="75"/>
      <c r="J22" s="76" t="s">
        <v>28</v>
      </c>
      <c r="K22" s="76"/>
      <c r="L22" s="76"/>
      <c r="M22" s="76"/>
      <c r="N22" s="65" t="s">
        <v>29</v>
      </c>
      <c r="O22" s="66"/>
      <c r="P22" s="66"/>
      <c r="Q22" s="67"/>
      <c r="R22" s="74">
        <v>0.55000000000000004</v>
      </c>
      <c r="S22" s="74"/>
      <c r="T22" s="74">
        <f>R22</f>
        <v>0.55000000000000004</v>
      </c>
      <c r="U22" s="74"/>
      <c r="V22" s="74"/>
      <c r="W22" s="74"/>
      <c r="X22" s="21">
        <f t="shared" si="0"/>
        <v>109.09090909090908</v>
      </c>
      <c r="Y22" s="21">
        <f t="shared" si="1"/>
        <v>103.63636363636363</v>
      </c>
      <c r="Z22" s="22">
        <f t="shared" si="2"/>
        <v>1.8081101960977697</v>
      </c>
      <c r="AA22" s="23">
        <v>2</v>
      </c>
    </row>
    <row r="23" spans="1:27" ht="46.8">
      <c r="A23" s="20">
        <v>12</v>
      </c>
      <c r="B23" s="55" t="s">
        <v>43</v>
      </c>
      <c r="C23" s="55"/>
      <c r="D23" s="55"/>
      <c r="E23" s="55"/>
      <c r="F23" s="55"/>
      <c r="G23" s="55"/>
      <c r="H23" s="55"/>
      <c r="I23" s="55"/>
      <c r="J23" s="56" t="s">
        <v>44</v>
      </c>
      <c r="K23" s="56"/>
      <c r="L23" s="56"/>
      <c r="M23" s="56"/>
      <c r="N23" s="65" t="s">
        <v>29</v>
      </c>
      <c r="O23" s="66"/>
      <c r="P23" s="66"/>
      <c r="Q23" s="67"/>
      <c r="R23" s="74">
        <v>0.25</v>
      </c>
      <c r="S23" s="74"/>
      <c r="T23" s="57"/>
      <c r="U23" s="57"/>
      <c r="V23" s="57">
        <f>R23</f>
        <v>0.25</v>
      </c>
      <c r="W23" s="57"/>
      <c r="X23" s="21">
        <f t="shared" si="0"/>
        <v>240</v>
      </c>
      <c r="Y23" s="21">
        <f t="shared" si="1"/>
        <v>228</v>
      </c>
      <c r="Z23" s="22">
        <f t="shared" si="2"/>
        <v>0.82186827095353154</v>
      </c>
      <c r="AA23" s="23">
        <v>1</v>
      </c>
    </row>
    <row r="24" spans="1:27" ht="46.8">
      <c r="A24" s="20">
        <v>13</v>
      </c>
      <c r="B24" s="55" t="s">
        <v>45</v>
      </c>
      <c r="C24" s="55"/>
      <c r="D24" s="55"/>
      <c r="E24" s="55"/>
      <c r="F24" s="55"/>
      <c r="G24" s="55"/>
      <c r="H24" s="55"/>
      <c r="I24" s="55"/>
      <c r="J24" s="56" t="s">
        <v>46</v>
      </c>
      <c r="K24" s="56"/>
      <c r="L24" s="56"/>
      <c r="M24" s="56"/>
      <c r="N24" s="65" t="s">
        <v>29</v>
      </c>
      <c r="O24" s="66"/>
      <c r="P24" s="66"/>
      <c r="Q24" s="67"/>
      <c r="R24" s="57">
        <v>0.24</v>
      </c>
      <c r="S24" s="57"/>
      <c r="T24" s="57"/>
      <c r="U24" s="57"/>
      <c r="V24" s="57">
        <f>R24</f>
        <v>0.24</v>
      </c>
      <c r="W24" s="57"/>
      <c r="X24" s="21">
        <f t="shared" si="0"/>
        <v>250</v>
      </c>
      <c r="Y24" s="21">
        <f t="shared" si="1"/>
        <v>237.5</v>
      </c>
      <c r="Z24" s="22">
        <f t="shared" si="2"/>
        <v>0.78899354011539036</v>
      </c>
      <c r="AA24" s="23">
        <v>1</v>
      </c>
    </row>
    <row r="25" spans="1:27" ht="46.8">
      <c r="A25" s="20">
        <v>14</v>
      </c>
      <c r="B25" s="55" t="s">
        <v>47</v>
      </c>
      <c r="C25" s="55"/>
      <c r="D25" s="55"/>
      <c r="E25" s="55"/>
      <c r="F25" s="55"/>
      <c r="G25" s="55"/>
      <c r="H25" s="55"/>
      <c r="I25" s="55"/>
      <c r="J25" s="56" t="s">
        <v>48</v>
      </c>
      <c r="K25" s="56"/>
      <c r="L25" s="56"/>
      <c r="M25" s="56"/>
      <c r="N25" s="65" t="s">
        <v>29</v>
      </c>
      <c r="O25" s="66"/>
      <c r="P25" s="66"/>
      <c r="Q25" s="67"/>
      <c r="R25" s="57">
        <v>0.26</v>
      </c>
      <c r="S25" s="57"/>
      <c r="T25" s="57"/>
      <c r="U25" s="57"/>
      <c r="V25" s="57">
        <f>R25</f>
        <v>0.26</v>
      </c>
      <c r="W25" s="57"/>
      <c r="X25" s="21">
        <f t="shared" si="0"/>
        <v>230.76923076923077</v>
      </c>
      <c r="Y25" s="21">
        <f t="shared" si="1"/>
        <v>219.23076923076923</v>
      </c>
      <c r="Z25" s="22">
        <f t="shared" si="2"/>
        <v>0.85474300179167284</v>
      </c>
      <c r="AA25" s="23">
        <v>1</v>
      </c>
    </row>
    <row r="26" spans="1:27" ht="46.8">
      <c r="A26" s="20">
        <v>15</v>
      </c>
      <c r="B26" s="55" t="s">
        <v>49</v>
      </c>
      <c r="C26" s="55"/>
      <c r="D26" s="55"/>
      <c r="E26" s="55"/>
      <c r="F26" s="55"/>
      <c r="G26" s="55"/>
      <c r="H26" s="55"/>
      <c r="I26" s="55"/>
      <c r="J26" s="56" t="s">
        <v>50</v>
      </c>
      <c r="K26" s="56"/>
      <c r="L26" s="56"/>
      <c r="M26" s="56"/>
      <c r="N26" s="65" t="s">
        <v>29</v>
      </c>
      <c r="O26" s="66"/>
      <c r="P26" s="66"/>
      <c r="Q26" s="67"/>
      <c r="R26" s="57">
        <v>0.3</v>
      </c>
      <c r="S26" s="57"/>
      <c r="T26" s="57">
        <f>R26</f>
        <v>0.3</v>
      </c>
      <c r="U26" s="57"/>
      <c r="V26" s="57"/>
      <c r="W26" s="57"/>
      <c r="X26" s="21">
        <f t="shared" si="0"/>
        <v>200</v>
      </c>
      <c r="Y26" s="21">
        <f t="shared" si="1"/>
        <v>190</v>
      </c>
      <c r="Z26" s="22">
        <f t="shared" si="2"/>
        <v>0.98624192514423792</v>
      </c>
      <c r="AA26" s="23">
        <v>1</v>
      </c>
    </row>
    <row r="27" spans="1:27" ht="46.8">
      <c r="A27" s="20">
        <v>16</v>
      </c>
      <c r="B27" s="55" t="s">
        <v>51</v>
      </c>
      <c r="C27" s="55"/>
      <c r="D27" s="55"/>
      <c r="E27" s="55"/>
      <c r="F27" s="55"/>
      <c r="G27" s="55"/>
      <c r="H27" s="55"/>
      <c r="I27" s="55"/>
      <c r="J27" s="65" t="s">
        <v>52</v>
      </c>
      <c r="K27" s="66"/>
      <c r="L27" s="66"/>
      <c r="M27" s="67"/>
      <c r="N27" s="65" t="s">
        <v>29</v>
      </c>
      <c r="O27" s="66"/>
      <c r="P27" s="66"/>
      <c r="Q27" s="67"/>
      <c r="R27" s="57">
        <v>0.28000000000000003</v>
      </c>
      <c r="S27" s="57"/>
      <c r="T27" s="57">
        <f>R27</f>
        <v>0.28000000000000003</v>
      </c>
      <c r="U27" s="57"/>
      <c r="V27" s="57"/>
      <c r="W27" s="57"/>
      <c r="X27" s="21">
        <f t="shared" si="0"/>
        <v>214.28571428571428</v>
      </c>
      <c r="Y27" s="21">
        <f t="shared" si="1"/>
        <v>203.57142857142856</v>
      </c>
      <c r="Z27" s="22">
        <f t="shared" si="2"/>
        <v>0.92049246346795544</v>
      </c>
      <c r="AA27" s="23">
        <v>1</v>
      </c>
    </row>
    <row r="28" spans="1:27" ht="45.6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77" t="s">
        <v>53</v>
      </c>
      <c r="O28" s="77"/>
      <c r="P28" s="77"/>
      <c r="Q28" s="77"/>
      <c r="R28" s="77">
        <f>SUM(R12:S27)</f>
        <v>5.29</v>
      </c>
      <c r="S28" s="77"/>
      <c r="T28" s="77">
        <f>SUM(T12:U27)</f>
        <v>3.9000000000000004</v>
      </c>
      <c r="U28" s="77"/>
      <c r="V28" s="77">
        <f>SUM(V12:W27)</f>
        <v>1.39</v>
      </c>
      <c r="W28" s="77"/>
      <c r="X28" s="21"/>
      <c r="Y28" s="21"/>
      <c r="Z28" s="22"/>
      <c r="AA28" s="26">
        <f>SUM(AA12:AA27)</f>
        <v>20</v>
      </c>
    </row>
    <row r="29" spans="1:27" ht="46.2">
      <c r="A29" s="27"/>
      <c r="B29" s="28" t="s">
        <v>54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18"/>
      <c r="S29" s="18"/>
      <c r="T29" s="18"/>
      <c r="U29" s="18"/>
      <c r="V29" s="18"/>
      <c r="W29" s="18"/>
      <c r="X29" s="30"/>
      <c r="Y29" s="30"/>
      <c r="Z29" s="30"/>
      <c r="AA29" s="30"/>
    </row>
    <row r="30" spans="1:27" ht="46.8">
      <c r="A30" s="31">
        <v>1</v>
      </c>
      <c r="B30" s="70" t="s">
        <v>123</v>
      </c>
      <c r="C30" s="71"/>
      <c r="D30" s="71"/>
      <c r="E30" s="71"/>
      <c r="F30" s="71"/>
      <c r="G30" s="71"/>
      <c r="H30" s="71"/>
      <c r="I30" s="72"/>
      <c r="J30" s="65" t="s">
        <v>124</v>
      </c>
      <c r="K30" s="66"/>
      <c r="L30" s="66"/>
      <c r="M30" s="67"/>
      <c r="N30" s="65" t="s">
        <v>125</v>
      </c>
      <c r="O30" s="66"/>
      <c r="P30" s="66"/>
      <c r="Q30" s="67"/>
      <c r="R30" s="68">
        <v>0.6</v>
      </c>
      <c r="S30" s="69"/>
      <c r="T30" s="68">
        <f>R30</f>
        <v>0.6</v>
      </c>
      <c r="U30" s="69"/>
      <c r="V30" s="68"/>
      <c r="W30" s="69"/>
      <c r="X30" s="21">
        <f t="shared" si="0"/>
        <v>100</v>
      </c>
      <c r="Y30" s="21">
        <f t="shared" si="1"/>
        <v>95</v>
      </c>
      <c r="Z30" s="22">
        <f t="shared" si="2"/>
        <v>1.9724838502884758</v>
      </c>
      <c r="AA30" s="23">
        <v>2</v>
      </c>
    </row>
    <row r="31" spans="1:27" s="33" customFormat="1" ht="46.8">
      <c r="A31" s="32">
        <v>2</v>
      </c>
      <c r="B31" s="78" t="s">
        <v>122</v>
      </c>
      <c r="C31" s="79"/>
      <c r="D31" s="79"/>
      <c r="E31" s="79"/>
      <c r="F31" s="79"/>
      <c r="G31" s="79"/>
      <c r="H31" s="79"/>
      <c r="I31" s="80"/>
      <c r="J31" s="81" t="s">
        <v>28</v>
      </c>
      <c r="K31" s="82"/>
      <c r="L31" s="82"/>
      <c r="M31" s="83"/>
      <c r="N31" s="81" t="s">
        <v>29</v>
      </c>
      <c r="O31" s="82"/>
      <c r="P31" s="82"/>
      <c r="Q31" s="83"/>
      <c r="R31" s="84">
        <v>0.2</v>
      </c>
      <c r="S31" s="85"/>
      <c r="T31" s="84"/>
      <c r="U31" s="85"/>
      <c r="V31" s="84">
        <f>R31</f>
        <v>0.2</v>
      </c>
      <c r="W31" s="85"/>
      <c r="X31" s="21">
        <f t="shared" si="0"/>
        <v>300</v>
      </c>
      <c r="Y31" s="21">
        <f t="shared" si="1"/>
        <v>285</v>
      </c>
      <c r="Z31" s="22">
        <f t="shared" si="2"/>
        <v>0.65749461676282528</v>
      </c>
      <c r="AA31" s="23">
        <v>1</v>
      </c>
    </row>
    <row r="32" spans="1:27" ht="46.8">
      <c r="A32" s="31">
        <v>3</v>
      </c>
      <c r="B32" s="70" t="s">
        <v>126</v>
      </c>
      <c r="C32" s="71"/>
      <c r="D32" s="71"/>
      <c r="E32" s="71"/>
      <c r="F32" s="71"/>
      <c r="G32" s="71"/>
      <c r="H32" s="71"/>
      <c r="I32" s="72"/>
      <c r="J32" s="65" t="s">
        <v>28</v>
      </c>
      <c r="K32" s="66"/>
      <c r="L32" s="66"/>
      <c r="M32" s="67"/>
      <c r="N32" s="65" t="s">
        <v>55</v>
      </c>
      <c r="O32" s="66"/>
      <c r="P32" s="66"/>
      <c r="Q32" s="67"/>
      <c r="R32" s="68">
        <v>0.4</v>
      </c>
      <c r="S32" s="69"/>
      <c r="T32" s="68">
        <f t="shared" ref="T32:T37" si="4">R32</f>
        <v>0.4</v>
      </c>
      <c r="U32" s="69"/>
      <c r="V32" s="68"/>
      <c r="W32" s="69"/>
      <c r="X32" s="21">
        <f t="shared" si="0"/>
        <v>150</v>
      </c>
      <c r="Y32" s="21">
        <f t="shared" si="1"/>
        <v>142.5</v>
      </c>
      <c r="Z32" s="22">
        <f t="shared" si="2"/>
        <v>1.3149892335256506</v>
      </c>
      <c r="AA32" s="23">
        <v>1.5</v>
      </c>
    </row>
    <row r="33" spans="1:27" ht="46.8">
      <c r="A33" s="32">
        <v>4</v>
      </c>
      <c r="B33" s="70" t="s">
        <v>56</v>
      </c>
      <c r="C33" s="71"/>
      <c r="D33" s="71"/>
      <c r="E33" s="71"/>
      <c r="F33" s="71"/>
      <c r="G33" s="71"/>
      <c r="H33" s="71"/>
      <c r="I33" s="72"/>
      <c r="J33" s="65" t="s">
        <v>57</v>
      </c>
      <c r="K33" s="66"/>
      <c r="L33" s="66"/>
      <c r="M33" s="67"/>
      <c r="N33" s="65" t="s">
        <v>29</v>
      </c>
      <c r="O33" s="66"/>
      <c r="P33" s="66"/>
      <c r="Q33" s="67"/>
      <c r="R33" s="68">
        <v>0.66</v>
      </c>
      <c r="S33" s="69"/>
      <c r="T33" s="68">
        <f t="shared" si="4"/>
        <v>0.66</v>
      </c>
      <c r="U33" s="69"/>
      <c r="V33" s="68"/>
      <c r="W33" s="69"/>
      <c r="X33" s="21">
        <f t="shared" si="0"/>
        <v>90.909090909090907</v>
      </c>
      <c r="Y33" s="21">
        <f t="shared" si="1"/>
        <v>86.36363636363636</v>
      </c>
      <c r="Z33" s="22">
        <f t="shared" si="2"/>
        <v>2.1697322353173236</v>
      </c>
      <c r="AA33" s="23">
        <v>2.5</v>
      </c>
    </row>
    <row r="34" spans="1:27" ht="46.8">
      <c r="A34" s="31">
        <v>5</v>
      </c>
      <c r="B34" s="70" t="s">
        <v>127</v>
      </c>
      <c r="C34" s="71"/>
      <c r="D34" s="71"/>
      <c r="E34" s="71"/>
      <c r="F34" s="71"/>
      <c r="G34" s="71"/>
      <c r="H34" s="71"/>
      <c r="I34" s="72"/>
      <c r="J34" s="65" t="s">
        <v>50</v>
      </c>
      <c r="K34" s="66"/>
      <c r="L34" s="66"/>
      <c r="M34" s="67"/>
      <c r="N34" s="65" t="s">
        <v>29</v>
      </c>
      <c r="O34" s="66"/>
      <c r="P34" s="66"/>
      <c r="Q34" s="67"/>
      <c r="R34" s="68">
        <v>0.56000000000000005</v>
      </c>
      <c r="S34" s="69"/>
      <c r="T34" s="68">
        <f t="shared" si="4"/>
        <v>0.56000000000000005</v>
      </c>
      <c r="U34" s="69"/>
      <c r="V34" s="68"/>
      <c r="W34" s="69"/>
      <c r="X34" s="21">
        <f t="shared" si="0"/>
        <v>107.14285714285714</v>
      </c>
      <c r="Y34" s="21">
        <f t="shared" si="1"/>
        <v>101.78571428571428</v>
      </c>
      <c r="Z34" s="22">
        <f t="shared" si="2"/>
        <v>1.8409849269359109</v>
      </c>
      <c r="AA34" s="23">
        <v>2</v>
      </c>
    </row>
    <row r="35" spans="1:27" ht="46.8">
      <c r="A35" s="32">
        <v>6</v>
      </c>
      <c r="B35" s="70" t="s">
        <v>58</v>
      </c>
      <c r="C35" s="71"/>
      <c r="D35" s="71"/>
      <c r="E35" s="71"/>
      <c r="F35" s="71"/>
      <c r="G35" s="71"/>
      <c r="H35" s="71"/>
      <c r="I35" s="72"/>
      <c r="J35" s="65" t="s">
        <v>28</v>
      </c>
      <c r="K35" s="66"/>
      <c r="L35" s="66"/>
      <c r="M35" s="67"/>
      <c r="N35" s="65" t="s">
        <v>29</v>
      </c>
      <c r="O35" s="66"/>
      <c r="P35" s="66"/>
      <c r="Q35" s="67"/>
      <c r="R35" s="68">
        <v>0.45</v>
      </c>
      <c r="S35" s="69"/>
      <c r="T35" s="68">
        <f>R35</f>
        <v>0.45</v>
      </c>
      <c r="U35" s="69"/>
      <c r="V35" s="68"/>
      <c r="W35" s="69"/>
      <c r="X35" s="21">
        <f>60/R35</f>
        <v>133.33333333333334</v>
      </c>
      <c r="Y35" s="21">
        <f>X35*0.95</f>
        <v>126.66666666666667</v>
      </c>
      <c r="Z35" s="22">
        <f>AA$5/Y35</f>
        <v>1.4793628877163567</v>
      </c>
      <c r="AA35" s="23">
        <v>1.5</v>
      </c>
    </row>
    <row r="36" spans="1:27" ht="46.8">
      <c r="A36" s="31">
        <v>7</v>
      </c>
      <c r="B36" s="70" t="s">
        <v>59</v>
      </c>
      <c r="C36" s="71"/>
      <c r="D36" s="71"/>
      <c r="E36" s="71"/>
      <c r="F36" s="71"/>
      <c r="G36" s="71"/>
      <c r="H36" s="71"/>
      <c r="I36" s="72"/>
      <c r="J36" s="65" t="s">
        <v>50</v>
      </c>
      <c r="K36" s="66"/>
      <c r="L36" s="66"/>
      <c r="M36" s="67"/>
      <c r="N36" s="65" t="s">
        <v>29</v>
      </c>
      <c r="O36" s="66"/>
      <c r="P36" s="66"/>
      <c r="Q36" s="67"/>
      <c r="R36" s="68">
        <v>0.3</v>
      </c>
      <c r="S36" s="69"/>
      <c r="T36" s="68">
        <f t="shared" si="4"/>
        <v>0.3</v>
      </c>
      <c r="U36" s="69"/>
      <c r="V36" s="68"/>
      <c r="W36" s="69"/>
      <c r="X36" s="21">
        <f t="shared" si="0"/>
        <v>200</v>
      </c>
      <c r="Y36" s="21">
        <f t="shared" si="1"/>
        <v>190</v>
      </c>
      <c r="Z36" s="22">
        <f t="shared" si="2"/>
        <v>0.98624192514423792</v>
      </c>
      <c r="AA36" s="23">
        <v>1</v>
      </c>
    </row>
    <row r="37" spans="1:27" ht="46.8">
      <c r="A37" s="32">
        <v>8</v>
      </c>
      <c r="B37" s="70" t="s">
        <v>60</v>
      </c>
      <c r="C37" s="71"/>
      <c r="D37" s="71"/>
      <c r="E37" s="71"/>
      <c r="F37" s="71"/>
      <c r="G37" s="71"/>
      <c r="H37" s="71"/>
      <c r="I37" s="72"/>
      <c r="J37" s="65" t="s">
        <v>28</v>
      </c>
      <c r="K37" s="66"/>
      <c r="L37" s="66"/>
      <c r="M37" s="67"/>
      <c r="N37" s="65" t="s">
        <v>29</v>
      </c>
      <c r="O37" s="66"/>
      <c r="P37" s="66"/>
      <c r="Q37" s="67"/>
      <c r="R37" s="68">
        <v>0.5</v>
      </c>
      <c r="S37" s="69"/>
      <c r="T37" s="68">
        <f t="shared" si="4"/>
        <v>0.5</v>
      </c>
      <c r="U37" s="69"/>
      <c r="V37" s="68"/>
      <c r="W37" s="69"/>
      <c r="X37" s="21">
        <f t="shared" si="0"/>
        <v>120</v>
      </c>
      <c r="Y37" s="21">
        <f t="shared" si="1"/>
        <v>114</v>
      </c>
      <c r="Z37" s="22">
        <f t="shared" si="2"/>
        <v>1.6437365419070631</v>
      </c>
      <c r="AA37" s="23">
        <v>2</v>
      </c>
    </row>
    <row r="38" spans="1:27" ht="46.8">
      <c r="A38" s="31">
        <v>9</v>
      </c>
      <c r="B38" s="70" t="s">
        <v>61</v>
      </c>
      <c r="C38" s="71"/>
      <c r="D38" s="71"/>
      <c r="E38" s="71"/>
      <c r="F38" s="71"/>
      <c r="G38" s="71"/>
      <c r="H38" s="71"/>
      <c r="I38" s="72"/>
      <c r="J38" s="65" t="s">
        <v>62</v>
      </c>
      <c r="K38" s="66"/>
      <c r="L38" s="66"/>
      <c r="M38" s="67"/>
      <c r="N38" s="65" t="s">
        <v>29</v>
      </c>
      <c r="O38" s="66"/>
      <c r="P38" s="66"/>
      <c r="Q38" s="67"/>
      <c r="R38" s="68">
        <v>0.25</v>
      </c>
      <c r="S38" s="69"/>
      <c r="T38" s="68"/>
      <c r="U38" s="69"/>
      <c r="V38" s="68">
        <f>R38</f>
        <v>0.25</v>
      </c>
      <c r="W38" s="69"/>
      <c r="X38" s="21">
        <f t="shared" si="0"/>
        <v>240</v>
      </c>
      <c r="Y38" s="21">
        <f t="shared" si="1"/>
        <v>228</v>
      </c>
      <c r="Z38" s="22">
        <f t="shared" si="2"/>
        <v>0.82186827095353154</v>
      </c>
      <c r="AA38" s="23">
        <v>1</v>
      </c>
    </row>
    <row r="39" spans="1:27" ht="45.6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86" t="s">
        <v>53</v>
      </c>
      <c r="O39" s="86"/>
      <c r="P39" s="86"/>
      <c r="Q39" s="86"/>
      <c r="R39" s="86">
        <f>SUM(R30:S38)</f>
        <v>3.9200000000000004</v>
      </c>
      <c r="S39" s="86"/>
      <c r="T39" s="86">
        <f>SUM(T30:U38)</f>
        <v>3.47</v>
      </c>
      <c r="U39" s="86"/>
      <c r="V39" s="86">
        <f>SUM(V30:W38)</f>
        <v>0.45</v>
      </c>
      <c r="W39" s="86"/>
      <c r="X39" s="21"/>
      <c r="Y39" s="21"/>
      <c r="Z39" s="22"/>
      <c r="AA39" s="26">
        <f>SUM(AA30:AA38)</f>
        <v>14.5</v>
      </c>
    </row>
    <row r="40" spans="1:27" ht="46.2">
      <c r="A40" s="27"/>
      <c r="B40" s="28" t="s">
        <v>63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18"/>
      <c r="S40" s="18"/>
      <c r="T40" s="18"/>
      <c r="U40" s="18"/>
      <c r="V40" s="18"/>
      <c r="W40" s="18"/>
      <c r="X40" s="30"/>
      <c r="Y40" s="30"/>
      <c r="Z40" s="30"/>
      <c r="AA40" s="30"/>
    </row>
    <row r="41" spans="1:27" ht="46.8">
      <c r="A41" s="34">
        <v>1</v>
      </c>
      <c r="B41" s="75" t="s">
        <v>115</v>
      </c>
      <c r="C41" s="75"/>
      <c r="D41" s="75"/>
      <c r="E41" s="75"/>
      <c r="F41" s="75"/>
      <c r="G41" s="75"/>
      <c r="H41" s="75"/>
      <c r="I41" s="75"/>
      <c r="J41" s="76" t="s">
        <v>116</v>
      </c>
      <c r="K41" s="76"/>
      <c r="L41" s="76"/>
      <c r="M41" s="76"/>
      <c r="N41" s="76" t="s">
        <v>29</v>
      </c>
      <c r="O41" s="76"/>
      <c r="P41" s="76"/>
      <c r="Q41" s="76"/>
      <c r="R41" s="57">
        <v>0.4</v>
      </c>
      <c r="S41" s="57"/>
      <c r="T41" s="74">
        <f>R41</f>
        <v>0.4</v>
      </c>
      <c r="U41" s="74"/>
      <c r="V41" s="74"/>
      <c r="W41" s="74"/>
      <c r="X41" s="21">
        <f t="shared" si="0"/>
        <v>150</v>
      </c>
      <c r="Y41" s="21">
        <f t="shared" si="1"/>
        <v>142.5</v>
      </c>
      <c r="Z41" s="22">
        <f t="shared" si="2"/>
        <v>1.3149892335256506</v>
      </c>
      <c r="AA41" s="23">
        <v>1.5</v>
      </c>
    </row>
    <row r="42" spans="1:27" ht="46.8">
      <c r="A42" s="34">
        <v>2</v>
      </c>
      <c r="B42" s="75" t="s">
        <v>64</v>
      </c>
      <c r="C42" s="75"/>
      <c r="D42" s="75"/>
      <c r="E42" s="75"/>
      <c r="F42" s="75"/>
      <c r="G42" s="75"/>
      <c r="H42" s="75"/>
      <c r="I42" s="75"/>
      <c r="J42" s="76" t="s">
        <v>28</v>
      </c>
      <c r="K42" s="76"/>
      <c r="L42" s="76"/>
      <c r="M42" s="76"/>
      <c r="N42" s="76" t="s">
        <v>65</v>
      </c>
      <c r="O42" s="76"/>
      <c r="P42" s="76"/>
      <c r="Q42" s="76"/>
      <c r="R42" s="57">
        <v>0.53</v>
      </c>
      <c r="S42" s="57"/>
      <c r="T42" s="74">
        <f>R42</f>
        <v>0.53</v>
      </c>
      <c r="U42" s="74"/>
      <c r="V42" s="74"/>
      <c r="W42" s="74"/>
      <c r="X42" s="21">
        <f t="shared" si="0"/>
        <v>113.20754716981132</v>
      </c>
      <c r="Y42" s="21">
        <f t="shared" si="1"/>
        <v>107.54716981132074</v>
      </c>
      <c r="Z42" s="22">
        <f t="shared" si="2"/>
        <v>1.7423607344214871</v>
      </c>
      <c r="AA42" s="23">
        <v>2</v>
      </c>
    </row>
    <row r="43" spans="1:27" ht="46.8">
      <c r="A43" s="34">
        <v>3</v>
      </c>
      <c r="B43" s="75" t="s">
        <v>66</v>
      </c>
      <c r="C43" s="75"/>
      <c r="D43" s="75"/>
      <c r="E43" s="75"/>
      <c r="F43" s="75"/>
      <c r="G43" s="75"/>
      <c r="H43" s="75"/>
      <c r="I43" s="75"/>
      <c r="J43" s="56" t="s">
        <v>28</v>
      </c>
      <c r="K43" s="56"/>
      <c r="L43" s="56"/>
      <c r="M43" s="56"/>
      <c r="N43" s="76" t="s">
        <v>29</v>
      </c>
      <c r="O43" s="76"/>
      <c r="P43" s="76"/>
      <c r="Q43" s="76"/>
      <c r="R43" s="57">
        <v>0.3</v>
      </c>
      <c r="S43" s="57"/>
      <c r="T43" s="74">
        <f>R43</f>
        <v>0.3</v>
      </c>
      <c r="U43" s="74"/>
      <c r="V43" s="74"/>
      <c r="W43" s="74"/>
      <c r="X43" s="21">
        <f t="shared" si="0"/>
        <v>200</v>
      </c>
      <c r="Y43" s="21">
        <f t="shared" si="1"/>
        <v>190</v>
      </c>
      <c r="Z43" s="22">
        <f t="shared" si="2"/>
        <v>0.98624192514423792</v>
      </c>
      <c r="AA43" s="23">
        <v>1</v>
      </c>
    </row>
    <row r="44" spans="1:27" ht="46.8">
      <c r="A44" s="34">
        <v>4</v>
      </c>
      <c r="B44" s="75" t="s">
        <v>67</v>
      </c>
      <c r="C44" s="75"/>
      <c r="D44" s="75"/>
      <c r="E44" s="75"/>
      <c r="F44" s="75"/>
      <c r="G44" s="75"/>
      <c r="H44" s="75"/>
      <c r="I44" s="75"/>
      <c r="J44" s="76" t="s">
        <v>68</v>
      </c>
      <c r="K44" s="76"/>
      <c r="L44" s="76"/>
      <c r="M44" s="76"/>
      <c r="N44" s="76" t="s">
        <v>55</v>
      </c>
      <c r="O44" s="76"/>
      <c r="P44" s="76"/>
      <c r="Q44" s="76"/>
      <c r="R44" s="57">
        <v>0.4</v>
      </c>
      <c r="S44" s="57"/>
      <c r="T44" s="74"/>
      <c r="U44" s="74"/>
      <c r="V44" s="74">
        <f>R44</f>
        <v>0.4</v>
      </c>
      <c r="W44" s="74"/>
      <c r="X44" s="21">
        <f t="shared" si="0"/>
        <v>150</v>
      </c>
      <c r="Y44" s="21">
        <f t="shared" si="1"/>
        <v>142.5</v>
      </c>
      <c r="Z44" s="22">
        <f t="shared" si="2"/>
        <v>1.3149892335256506</v>
      </c>
      <c r="AA44" s="23">
        <v>1.5</v>
      </c>
    </row>
    <row r="45" spans="1:27" ht="46.8">
      <c r="A45" s="34">
        <v>5</v>
      </c>
      <c r="B45" s="75" t="s">
        <v>69</v>
      </c>
      <c r="C45" s="75"/>
      <c r="D45" s="75"/>
      <c r="E45" s="75"/>
      <c r="F45" s="75"/>
      <c r="G45" s="75"/>
      <c r="H45" s="75"/>
      <c r="I45" s="75"/>
      <c r="J45" s="76" t="s">
        <v>28</v>
      </c>
      <c r="K45" s="76"/>
      <c r="L45" s="76"/>
      <c r="M45" s="76"/>
      <c r="N45" s="76" t="s">
        <v>29</v>
      </c>
      <c r="O45" s="76"/>
      <c r="P45" s="76"/>
      <c r="Q45" s="76"/>
      <c r="R45" s="68">
        <v>1.2</v>
      </c>
      <c r="S45" s="69"/>
      <c r="T45" s="87">
        <f>R45</f>
        <v>1.2</v>
      </c>
      <c r="U45" s="88"/>
      <c r="V45" s="74"/>
      <c r="W45" s="74"/>
      <c r="X45" s="21">
        <f t="shared" si="0"/>
        <v>50</v>
      </c>
      <c r="Y45" s="21">
        <f t="shared" si="1"/>
        <v>47.5</v>
      </c>
      <c r="Z45" s="22">
        <f t="shared" si="2"/>
        <v>3.9449677005769517</v>
      </c>
      <c r="AA45" s="23">
        <v>4</v>
      </c>
    </row>
    <row r="46" spans="1:27" ht="46.8">
      <c r="A46" s="34">
        <v>6</v>
      </c>
      <c r="B46" s="75" t="s">
        <v>129</v>
      </c>
      <c r="C46" s="75"/>
      <c r="D46" s="75"/>
      <c r="E46" s="75"/>
      <c r="F46" s="75"/>
      <c r="G46" s="75"/>
      <c r="H46" s="75"/>
      <c r="I46" s="75"/>
      <c r="J46" s="76" t="s">
        <v>46</v>
      </c>
      <c r="K46" s="76"/>
      <c r="L46" s="76"/>
      <c r="M46" s="76"/>
      <c r="N46" s="76" t="s">
        <v>29</v>
      </c>
      <c r="O46" s="76"/>
      <c r="P46" s="76"/>
      <c r="Q46" s="76"/>
      <c r="R46" s="89">
        <v>0.4</v>
      </c>
      <c r="S46" s="89"/>
      <c r="T46" s="74">
        <f>R46</f>
        <v>0.4</v>
      </c>
      <c r="U46" s="74"/>
      <c r="V46" s="74"/>
      <c r="W46" s="74"/>
      <c r="X46" s="21">
        <f t="shared" si="0"/>
        <v>150</v>
      </c>
      <c r="Y46" s="21">
        <f t="shared" si="1"/>
        <v>142.5</v>
      </c>
      <c r="Z46" s="22">
        <f t="shared" si="2"/>
        <v>1.3149892335256506</v>
      </c>
      <c r="AA46" s="23">
        <v>1.5</v>
      </c>
    </row>
    <row r="47" spans="1:27" ht="46.8">
      <c r="A47" s="34">
        <v>7</v>
      </c>
      <c r="B47" s="75" t="s">
        <v>70</v>
      </c>
      <c r="C47" s="75"/>
      <c r="D47" s="75"/>
      <c r="E47" s="75"/>
      <c r="F47" s="75"/>
      <c r="G47" s="75"/>
      <c r="H47" s="75"/>
      <c r="I47" s="75"/>
      <c r="J47" s="76" t="s">
        <v>57</v>
      </c>
      <c r="K47" s="76"/>
      <c r="L47" s="76"/>
      <c r="M47" s="76"/>
      <c r="N47" s="76" t="s">
        <v>29</v>
      </c>
      <c r="O47" s="76"/>
      <c r="P47" s="76"/>
      <c r="Q47" s="76"/>
      <c r="R47" s="57">
        <v>0.23</v>
      </c>
      <c r="S47" s="57"/>
      <c r="T47" s="74">
        <f>R47</f>
        <v>0.23</v>
      </c>
      <c r="U47" s="74"/>
      <c r="V47" s="74"/>
      <c r="W47" s="74"/>
      <c r="X47" s="21">
        <f t="shared" si="0"/>
        <v>260.86956521739131</v>
      </c>
      <c r="Y47" s="21">
        <f t="shared" si="1"/>
        <v>247.82608695652172</v>
      </c>
      <c r="Z47" s="22">
        <f t="shared" si="2"/>
        <v>0.75611880927724917</v>
      </c>
      <c r="AA47" s="23">
        <v>1</v>
      </c>
    </row>
    <row r="48" spans="1:27" ht="46.8">
      <c r="A48" s="34">
        <v>8</v>
      </c>
      <c r="B48" s="55" t="s">
        <v>71</v>
      </c>
      <c r="C48" s="55"/>
      <c r="D48" s="55"/>
      <c r="E48" s="55"/>
      <c r="F48" s="55"/>
      <c r="G48" s="55"/>
      <c r="H48" s="55"/>
      <c r="I48" s="55"/>
      <c r="J48" s="56" t="s">
        <v>50</v>
      </c>
      <c r="K48" s="56"/>
      <c r="L48" s="56"/>
      <c r="M48" s="56"/>
      <c r="N48" s="56" t="s">
        <v>29</v>
      </c>
      <c r="O48" s="56"/>
      <c r="P48" s="56"/>
      <c r="Q48" s="56"/>
      <c r="R48" s="57">
        <v>0.27</v>
      </c>
      <c r="S48" s="57"/>
      <c r="T48" s="57">
        <f>R48</f>
        <v>0.27</v>
      </c>
      <c r="U48" s="57"/>
      <c r="V48" s="57"/>
      <c r="W48" s="57"/>
      <c r="X48" s="21">
        <f t="shared" si="0"/>
        <v>222.2222222222222</v>
      </c>
      <c r="Y48" s="21">
        <f t="shared" si="1"/>
        <v>211.11111111111109</v>
      </c>
      <c r="Z48" s="22">
        <f t="shared" si="2"/>
        <v>0.88761773262981425</v>
      </c>
      <c r="AA48" s="23">
        <v>1</v>
      </c>
    </row>
    <row r="49" spans="1:27" ht="45.6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86" t="s">
        <v>53</v>
      </c>
      <c r="O49" s="86"/>
      <c r="P49" s="86"/>
      <c r="Q49" s="86"/>
      <c r="R49" s="86">
        <f>SUM(R41:S48)</f>
        <v>3.73</v>
      </c>
      <c r="S49" s="86"/>
      <c r="T49" s="86">
        <f>SUM(T41:U48)</f>
        <v>3.3299999999999996</v>
      </c>
      <c r="U49" s="86"/>
      <c r="V49" s="86">
        <f>SUM(V41:W48)</f>
        <v>0.4</v>
      </c>
      <c r="W49" s="86"/>
      <c r="X49" s="21"/>
      <c r="Y49" s="21"/>
      <c r="Z49" s="22"/>
      <c r="AA49" s="26">
        <f>SUM(AA41:AA48)</f>
        <v>13.5</v>
      </c>
    </row>
    <row r="50" spans="1:27" ht="46.2">
      <c r="A50" s="27"/>
      <c r="B50" s="28" t="s">
        <v>72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18"/>
      <c r="S50" s="18"/>
      <c r="T50" s="18"/>
      <c r="U50" s="18"/>
      <c r="V50" s="18"/>
      <c r="W50" s="18"/>
      <c r="X50" s="30"/>
      <c r="Y50" s="30"/>
      <c r="Z50" s="30"/>
      <c r="AA50" s="30"/>
    </row>
    <row r="51" spans="1:27" ht="46.8">
      <c r="A51" s="35">
        <v>1</v>
      </c>
      <c r="B51" s="70" t="s">
        <v>73</v>
      </c>
      <c r="C51" s="71"/>
      <c r="D51" s="71"/>
      <c r="E51" s="71"/>
      <c r="F51" s="71"/>
      <c r="G51" s="71"/>
      <c r="H51" s="71"/>
      <c r="I51" s="72"/>
      <c r="J51" s="65" t="s">
        <v>74</v>
      </c>
      <c r="K51" s="66"/>
      <c r="L51" s="66"/>
      <c r="M51" s="67"/>
      <c r="N51" s="65" t="s">
        <v>29</v>
      </c>
      <c r="O51" s="66"/>
      <c r="P51" s="66"/>
      <c r="Q51" s="67"/>
      <c r="R51" s="68">
        <v>0.3</v>
      </c>
      <c r="S51" s="69"/>
      <c r="T51" s="68"/>
      <c r="U51" s="69"/>
      <c r="V51" s="68">
        <f>R51</f>
        <v>0.3</v>
      </c>
      <c r="W51" s="69"/>
      <c r="X51" s="21">
        <f t="shared" si="0"/>
        <v>200</v>
      </c>
      <c r="Y51" s="21">
        <f t="shared" si="1"/>
        <v>190</v>
      </c>
      <c r="Z51" s="22">
        <f t="shared" si="2"/>
        <v>0.98624192514423792</v>
      </c>
      <c r="AA51" s="23">
        <v>1</v>
      </c>
    </row>
    <row r="52" spans="1:27" s="33" customFormat="1" ht="46.8">
      <c r="A52" s="32">
        <v>2</v>
      </c>
      <c r="B52" s="90" t="s">
        <v>75</v>
      </c>
      <c r="C52" s="91"/>
      <c r="D52" s="91"/>
      <c r="E52" s="91"/>
      <c r="F52" s="91"/>
      <c r="G52" s="91"/>
      <c r="H52" s="91"/>
      <c r="I52" s="92"/>
      <c r="J52" s="93" t="s">
        <v>28</v>
      </c>
      <c r="K52" s="94"/>
      <c r="L52" s="94"/>
      <c r="M52" s="95"/>
      <c r="N52" s="93" t="s">
        <v>29</v>
      </c>
      <c r="O52" s="94"/>
      <c r="P52" s="94"/>
      <c r="Q52" s="95"/>
      <c r="R52" s="96">
        <v>0.52</v>
      </c>
      <c r="S52" s="97"/>
      <c r="T52" s="96">
        <f>R52</f>
        <v>0.52</v>
      </c>
      <c r="U52" s="97"/>
      <c r="V52" s="96"/>
      <c r="W52" s="97"/>
      <c r="X52" s="36">
        <f t="shared" si="0"/>
        <v>115.38461538461539</v>
      </c>
      <c r="Y52" s="36">
        <f t="shared" si="1"/>
        <v>109.61538461538461</v>
      </c>
      <c r="Z52" s="37">
        <f t="shared" si="2"/>
        <v>1.7094860035833457</v>
      </c>
      <c r="AA52" s="38">
        <v>2</v>
      </c>
    </row>
    <row r="53" spans="1:27" ht="46.8">
      <c r="A53" s="35">
        <v>3</v>
      </c>
      <c r="B53" s="70" t="s">
        <v>76</v>
      </c>
      <c r="C53" s="71"/>
      <c r="D53" s="71"/>
      <c r="E53" s="71"/>
      <c r="F53" s="71"/>
      <c r="G53" s="71"/>
      <c r="H53" s="71"/>
      <c r="I53" s="72"/>
      <c r="J53" s="65" t="s">
        <v>46</v>
      </c>
      <c r="K53" s="66"/>
      <c r="L53" s="66"/>
      <c r="M53" s="67"/>
      <c r="N53" s="65" t="s">
        <v>29</v>
      </c>
      <c r="O53" s="66"/>
      <c r="P53" s="66"/>
      <c r="Q53" s="67"/>
      <c r="R53" s="68">
        <v>0.26</v>
      </c>
      <c r="S53" s="69"/>
      <c r="T53" s="68"/>
      <c r="U53" s="69"/>
      <c r="V53" s="68">
        <f>R53</f>
        <v>0.26</v>
      </c>
      <c r="W53" s="69"/>
      <c r="X53" s="21">
        <f t="shared" si="0"/>
        <v>230.76923076923077</v>
      </c>
      <c r="Y53" s="21">
        <f t="shared" si="1"/>
        <v>219.23076923076923</v>
      </c>
      <c r="Z53" s="22">
        <f t="shared" si="2"/>
        <v>0.85474300179167284</v>
      </c>
      <c r="AA53" s="23">
        <v>1</v>
      </c>
    </row>
    <row r="54" spans="1:27" ht="46.8">
      <c r="A54" s="32">
        <v>4</v>
      </c>
      <c r="B54" s="70" t="s">
        <v>77</v>
      </c>
      <c r="C54" s="71"/>
      <c r="D54" s="71"/>
      <c r="E54" s="71"/>
      <c r="F54" s="71"/>
      <c r="G54" s="71"/>
      <c r="H54" s="71"/>
      <c r="I54" s="72"/>
      <c r="J54" s="65" t="s">
        <v>41</v>
      </c>
      <c r="K54" s="66"/>
      <c r="L54" s="66"/>
      <c r="M54" s="67"/>
      <c r="N54" s="65" t="s">
        <v>29</v>
      </c>
      <c r="O54" s="66"/>
      <c r="P54" s="66"/>
      <c r="Q54" s="67"/>
      <c r="R54" s="68">
        <v>0.25</v>
      </c>
      <c r="S54" s="69"/>
      <c r="T54" s="68"/>
      <c r="U54" s="69"/>
      <c r="V54" s="68">
        <f>R54</f>
        <v>0.25</v>
      </c>
      <c r="W54" s="69"/>
      <c r="X54" s="21">
        <f t="shared" si="0"/>
        <v>240</v>
      </c>
      <c r="Y54" s="21">
        <f t="shared" si="1"/>
        <v>228</v>
      </c>
      <c r="Z54" s="22">
        <f t="shared" si="2"/>
        <v>0.82186827095353154</v>
      </c>
      <c r="AA54" s="23">
        <v>1</v>
      </c>
    </row>
    <row r="55" spans="1:27" ht="46.8">
      <c r="A55" s="35">
        <v>5</v>
      </c>
      <c r="B55" s="70" t="s">
        <v>78</v>
      </c>
      <c r="C55" s="71"/>
      <c r="D55" s="71"/>
      <c r="E55" s="71"/>
      <c r="F55" s="71"/>
      <c r="G55" s="71"/>
      <c r="H55" s="71"/>
      <c r="I55" s="72"/>
      <c r="J55" s="65" t="s">
        <v>79</v>
      </c>
      <c r="K55" s="66"/>
      <c r="L55" s="66"/>
      <c r="M55" s="67"/>
      <c r="N55" s="65" t="s">
        <v>29</v>
      </c>
      <c r="O55" s="66"/>
      <c r="P55" s="66"/>
      <c r="Q55" s="67"/>
      <c r="R55" s="68">
        <v>0.25</v>
      </c>
      <c r="S55" s="69"/>
      <c r="T55" s="68"/>
      <c r="U55" s="69"/>
      <c r="V55" s="68">
        <f>R55</f>
        <v>0.25</v>
      </c>
      <c r="W55" s="69"/>
      <c r="X55" s="21">
        <f t="shared" si="0"/>
        <v>240</v>
      </c>
      <c r="Y55" s="21">
        <f t="shared" si="1"/>
        <v>228</v>
      </c>
      <c r="Z55" s="22">
        <f t="shared" si="2"/>
        <v>0.82186827095353154</v>
      </c>
      <c r="AA55" s="23">
        <v>1</v>
      </c>
    </row>
    <row r="56" spans="1:27" ht="46.8">
      <c r="A56" s="32">
        <v>6</v>
      </c>
      <c r="B56" s="70" t="s">
        <v>80</v>
      </c>
      <c r="C56" s="71"/>
      <c r="D56" s="71"/>
      <c r="E56" s="71"/>
      <c r="F56" s="71"/>
      <c r="G56" s="71"/>
      <c r="H56" s="71"/>
      <c r="I56" s="72"/>
      <c r="J56" s="65" t="s">
        <v>44</v>
      </c>
      <c r="K56" s="66"/>
      <c r="L56" s="66"/>
      <c r="M56" s="67"/>
      <c r="N56" s="65" t="s">
        <v>29</v>
      </c>
      <c r="O56" s="66"/>
      <c r="P56" s="66"/>
      <c r="Q56" s="67"/>
      <c r="R56" s="68">
        <v>0.45</v>
      </c>
      <c r="S56" s="69"/>
      <c r="T56" s="68"/>
      <c r="U56" s="69"/>
      <c r="V56" s="68">
        <f>R56</f>
        <v>0.45</v>
      </c>
      <c r="W56" s="69"/>
      <c r="X56" s="21">
        <f t="shared" si="0"/>
        <v>133.33333333333334</v>
      </c>
      <c r="Y56" s="21">
        <f t="shared" si="1"/>
        <v>126.66666666666667</v>
      </c>
      <c r="Z56" s="22">
        <f t="shared" si="2"/>
        <v>1.4793628877163567</v>
      </c>
      <c r="AA56" s="23">
        <v>1.5</v>
      </c>
    </row>
    <row r="57" spans="1:27" s="33" customFormat="1" ht="46.8">
      <c r="A57" s="35">
        <v>7</v>
      </c>
      <c r="B57" s="90" t="s">
        <v>81</v>
      </c>
      <c r="C57" s="91"/>
      <c r="D57" s="91"/>
      <c r="E57" s="91"/>
      <c r="F57" s="91"/>
      <c r="G57" s="91"/>
      <c r="H57" s="91"/>
      <c r="I57" s="92"/>
      <c r="J57" s="93" t="s">
        <v>28</v>
      </c>
      <c r="K57" s="94"/>
      <c r="L57" s="94"/>
      <c r="M57" s="95"/>
      <c r="N57" s="93" t="s">
        <v>29</v>
      </c>
      <c r="O57" s="94"/>
      <c r="P57" s="94"/>
      <c r="Q57" s="95"/>
      <c r="R57" s="96">
        <v>0.52</v>
      </c>
      <c r="S57" s="97"/>
      <c r="T57" s="96">
        <f>R57</f>
        <v>0.52</v>
      </c>
      <c r="U57" s="97"/>
      <c r="V57" s="96"/>
      <c r="W57" s="97"/>
      <c r="X57" s="36">
        <f t="shared" si="0"/>
        <v>115.38461538461539</v>
      </c>
      <c r="Y57" s="36">
        <f t="shared" si="1"/>
        <v>109.61538461538461</v>
      </c>
      <c r="Z57" s="37">
        <f t="shared" si="2"/>
        <v>1.7094860035833457</v>
      </c>
      <c r="AA57" s="38">
        <v>2</v>
      </c>
    </row>
    <row r="58" spans="1:27" ht="46.8">
      <c r="A58" s="32">
        <v>8</v>
      </c>
      <c r="B58" s="70" t="s">
        <v>82</v>
      </c>
      <c r="C58" s="71"/>
      <c r="D58" s="71"/>
      <c r="E58" s="71"/>
      <c r="F58" s="71"/>
      <c r="G58" s="71"/>
      <c r="H58" s="71"/>
      <c r="I58" s="72"/>
      <c r="J58" s="65" t="s">
        <v>57</v>
      </c>
      <c r="K58" s="66"/>
      <c r="L58" s="66"/>
      <c r="M58" s="67"/>
      <c r="N58" s="65" t="s">
        <v>29</v>
      </c>
      <c r="O58" s="66"/>
      <c r="P58" s="66"/>
      <c r="Q58" s="67"/>
      <c r="R58" s="68">
        <v>0.28999999999999998</v>
      </c>
      <c r="S58" s="69"/>
      <c r="T58" s="68">
        <f>R58</f>
        <v>0.28999999999999998</v>
      </c>
      <c r="U58" s="69"/>
      <c r="V58" s="68"/>
      <c r="W58" s="69"/>
      <c r="X58" s="21">
        <f t="shared" si="0"/>
        <v>206.89655172413794</v>
      </c>
      <c r="Y58" s="21">
        <f t="shared" si="1"/>
        <v>196.55172413793102</v>
      </c>
      <c r="Z58" s="22">
        <f t="shared" si="2"/>
        <v>0.95336719430609673</v>
      </c>
      <c r="AA58" s="23">
        <v>1</v>
      </c>
    </row>
    <row r="59" spans="1:27" ht="46.8">
      <c r="A59" s="35">
        <v>9</v>
      </c>
      <c r="B59" s="99" t="s">
        <v>83</v>
      </c>
      <c r="C59" s="100"/>
      <c r="D59" s="100"/>
      <c r="E59" s="100"/>
      <c r="F59" s="100"/>
      <c r="G59" s="100"/>
      <c r="H59" s="100"/>
      <c r="I59" s="101"/>
      <c r="J59" s="65" t="s">
        <v>84</v>
      </c>
      <c r="K59" s="66"/>
      <c r="L59" s="66"/>
      <c r="M59" s="67"/>
      <c r="N59" s="65" t="s">
        <v>29</v>
      </c>
      <c r="O59" s="66"/>
      <c r="P59" s="66"/>
      <c r="Q59" s="67"/>
      <c r="R59" s="68">
        <v>0.25</v>
      </c>
      <c r="S59" s="69"/>
      <c r="T59" s="68">
        <f>R59</f>
        <v>0.25</v>
      </c>
      <c r="U59" s="69"/>
      <c r="V59" s="68"/>
      <c r="W59" s="69"/>
      <c r="X59" s="21">
        <f t="shared" si="0"/>
        <v>240</v>
      </c>
      <c r="Y59" s="21">
        <f t="shared" si="1"/>
        <v>228</v>
      </c>
      <c r="Z59" s="22">
        <f t="shared" si="2"/>
        <v>0.82186827095353154</v>
      </c>
      <c r="AA59" s="23">
        <v>1</v>
      </c>
    </row>
    <row r="60" spans="1:27" ht="46.8">
      <c r="A60" s="32">
        <v>10</v>
      </c>
      <c r="B60" s="98" t="s">
        <v>114</v>
      </c>
      <c r="C60" s="98"/>
      <c r="D60" s="98"/>
      <c r="E60" s="98"/>
      <c r="F60" s="98"/>
      <c r="G60" s="98"/>
      <c r="H60" s="98"/>
      <c r="I60" s="98"/>
      <c r="J60" s="66" t="s">
        <v>84</v>
      </c>
      <c r="K60" s="66"/>
      <c r="L60" s="66"/>
      <c r="M60" s="67"/>
      <c r="N60" s="65" t="s">
        <v>29</v>
      </c>
      <c r="O60" s="66"/>
      <c r="P60" s="66"/>
      <c r="Q60" s="67"/>
      <c r="R60" s="68">
        <v>0.2</v>
      </c>
      <c r="S60" s="69"/>
      <c r="T60" s="68">
        <f>R60</f>
        <v>0.2</v>
      </c>
      <c r="U60" s="69"/>
      <c r="V60" s="68"/>
      <c r="W60" s="69"/>
      <c r="X60" s="21">
        <f t="shared" si="0"/>
        <v>300</v>
      </c>
      <c r="Y60" s="21">
        <f t="shared" si="1"/>
        <v>285</v>
      </c>
      <c r="Z60" s="22">
        <f t="shared" si="2"/>
        <v>0.65749461676282528</v>
      </c>
      <c r="AA60" s="23">
        <v>1</v>
      </c>
    </row>
    <row r="61" spans="1:27" ht="46.2">
      <c r="A61" s="3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86" t="s">
        <v>53</v>
      </c>
      <c r="O61" s="86"/>
      <c r="P61" s="86"/>
      <c r="Q61" s="86"/>
      <c r="R61" s="86">
        <f>SUM(R51:S60)</f>
        <v>3.2900000000000005</v>
      </c>
      <c r="S61" s="86"/>
      <c r="T61" s="86">
        <f>SUM(T51:U60)</f>
        <v>1.78</v>
      </c>
      <c r="U61" s="86"/>
      <c r="V61" s="86">
        <f>SUM(V51:W60)</f>
        <v>1.51</v>
      </c>
      <c r="W61" s="86"/>
      <c r="X61" s="21"/>
      <c r="Y61" s="21"/>
      <c r="Z61" s="22"/>
      <c r="AA61" s="26">
        <f>SUM(AA51:AA60)</f>
        <v>12.5</v>
      </c>
    </row>
    <row r="62" spans="1:27" ht="46.2">
      <c r="A62" s="27"/>
      <c r="B62" s="28" t="s">
        <v>85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18"/>
      <c r="S62" s="18"/>
      <c r="T62" s="18"/>
      <c r="U62" s="18"/>
      <c r="V62" s="18"/>
      <c r="W62" s="18"/>
      <c r="X62" s="30"/>
      <c r="Y62" s="30"/>
      <c r="Z62" s="30"/>
      <c r="AA62" s="30"/>
    </row>
    <row r="63" spans="1:27" ht="84.75" customHeight="1">
      <c r="A63" s="35">
        <v>1</v>
      </c>
      <c r="B63" s="102" t="s">
        <v>86</v>
      </c>
      <c r="C63" s="103"/>
      <c r="D63" s="103"/>
      <c r="E63" s="103"/>
      <c r="F63" s="103"/>
      <c r="G63" s="103"/>
      <c r="H63" s="103"/>
      <c r="I63" s="104"/>
      <c r="J63" s="65" t="s">
        <v>87</v>
      </c>
      <c r="K63" s="66"/>
      <c r="L63" s="66"/>
      <c r="M63" s="67"/>
      <c r="N63" s="65" t="s">
        <v>29</v>
      </c>
      <c r="O63" s="66"/>
      <c r="P63" s="66"/>
      <c r="Q63" s="67"/>
      <c r="R63" s="68">
        <v>0.52</v>
      </c>
      <c r="S63" s="69"/>
      <c r="T63" s="68">
        <f t="shared" ref="T63:T68" si="5">R63</f>
        <v>0.52</v>
      </c>
      <c r="U63" s="69"/>
      <c r="V63" s="68"/>
      <c r="W63" s="69"/>
      <c r="X63" s="21">
        <f t="shared" si="0"/>
        <v>115.38461538461539</v>
      </c>
      <c r="Y63" s="21">
        <f t="shared" si="1"/>
        <v>109.61538461538461</v>
      </c>
      <c r="Z63" s="22">
        <f t="shared" si="2"/>
        <v>1.7094860035833457</v>
      </c>
      <c r="AA63" s="23">
        <v>2</v>
      </c>
    </row>
    <row r="64" spans="1:27" ht="46.8">
      <c r="A64" s="35">
        <v>2</v>
      </c>
      <c r="B64" s="70" t="s">
        <v>88</v>
      </c>
      <c r="C64" s="71"/>
      <c r="D64" s="71"/>
      <c r="E64" s="71"/>
      <c r="F64" s="71"/>
      <c r="G64" s="71"/>
      <c r="H64" s="71"/>
      <c r="I64" s="72"/>
      <c r="J64" s="65" t="s">
        <v>28</v>
      </c>
      <c r="K64" s="66"/>
      <c r="L64" s="66"/>
      <c r="M64" s="67"/>
      <c r="N64" s="65" t="s">
        <v>29</v>
      </c>
      <c r="O64" s="66"/>
      <c r="P64" s="66"/>
      <c r="Q64" s="67"/>
      <c r="R64" s="68">
        <v>0.22</v>
      </c>
      <c r="S64" s="69"/>
      <c r="T64" s="68">
        <f t="shared" si="5"/>
        <v>0.22</v>
      </c>
      <c r="U64" s="69"/>
      <c r="V64" s="68"/>
      <c r="W64" s="69"/>
      <c r="X64" s="21">
        <f t="shared" si="0"/>
        <v>272.72727272727275</v>
      </c>
      <c r="Y64" s="21">
        <f t="shared" si="1"/>
        <v>259.09090909090912</v>
      </c>
      <c r="Z64" s="22">
        <f t="shared" si="2"/>
        <v>0.72324407843910776</v>
      </c>
      <c r="AA64" s="23">
        <v>1</v>
      </c>
    </row>
    <row r="65" spans="1:27" ht="46.8">
      <c r="A65" s="35">
        <v>3</v>
      </c>
      <c r="B65" s="70" t="s">
        <v>89</v>
      </c>
      <c r="C65" s="71"/>
      <c r="D65" s="71"/>
      <c r="E65" s="71"/>
      <c r="F65" s="71"/>
      <c r="G65" s="71"/>
      <c r="H65" s="71"/>
      <c r="I65" s="72"/>
      <c r="J65" s="65" t="s">
        <v>28</v>
      </c>
      <c r="K65" s="66"/>
      <c r="L65" s="66"/>
      <c r="M65" s="67"/>
      <c r="N65" s="65" t="s">
        <v>29</v>
      </c>
      <c r="O65" s="66"/>
      <c r="P65" s="66"/>
      <c r="Q65" s="67"/>
      <c r="R65" s="68">
        <v>0.22</v>
      </c>
      <c r="S65" s="69"/>
      <c r="T65" s="68">
        <f>R65</f>
        <v>0.22</v>
      </c>
      <c r="U65" s="69"/>
      <c r="V65" s="68"/>
      <c r="W65" s="73"/>
      <c r="X65" s="21">
        <f t="shared" si="0"/>
        <v>272.72727272727275</v>
      </c>
      <c r="Y65" s="21">
        <f t="shared" si="1"/>
        <v>259.09090909090912</v>
      </c>
      <c r="Z65" s="22">
        <f t="shared" si="2"/>
        <v>0.72324407843910776</v>
      </c>
      <c r="AA65" s="23">
        <v>1</v>
      </c>
    </row>
    <row r="66" spans="1:27" ht="46.8">
      <c r="A66" s="35">
        <v>4</v>
      </c>
      <c r="B66" s="70" t="s">
        <v>128</v>
      </c>
      <c r="C66" s="71"/>
      <c r="D66" s="71"/>
      <c r="E66" s="71"/>
      <c r="F66" s="71"/>
      <c r="G66" s="71"/>
      <c r="H66" s="71"/>
      <c r="I66" s="72"/>
      <c r="J66" s="65" t="s">
        <v>28</v>
      </c>
      <c r="K66" s="66"/>
      <c r="L66" s="66"/>
      <c r="M66" s="67"/>
      <c r="N66" s="65" t="s">
        <v>29</v>
      </c>
      <c r="O66" s="66"/>
      <c r="P66" s="66"/>
      <c r="Q66" s="67"/>
      <c r="R66" s="68">
        <v>0.42</v>
      </c>
      <c r="S66" s="69"/>
      <c r="T66" s="68">
        <f>R66</f>
        <v>0.42</v>
      </c>
      <c r="U66" s="69"/>
      <c r="V66" s="68"/>
      <c r="W66" s="73"/>
      <c r="X66" s="21">
        <f t="shared" ref="X66" si="6">60/R66</f>
        <v>142.85714285714286</v>
      </c>
      <c r="Y66" s="21">
        <f t="shared" ref="Y66" si="7">X66*0.95</f>
        <v>135.71428571428572</v>
      </c>
      <c r="Z66" s="22">
        <f t="shared" ref="Z66" si="8">AA$5/Y66</f>
        <v>1.3807386952019329</v>
      </c>
      <c r="AA66" s="23">
        <v>1.5</v>
      </c>
    </row>
    <row r="67" spans="1:27" ht="46.8">
      <c r="A67" s="35">
        <v>5</v>
      </c>
      <c r="B67" s="70" t="s">
        <v>90</v>
      </c>
      <c r="C67" s="71"/>
      <c r="D67" s="71"/>
      <c r="E67" s="71"/>
      <c r="F67" s="71"/>
      <c r="G67" s="71"/>
      <c r="H67" s="71"/>
      <c r="I67" s="72"/>
      <c r="J67" s="65" t="s">
        <v>91</v>
      </c>
      <c r="K67" s="66"/>
      <c r="L67" s="66"/>
      <c r="M67" s="67"/>
      <c r="N67" s="65" t="s">
        <v>29</v>
      </c>
      <c r="O67" s="66"/>
      <c r="P67" s="66"/>
      <c r="Q67" s="67"/>
      <c r="R67" s="68">
        <v>0.85</v>
      </c>
      <c r="S67" s="69"/>
      <c r="T67" s="68">
        <f t="shared" si="5"/>
        <v>0.85</v>
      </c>
      <c r="U67" s="69"/>
      <c r="V67" s="68"/>
      <c r="W67" s="69"/>
      <c r="X67" s="21">
        <f t="shared" si="0"/>
        <v>70.588235294117652</v>
      </c>
      <c r="Y67" s="21">
        <f t="shared" si="1"/>
        <v>67.058823529411768</v>
      </c>
      <c r="Z67" s="22">
        <f t="shared" si="2"/>
        <v>2.7943521212420075</v>
      </c>
      <c r="AA67" s="23">
        <v>3</v>
      </c>
    </row>
    <row r="68" spans="1:27" ht="46.8">
      <c r="A68" s="35">
        <v>6</v>
      </c>
      <c r="B68" s="70" t="s">
        <v>92</v>
      </c>
      <c r="C68" s="71"/>
      <c r="D68" s="71"/>
      <c r="E68" s="71"/>
      <c r="F68" s="71"/>
      <c r="G68" s="71"/>
      <c r="H68" s="71"/>
      <c r="I68" s="72"/>
      <c r="J68" s="65" t="s">
        <v>28</v>
      </c>
      <c r="K68" s="66"/>
      <c r="L68" s="66"/>
      <c r="M68" s="67"/>
      <c r="N68" s="65" t="s">
        <v>29</v>
      </c>
      <c r="O68" s="66"/>
      <c r="P68" s="66"/>
      <c r="Q68" s="67"/>
      <c r="R68" s="68">
        <v>0.5</v>
      </c>
      <c r="S68" s="69"/>
      <c r="T68" s="68">
        <f t="shared" si="5"/>
        <v>0.5</v>
      </c>
      <c r="U68" s="69"/>
      <c r="V68" s="68"/>
      <c r="W68" s="69"/>
      <c r="X68" s="21">
        <f t="shared" si="0"/>
        <v>120</v>
      </c>
      <c r="Y68" s="21">
        <f t="shared" si="1"/>
        <v>114</v>
      </c>
      <c r="Z68" s="22">
        <f t="shared" si="2"/>
        <v>1.6437365419070631</v>
      </c>
      <c r="AA68" s="23">
        <v>2</v>
      </c>
    </row>
    <row r="69" spans="1:27" ht="45.6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86" t="s">
        <v>53</v>
      </c>
      <c r="O69" s="86"/>
      <c r="P69" s="86"/>
      <c r="Q69" s="86"/>
      <c r="R69" s="86">
        <f>SUM(R63:S68)</f>
        <v>2.73</v>
      </c>
      <c r="S69" s="86"/>
      <c r="T69" s="86">
        <f>SUM(T63:U68)</f>
        <v>2.73</v>
      </c>
      <c r="U69" s="86"/>
      <c r="V69" s="86">
        <f>SUM(V63:W68)</f>
        <v>0</v>
      </c>
      <c r="W69" s="86"/>
      <c r="X69" s="21"/>
      <c r="Y69" s="21"/>
      <c r="Z69" s="22"/>
      <c r="AA69" s="26">
        <f>SUM(AA63:AA68)</f>
        <v>10.5</v>
      </c>
    </row>
    <row r="70" spans="1:27" ht="46.2">
      <c r="A70" s="27"/>
      <c r="B70" s="28" t="s">
        <v>93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18"/>
      <c r="S70" s="18"/>
      <c r="T70" s="18"/>
      <c r="U70" s="18"/>
      <c r="V70" s="18"/>
      <c r="W70" s="18"/>
      <c r="X70" s="30"/>
      <c r="Y70" s="30"/>
      <c r="Z70" s="30"/>
      <c r="AA70" s="30"/>
    </row>
    <row r="71" spans="1:27" ht="46.8">
      <c r="A71" s="35">
        <v>1</v>
      </c>
      <c r="B71" s="70" t="s">
        <v>94</v>
      </c>
      <c r="C71" s="71"/>
      <c r="D71" s="71"/>
      <c r="E71" s="71"/>
      <c r="F71" s="71"/>
      <c r="G71" s="71"/>
      <c r="H71" s="71"/>
      <c r="I71" s="72"/>
      <c r="J71" s="65" t="s">
        <v>62</v>
      </c>
      <c r="K71" s="66"/>
      <c r="L71" s="66"/>
      <c r="M71" s="67"/>
      <c r="N71" s="65" t="s">
        <v>29</v>
      </c>
      <c r="O71" s="66"/>
      <c r="P71" s="66"/>
      <c r="Q71" s="67"/>
      <c r="R71" s="68">
        <v>0.6</v>
      </c>
      <c r="S71" s="69"/>
      <c r="T71" s="68"/>
      <c r="U71" s="69"/>
      <c r="V71" s="68">
        <f>R71</f>
        <v>0.6</v>
      </c>
      <c r="W71" s="69"/>
      <c r="X71" s="21">
        <f t="shared" ref="X71" si="9">60/R71</f>
        <v>100</v>
      </c>
      <c r="Y71" s="21">
        <f t="shared" ref="Y71" si="10">X71*0.95</f>
        <v>95</v>
      </c>
      <c r="Z71" s="22">
        <f t="shared" ref="Z71" si="11">AA$5/Y71</f>
        <v>1.9724838502884758</v>
      </c>
      <c r="AA71" s="23">
        <v>2</v>
      </c>
    </row>
    <row r="72" spans="1:27" ht="46.8">
      <c r="A72" s="35">
        <v>2</v>
      </c>
      <c r="B72" s="70" t="s">
        <v>95</v>
      </c>
      <c r="C72" s="71"/>
      <c r="D72" s="71"/>
      <c r="E72" s="71"/>
      <c r="F72" s="71"/>
      <c r="G72" s="71"/>
      <c r="H72" s="71"/>
      <c r="I72" s="72"/>
      <c r="J72" s="65" t="s">
        <v>28</v>
      </c>
      <c r="K72" s="66"/>
      <c r="L72" s="66"/>
      <c r="M72" s="67"/>
      <c r="N72" s="65" t="s">
        <v>96</v>
      </c>
      <c r="O72" s="66"/>
      <c r="P72" s="66"/>
      <c r="Q72" s="67"/>
      <c r="R72" s="68">
        <v>0.65</v>
      </c>
      <c r="S72" s="69"/>
      <c r="T72" s="68">
        <f t="shared" ref="T72:T77" si="12">R72</f>
        <v>0.65</v>
      </c>
      <c r="U72" s="69"/>
      <c r="V72" s="68"/>
      <c r="W72" s="69"/>
      <c r="X72" s="21">
        <f t="shared" si="0"/>
        <v>92.307692307692307</v>
      </c>
      <c r="Y72" s="21">
        <f t="shared" si="1"/>
        <v>87.692307692307693</v>
      </c>
      <c r="Z72" s="22">
        <f t="shared" si="2"/>
        <v>2.136857504479182</v>
      </c>
      <c r="AA72" s="23">
        <v>2.5</v>
      </c>
    </row>
    <row r="73" spans="1:27" ht="46.8">
      <c r="A73" s="35">
        <v>3</v>
      </c>
      <c r="B73" s="70" t="s">
        <v>130</v>
      </c>
      <c r="C73" s="71"/>
      <c r="D73" s="71"/>
      <c r="E73" s="71"/>
      <c r="F73" s="71"/>
      <c r="G73" s="71"/>
      <c r="H73" s="71"/>
      <c r="I73" s="72"/>
      <c r="J73" s="65" t="s">
        <v>28</v>
      </c>
      <c r="K73" s="66"/>
      <c r="L73" s="66"/>
      <c r="M73" s="67"/>
      <c r="N73" s="65" t="s">
        <v>29</v>
      </c>
      <c r="O73" s="66"/>
      <c r="P73" s="66"/>
      <c r="Q73" s="67"/>
      <c r="R73" s="68">
        <v>0.74</v>
      </c>
      <c r="S73" s="69"/>
      <c r="T73" s="68">
        <f t="shared" si="12"/>
        <v>0.74</v>
      </c>
      <c r="U73" s="69"/>
      <c r="V73" s="68"/>
      <c r="W73" s="69"/>
      <c r="X73" s="21">
        <f t="shared" si="0"/>
        <v>81.081081081081081</v>
      </c>
      <c r="Y73" s="21">
        <f t="shared" si="1"/>
        <v>77.027027027027017</v>
      </c>
      <c r="Z73" s="22">
        <f t="shared" si="2"/>
        <v>2.432730082022454</v>
      </c>
      <c r="AA73" s="23">
        <v>2.5</v>
      </c>
    </row>
    <row r="74" spans="1:27" ht="46.8">
      <c r="A74" s="35">
        <v>4</v>
      </c>
      <c r="B74" s="70" t="s">
        <v>131</v>
      </c>
      <c r="C74" s="71"/>
      <c r="D74" s="71"/>
      <c r="E74" s="71"/>
      <c r="F74" s="71"/>
      <c r="G74" s="71"/>
      <c r="H74" s="71"/>
      <c r="I74" s="72"/>
      <c r="J74" s="65" t="s">
        <v>28</v>
      </c>
      <c r="K74" s="66"/>
      <c r="L74" s="66"/>
      <c r="M74" s="67"/>
      <c r="N74" s="65" t="s">
        <v>29</v>
      </c>
      <c r="O74" s="66"/>
      <c r="P74" s="66"/>
      <c r="Q74" s="67"/>
      <c r="R74" s="68">
        <v>1</v>
      </c>
      <c r="S74" s="69"/>
      <c r="T74" s="68">
        <f t="shared" si="12"/>
        <v>1</v>
      </c>
      <c r="U74" s="69"/>
      <c r="V74" s="68"/>
      <c r="W74" s="69"/>
      <c r="X74" s="21">
        <f t="shared" si="0"/>
        <v>60</v>
      </c>
      <c r="Y74" s="21">
        <f t="shared" si="1"/>
        <v>57</v>
      </c>
      <c r="Z74" s="22">
        <f t="shared" si="2"/>
        <v>3.2874730838141262</v>
      </c>
      <c r="AA74" s="23">
        <v>3.5</v>
      </c>
    </row>
    <row r="75" spans="1:27" s="33" customFormat="1" ht="46.8">
      <c r="A75" s="35">
        <v>5</v>
      </c>
      <c r="B75" s="90" t="s">
        <v>132</v>
      </c>
      <c r="C75" s="91"/>
      <c r="D75" s="91"/>
      <c r="E75" s="91"/>
      <c r="F75" s="91"/>
      <c r="G75" s="91"/>
      <c r="H75" s="91"/>
      <c r="I75" s="92"/>
      <c r="J75" s="93" t="s">
        <v>97</v>
      </c>
      <c r="K75" s="94"/>
      <c r="L75" s="94"/>
      <c r="M75" s="95"/>
      <c r="N75" s="93" t="s">
        <v>98</v>
      </c>
      <c r="O75" s="94"/>
      <c r="P75" s="94"/>
      <c r="Q75" s="95"/>
      <c r="R75" s="96">
        <v>1.1200000000000001</v>
      </c>
      <c r="S75" s="97"/>
      <c r="T75" s="96">
        <f t="shared" si="12"/>
        <v>1.1200000000000001</v>
      </c>
      <c r="U75" s="97"/>
      <c r="V75" s="96"/>
      <c r="W75" s="97"/>
      <c r="X75" s="21">
        <f t="shared" si="0"/>
        <v>53.571428571428569</v>
      </c>
      <c r="Y75" s="21">
        <f t="shared" si="1"/>
        <v>50.892857142857139</v>
      </c>
      <c r="Z75" s="22">
        <f t="shared" si="2"/>
        <v>3.6819698538718217</v>
      </c>
      <c r="AA75" s="23">
        <v>4</v>
      </c>
    </row>
    <row r="76" spans="1:27" ht="46.8">
      <c r="A76" s="35">
        <v>6</v>
      </c>
      <c r="B76" s="70" t="s">
        <v>118</v>
      </c>
      <c r="C76" s="71"/>
      <c r="D76" s="71"/>
      <c r="E76" s="71"/>
      <c r="F76" s="71"/>
      <c r="G76" s="71"/>
      <c r="H76" s="71"/>
      <c r="I76" s="72"/>
      <c r="J76" s="65" t="s">
        <v>28</v>
      </c>
      <c r="K76" s="66"/>
      <c r="L76" s="66"/>
      <c r="M76" s="67"/>
      <c r="N76" s="65" t="s">
        <v>29</v>
      </c>
      <c r="O76" s="66"/>
      <c r="P76" s="66"/>
      <c r="Q76" s="67"/>
      <c r="R76" s="68">
        <v>0.75</v>
      </c>
      <c r="S76" s="69"/>
      <c r="T76" s="68">
        <f t="shared" si="12"/>
        <v>0.75</v>
      </c>
      <c r="U76" s="69"/>
      <c r="V76" s="68"/>
      <c r="W76" s="69"/>
      <c r="X76" s="21">
        <f t="shared" si="0"/>
        <v>80</v>
      </c>
      <c r="Y76" s="21">
        <f t="shared" si="1"/>
        <v>76</v>
      </c>
      <c r="Z76" s="22">
        <f t="shared" si="2"/>
        <v>2.4656048128605947</v>
      </c>
      <c r="AA76" s="23">
        <v>2.5</v>
      </c>
    </row>
    <row r="77" spans="1:27" s="33" customFormat="1" ht="46.8">
      <c r="A77" s="35">
        <v>7</v>
      </c>
      <c r="B77" s="90" t="s">
        <v>99</v>
      </c>
      <c r="C77" s="91"/>
      <c r="D77" s="91"/>
      <c r="E77" s="91"/>
      <c r="F77" s="91"/>
      <c r="G77" s="91"/>
      <c r="H77" s="91"/>
      <c r="I77" s="92"/>
      <c r="J77" s="93" t="s">
        <v>100</v>
      </c>
      <c r="K77" s="94"/>
      <c r="L77" s="94"/>
      <c r="M77" s="95"/>
      <c r="N77" s="93" t="s">
        <v>101</v>
      </c>
      <c r="O77" s="94"/>
      <c r="P77" s="94"/>
      <c r="Q77" s="95"/>
      <c r="R77" s="96">
        <v>1.38</v>
      </c>
      <c r="S77" s="97"/>
      <c r="T77" s="96">
        <f t="shared" si="12"/>
        <v>1.38</v>
      </c>
      <c r="U77" s="97"/>
      <c r="V77" s="96"/>
      <c r="W77" s="97"/>
      <c r="X77" s="21">
        <f t="shared" ref="X77:X82" si="13">60/R77</f>
        <v>43.478260869565219</v>
      </c>
      <c r="Y77" s="21">
        <f t="shared" ref="Y77:Y82" si="14">X77*0.95</f>
        <v>41.304347826086953</v>
      </c>
      <c r="Z77" s="22">
        <f t="shared" ref="Z77:Z82" si="15">AA$5/Y77</f>
        <v>4.5367128556634944</v>
      </c>
      <c r="AA77" s="23">
        <v>4.5</v>
      </c>
    </row>
    <row r="78" spans="1:27" ht="46.8">
      <c r="A78" s="35">
        <v>8</v>
      </c>
      <c r="B78" s="70" t="s">
        <v>133</v>
      </c>
      <c r="C78" s="71"/>
      <c r="D78" s="71"/>
      <c r="E78" s="71"/>
      <c r="F78" s="71"/>
      <c r="G78" s="71"/>
      <c r="H78" s="71"/>
      <c r="I78" s="72"/>
      <c r="J78" s="65" t="s">
        <v>46</v>
      </c>
      <c r="K78" s="66"/>
      <c r="L78" s="66"/>
      <c r="M78" s="67"/>
      <c r="N78" s="65" t="s">
        <v>29</v>
      </c>
      <c r="O78" s="66"/>
      <c r="P78" s="66"/>
      <c r="Q78" s="67"/>
      <c r="R78" s="68">
        <v>0.41</v>
      </c>
      <c r="S78" s="69"/>
      <c r="T78" s="68"/>
      <c r="U78" s="69"/>
      <c r="V78" s="68">
        <v>0.4</v>
      </c>
      <c r="W78" s="69"/>
      <c r="X78" s="21">
        <f t="shared" si="13"/>
        <v>146.34146341463415</v>
      </c>
      <c r="Y78" s="21">
        <f t="shared" si="14"/>
        <v>139.02439024390245</v>
      </c>
      <c r="Z78" s="22">
        <f t="shared" si="15"/>
        <v>1.3478639643637917</v>
      </c>
      <c r="AA78" s="23">
        <v>1.5</v>
      </c>
    </row>
    <row r="79" spans="1:27" ht="46.8">
      <c r="A79" s="35">
        <v>9</v>
      </c>
      <c r="B79" s="70" t="s">
        <v>134</v>
      </c>
      <c r="C79" s="71"/>
      <c r="D79" s="71"/>
      <c r="E79" s="71"/>
      <c r="F79" s="71"/>
      <c r="G79" s="71"/>
      <c r="H79" s="71"/>
      <c r="I79" s="72"/>
      <c r="J79" s="65" t="s">
        <v>28</v>
      </c>
      <c r="K79" s="66"/>
      <c r="L79" s="66"/>
      <c r="M79" s="67"/>
      <c r="N79" s="65" t="s">
        <v>29</v>
      </c>
      <c r="O79" s="66"/>
      <c r="P79" s="66"/>
      <c r="Q79" s="67"/>
      <c r="R79" s="68">
        <v>1.1000000000000001</v>
      </c>
      <c r="S79" s="69"/>
      <c r="T79" s="68">
        <f>R79</f>
        <v>1.1000000000000001</v>
      </c>
      <c r="U79" s="69"/>
      <c r="V79" s="68"/>
      <c r="W79" s="69"/>
      <c r="X79" s="21">
        <f t="shared" si="13"/>
        <v>54.54545454545454</v>
      </c>
      <c r="Y79" s="21">
        <f t="shared" si="14"/>
        <v>51.818181818181813</v>
      </c>
      <c r="Z79" s="22">
        <f t="shared" si="15"/>
        <v>3.6162203921955394</v>
      </c>
      <c r="AA79" s="23">
        <v>4</v>
      </c>
    </row>
    <row r="80" spans="1:27" ht="46.8">
      <c r="A80" s="35">
        <v>10</v>
      </c>
      <c r="B80" s="70" t="s">
        <v>102</v>
      </c>
      <c r="C80" s="71"/>
      <c r="D80" s="71"/>
      <c r="E80" s="71"/>
      <c r="F80" s="71"/>
      <c r="G80" s="71"/>
      <c r="H80" s="71"/>
      <c r="I80" s="72"/>
      <c r="J80" s="65" t="s">
        <v>44</v>
      </c>
      <c r="K80" s="66"/>
      <c r="L80" s="66"/>
      <c r="M80" s="67"/>
      <c r="N80" s="65" t="s">
        <v>29</v>
      </c>
      <c r="O80" s="66"/>
      <c r="P80" s="66"/>
      <c r="Q80" s="67"/>
      <c r="R80" s="68">
        <v>0.4</v>
      </c>
      <c r="S80" s="69"/>
      <c r="T80" s="68"/>
      <c r="U80" s="69"/>
      <c r="V80" s="68">
        <f>R80</f>
        <v>0.4</v>
      </c>
      <c r="W80" s="69"/>
      <c r="X80" s="21">
        <f t="shared" si="13"/>
        <v>150</v>
      </c>
      <c r="Y80" s="21">
        <f t="shared" si="14"/>
        <v>142.5</v>
      </c>
      <c r="Z80" s="22">
        <f t="shared" si="15"/>
        <v>1.3149892335256506</v>
      </c>
      <c r="AA80" s="23">
        <v>1.5</v>
      </c>
    </row>
    <row r="81" spans="1:27" ht="46.8">
      <c r="A81" s="35">
        <v>11</v>
      </c>
      <c r="B81" s="70" t="s">
        <v>103</v>
      </c>
      <c r="C81" s="71"/>
      <c r="D81" s="71"/>
      <c r="E81" s="71"/>
      <c r="F81" s="71"/>
      <c r="G81" s="71"/>
      <c r="H81" s="71"/>
      <c r="I81" s="72"/>
      <c r="J81" s="65" t="s">
        <v>28</v>
      </c>
      <c r="K81" s="66"/>
      <c r="L81" s="66"/>
      <c r="M81" s="67"/>
      <c r="N81" s="65" t="s">
        <v>29</v>
      </c>
      <c r="O81" s="66"/>
      <c r="P81" s="66"/>
      <c r="Q81" s="67"/>
      <c r="R81" s="68">
        <v>0.85</v>
      </c>
      <c r="S81" s="69"/>
      <c r="T81" s="68">
        <f>R81</f>
        <v>0.85</v>
      </c>
      <c r="U81" s="69"/>
      <c r="V81" s="68"/>
      <c r="W81" s="69"/>
      <c r="X81" s="21">
        <f>60/R81</f>
        <v>70.588235294117652</v>
      </c>
      <c r="Y81" s="21">
        <f>X81*0.95</f>
        <v>67.058823529411768</v>
      </c>
      <c r="Z81" s="22">
        <f>AA$5/Y81</f>
        <v>2.7943521212420075</v>
      </c>
      <c r="AA81" s="23">
        <v>3</v>
      </c>
    </row>
    <row r="82" spans="1:27" ht="46.8">
      <c r="A82" s="35">
        <v>12</v>
      </c>
      <c r="B82" s="70" t="s">
        <v>104</v>
      </c>
      <c r="C82" s="71"/>
      <c r="D82" s="71"/>
      <c r="E82" s="71"/>
      <c r="F82" s="71"/>
      <c r="G82" s="71"/>
      <c r="H82" s="71"/>
      <c r="I82" s="72"/>
      <c r="J82" s="65" t="s">
        <v>28</v>
      </c>
      <c r="K82" s="66"/>
      <c r="L82" s="66"/>
      <c r="M82" s="67"/>
      <c r="N82" s="65" t="s">
        <v>105</v>
      </c>
      <c r="O82" s="66"/>
      <c r="P82" s="66"/>
      <c r="Q82" s="67"/>
      <c r="R82" s="68">
        <v>0.62</v>
      </c>
      <c r="S82" s="69"/>
      <c r="T82" s="68">
        <f>R82</f>
        <v>0.62</v>
      </c>
      <c r="U82" s="69"/>
      <c r="V82" s="68"/>
      <c r="W82" s="69"/>
      <c r="X82" s="21">
        <f t="shared" si="13"/>
        <v>96.774193548387103</v>
      </c>
      <c r="Y82" s="21">
        <f t="shared" si="14"/>
        <v>91.935483870967744</v>
      </c>
      <c r="Z82" s="22">
        <f t="shared" si="15"/>
        <v>2.0382333119647584</v>
      </c>
      <c r="AA82" s="23">
        <v>2</v>
      </c>
    </row>
    <row r="83" spans="1:27" ht="46.8">
      <c r="A83" s="35">
        <v>13</v>
      </c>
      <c r="B83" s="70" t="s">
        <v>106</v>
      </c>
      <c r="C83" s="71"/>
      <c r="D83" s="71"/>
      <c r="E83" s="71"/>
      <c r="F83" s="71"/>
      <c r="G83" s="71"/>
      <c r="H83" s="71"/>
      <c r="I83" s="72"/>
      <c r="J83" s="65" t="s">
        <v>84</v>
      </c>
      <c r="K83" s="66"/>
      <c r="L83" s="66"/>
      <c r="M83" s="67"/>
      <c r="N83" s="65" t="s">
        <v>29</v>
      </c>
      <c r="O83" s="66"/>
      <c r="P83" s="66"/>
      <c r="Q83" s="67"/>
      <c r="R83" s="68">
        <v>0.4</v>
      </c>
      <c r="S83" s="69"/>
      <c r="T83" s="68">
        <f>R83</f>
        <v>0.4</v>
      </c>
      <c r="U83" s="69"/>
      <c r="V83" s="68"/>
      <c r="W83" s="69"/>
      <c r="X83" s="21">
        <f t="shared" ref="X83" si="16">60/R83</f>
        <v>150</v>
      </c>
      <c r="Y83" s="21">
        <f t="shared" ref="Y83" si="17">X83*0.95</f>
        <v>142.5</v>
      </c>
      <c r="Z83" s="22">
        <f t="shared" ref="Z83" si="18">AA$5/Y83</f>
        <v>1.3149892335256506</v>
      </c>
      <c r="AA83" s="23">
        <v>1</v>
      </c>
    </row>
    <row r="84" spans="1:27" ht="46.2">
      <c r="A84" s="35"/>
      <c r="B84" s="70"/>
      <c r="C84" s="71"/>
      <c r="D84" s="71"/>
      <c r="E84" s="71"/>
      <c r="F84" s="71"/>
      <c r="G84" s="71"/>
      <c r="H84" s="71"/>
      <c r="I84" s="72"/>
      <c r="J84" s="65"/>
      <c r="K84" s="66"/>
      <c r="L84" s="66"/>
      <c r="M84" s="67"/>
      <c r="N84" s="105" t="s">
        <v>53</v>
      </c>
      <c r="O84" s="86"/>
      <c r="P84" s="86"/>
      <c r="Q84" s="86"/>
      <c r="R84" s="86">
        <f>SUM(R71:S83)</f>
        <v>10.02</v>
      </c>
      <c r="S84" s="86"/>
      <c r="T84" s="86">
        <f>SUM(T71:U83)</f>
        <v>8.61</v>
      </c>
      <c r="U84" s="86"/>
      <c r="V84" s="86">
        <f>SUM(V71:W83)</f>
        <v>1.4</v>
      </c>
      <c r="W84" s="86"/>
      <c r="X84" s="21"/>
      <c r="Y84" s="21"/>
      <c r="Z84" s="22"/>
      <c r="AA84" s="26">
        <f>SUM(AA71:AA83)</f>
        <v>34.5</v>
      </c>
    </row>
    <row r="85" spans="1:27" ht="46.8">
      <c r="A85" s="120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9"/>
      <c r="R85" s="105">
        <f>SUM(R12:S27,R30:S38,R41:S48,R51:S60,R63:S68,R71:S83)</f>
        <v>28.98</v>
      </c>
      <c r="S85" s="106"/>
      <c r="T85" s="105">
        <f t="shared" ref="T85" si="19">SUM(T12:U27,T30:U38,T41:U48,T51:U60,T63:U68,T71:U83)</f>
        <v>23.82</v>
      </c>
      <c r="U85" s="106"/>
      <c r="V85" s="105">
        <f t="shared" ref="V85" si="20">SUM(V12:W27,V30:W38,V41:W48,V51:W60,V63:W68,V71:W83)</f>
        <v>5.15</v>
      </c>
      <c r="W85" s="106"/>
      <c r="X85" s="21"/>
      <c r="Y85" s="21"/>
      <c r="Z85" s="22"/>
      <c r="AA85" s="26">
        <f>AA84+AA69+AA61+AA49+AA39+AA28</f>
        <v>105.5</v>
      </c>
    </row>
    <row r="86" spans="1:27" ht="46.8">
      <c r="A86" s="107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9"/>
      <c r="R86" s="105"/>
      <c r="S86" s="106"/>
      <c r="T86" s="105"/>
      <c r="U86" s="106"/>
      <c r="V86" s="105"/>
      <c r="W86" s="106"/>
      <c r="X86" s="21"/>
      <c r="Y86" s="21"/>
      <c r="Z86" s="22"/>
      <c r="AA86" s="23"/>
    </row>
    <row r="87" spans="1:27" ht="46.8">
      <c r="A87" s="20"/>
      <c r="B87" s="107" t="s">
        <v>107</v>
      </c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9"/>
      <c r="N87" s="110">
        <v>0</v>
      </c>
      <c r="O87" s="111"/>
      <c r="P87" s="111"/>
      <c r="Q87" s="111"/>
      <c r="R87" s="111"/>
      <c r="S87" s="112"/>
      <c r="T87" s="113">
        <f>N87</f>
        <v>0</v>
      </c>
      <c r="U87" s="116"/>
      <c r="V87" s="113">
        <f>N87</f>
        <v>0</v>
      </c>
      <c r="W87" s="116"/>
      <c r="X87" s="21"/>
      <c r="Y87" s="21"/>
      <c r="Z87" s="22"/>
      <c r="AA87" s="23"/>
    </row>
    <row r="88" spans="1:27" ht="46.8">
      <c r="A88" s="20"/>
      <c r="B88" s="107" t="s">
        <v>108</v>
      </c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9"/>
      <c r="N88" s="117">
        <v>0.05</v>
      </c>
      <c r="O88" s="118"/>
      <c r="P88" s="118"/>
      <c r="Q88" s="118"/>
      <c r="R88" s="118"/>
      <c r="S88" s="119"/>
      <c r="T88" s="113">
        <f>N88</f>
        <v>0.05</v>
      </c>
      <c r="U88" s="116"/>
      <c r="V88" s="113">
        <f>N88</f>
        <v>0.05</v>
      </c>
      <c r="W88" s="69"/>
      <c r="X88" s="21"/>
      <c r="Y88" s="21"/>
      <c r="Z88" s="22"/>
      <c r="AA88" s="23"/>
    </row>
    <row r="89" spans="1:27" ht="46.8">
      <c r="A89" s="20"/>
      <c r="B89" s="107" t="s">
        <v>109</v>
      </c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9"/>
      <c r="N89" s="110">
        <v>0</v>
      </c>
      <c r="O89" s="111"/>
      <c r="P89" s="111"/>
      <c r="Q89" s="111"/>
      <c r="R89" s="111"/>
      <c r="S89" s="112"/>
      <c r="T89" s="113">
        <f>N89</f>
        <v>0</v>
      </c>
      <c r="U89" s="69"/>
      <c r="V89" s="113">
        <f>N89</f>
        <v>0</v>
      </c>
      <c r="W89" s="69"/>
      <c r="X89" s="21"/>
      <c r="Y89" s="21"/>
      <c r="Z89" s="22"/>
      <c r="AA89" s="23"/>
    </row>
    <row r="90" spans="1:27" ht="46.8">
      <c r="A90" s="20"/>
      <c r="B90" s="107" t="s">
        <v>110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9"/>
      <c r="N90" s="110">
        <v>0</v>
      </c>
      <c r="O90" s="111"/>
      <c r="P90" s="111"/>
      <c r="Q90" s="111"/>
      <c r="R90" s="111"/>
      <c r="S90" s="112"/>
      <c r="T90" s="113">
        <f>N90</f>
        <v>0</v>
      </c>
      <c r="U90" s="69"/>
      <c r="V90" s="113">
        <f>N90</f>
        <v>0</v>
      </c>
      <c r="W90" s="69"/>
      <c r="X90" s="21"/>
      <c r="Y90" s="21"/>
      <c r="Z90" s="22"/>
      <c r="AA90" s="23"/>
    </row>
    <row r="91" spans="1:27" ht="46.2">
      <c r="A91" s="20"/>
      <c r="B91" s="107" t="s">
        <v>111</v>
      </c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9"/>
      <c r="R91" s="114"/>
      <c r="S91" s="115"/>
      <c r="T91" s="113">
        <f>SUM(T87:U90)</f>
        <v>0.05</v>
      </c>
      <c r="U91" s="116"/>
      <c r="V91" s="113">
        <f>SUM(V87:W90)</f>
        <v>0.05</v>
      </c>
      <c r="W91" s="116"/>
      <c r="X91" s="21"/>
      <c r="Y91" s="21"/>
      <c r="Z91" s="22"/>
      <c r="AA91" s="23"/>
    </row>
    <row r="92" spans="1:27" ht="46.8">
      <c r="A92" s="107" t="s">
        <v>112</v>
      </c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9"/>
      <c r="R92" s="105">
        <f>T92+V92</f>
        <v>30.418500000000002</v>
      </c>
      <c r="S92" s="106"/>
      <c r="T92" s="105">
        <f>(T85*T91)+T85</f>
        <v>25.010999999999999</v>
      </c>
      <c r="U92" s="106"/>
      <c r="V92" s="105">
        <f>(V85*V91)+V85</f>
        <v>5.4075000000000006</v>
      </c>
      <c r="W92" s="106"/>
      <c r="X92" s="21"/>
      <c r="Y92" s="21"/>
      <c r="Z92" s="22"/>
      <c r="AA92" s="23"/>
    </row>
    <row r="94" spans="1:27">
      <c r="P94" s="2" t="s">
        <v>113</v>
      </c>
      <c r="Q94" s="2">
        <f>5*2.54</f>
        <v>12.7</v>
      </c>
    </row>
  </sheetData>
  <mergeCells count="457">
    <mergeCell ref="B66:I66"/>
    <mergeCell ref="J66:M66"/>
    <mergeCell ref="N66:Q66"/>
    <mergeCell ref="R66:S66"/>
    <mergeCell ref="T66:U66"/>
    <mergeCell ref="V66:W66"/>
    <mergeCell ref="B91:Q91"/>
    <mergeCell ref="R91:S91"/>
    <mergeCell ref="T91:U91"/>
    <mergeCell ref="V91:W91"/>
    <mergeCell ref="B87:M87"/>
    <mergeCell ref="N87:S87"/>
    <mergeCell ref="T87:U87"/>
    <mergeCell ref="V87:W87"/>
    <mergeCell ref="B88:M88"/>
    <mergeCell ref="N88:S88"/>
    <mergeCell ref="T88:U88"/>
    <mergeCell ref="V88:W88"/>
    <mergeCell ref="A85:Q85"/>
    <mergeCell ref="R85:S85"/>
    <mergeCell ref="T85:U85"/>
    <mergeCell ref="V85:W85"/>
    <mergeCell ref="A86:Q86"/>
    <mergeCell ref="R86:S86"/>
    <mergeCell ref="A92:Q92"/>
    <mergeCell ref="R92:S92"/>
    <mergeCell ref="T92:U92"/>
    <mergeCell ref="V92:W92"/>
    <mergeCell ref="B89:M89"/>
    <mergeCell ref="N89:S89"/>
    <mergeCell ref="T89:U89"/>
    <mergeCell ref="V89:W89"/>
    <mergeCell ref="B90:M90"/>
    <mergeCell ref="N90:S90"/>
    <mergeCell ref="T90:U90"/>
    <mergeCell ref="V90:W90"/>
    <mergeCell ref="T86:U86"/>
    <mergeCell ref="V86:W86"/>
    <mergeCell ref="B84:I84"/>
    <mergeCell ref="J84:M84"/>
    <mergeCell ref="N84:Q84"/>
    <mergeCell ref="R84:S84"/>
    <mergeCell ref="T84:U84"/>
    <mergeCell ref="V84:W84"/>
    <mergeCell ref="B81:I81"/>
    <mergeCell ref="J81:M81"/>
    <mergeCell ref="N81:Q81"/>
    <mergeCell ref="R81:S81"/>
    <mergeCell ref="T81:U81"/>
    <mergeCell ref="V81:W81"/>
    <mergeCell ref="B83:I83"/>
    <mergeCell ref="J83:M83"/>
    <mergeCell ref="N83:Q83"/>
    <mergeCell ref="R83:S83"/>
    <mergeCell ref="T83:U83"/>
    <mergeCell ref="V83:W83"/>
    <mergeCell ref="B82:I82"/>
    <mergeCell ref="J82:M82"/>
    <mergeCell ref="N82:Q82"/>
    <mergeCell ref="R82:S82"/>
    <mergeCell ref="T82:U82"/>
    <mergeCell ref="V82:W82"/>
    <mergeCell ref="B80:I80"/>
    <mergeCell ref="J80:M80"/>
    <mergeCell ref="N80:Q80"/>
    <mergeCell ref="R80:S80"/>
    <mergeCell ref="T80:U80"/>
    <mergeCell ref="V80:W80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N69:Q69"/>
    <mergeCell ref="R69:S69"/>
    <mergeCell ref="T69:U69"/>
    <mergeCell ref="V69:W69"/>
    <mergeCell ref="B71:I71"/>
    <mergeCell ref="J71:M71"/>
    <mergeCell ref="N71:Q71"/>
    <mergeCell ref="R71:S71"/>
    <mergeCell ref="T71:U71"/>
    <mergeCell ref="V71:W71"/>
    <mergeCell ref="B68:I68"/>
    <mergeCell ref="J68:M68"/>
    <mergeCell ref="N68:Q68"/>
    <mergeCell ref="R68:S68"/>
    <mergeCell ref="T68:U68"/>
    <mergeCell ref="V68:W68"/>
    <mergeCell ref="B67:I67"/>
    <mergeCell ref="J67:M67"/>
    <mergeCell ref="N67:Q67"/>
    <mergeCell ref="R67:S67"/>
    <mergeCell ref="T67:U67"/>
    <mergeCell ref="V67:W67"/>
    <mergeCell ref="B64:I64"/>
    <mergeCell ref="J64:M64"/>
    <mergeCell ref="N64:Q64"/>
    <mergeCell ref="R64:S64"/>
    <mergeCell ref="T64:U64"/>
    <mergeCell ref="V64:W64"/>
    <mergeCell ref="B65:I65"/>
    <mergeCell ref="J65:M65"/>
    <mergeCell ref="N65:Q65"/>
    <mergeCell ref="R65:S65"/>
    <mergeCell ref="T65:U65"/>
    <mergeCell ref="V65:W65"/>
    <mergeCell ref="N61:Q61"/>
    <mergeCell ref="R61:S61"/>
    <mergeCell ref="T61:U61"/>
    <mergeCell ref="V61:W61"/>
    <mergeCell ref="B63:I63"/>
    <mergeCell ref="J63:M63"/>
    <mergeCell ref="N63:Q63"/>
    <mergeCell ref="R63:S63"/>
    <mergeCell ref="T63:U63"/>
    <mergeCell ref="V63:W63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3:I53"/>
    <mergeCell ref="J53:M53"/>
    <mergeCell ref="N53:Q53"/>
    <mergeCell ref="R53:S53"/>
    <mergeCell ref="T53:U53"/>
    <mergeCell ref="V53:W53"/>
    <mergeCell ref="B48:I48"/>
    <mergeCell ref="J48:M48"/>
    <mergeCell ref="N48:Q48"/>
    <mergeCell ref="R48:S48"/>
    <mergeCell ref="T48:U48"/>
    <mergeCell ref="V48:W48"/>
    <mergeCell ref="B52:I52"/>
    <mergeCell ref="J52:M52"/>
    <mergeCell ref="N52:Q52"/>
    <mergeCell ref="R52:S52"/>
    <mergeCell ref="T52:U52"/>
    <mergeCell ref="V52:W52"/>
    <mergeCell ref="N49:Q49"/>
    <mergeCell ref="R49:S49"/>
    <mergeCell ref="T49:U49"/>
    <mergeCell ref="V49:W49"/>
    <mergeCell ref="B51:I51"/>
    <mergeCell ref="J51:M51"/>
    <mergeCell ref="N51:Q51"/>
    <mergeCell ref="R51:S51"/>
    <mergeCell ref="T51:U51"/>
    <mergeCell ref="V51:W51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B42:I42"/>
    <mergeCell ref="J42:M42"/>
    <mergeCell ref="N42:Q42"/>
    <mergeCell ref="R42:S42"/>
    <mergeCell ref="T42:U42"/>
    <mergeCell ref="V42:W42"/>
    <mergeCell ref="N39:Q39"/>
    <mergeCell ref="R39:S39"/>
    <mergeCell ref="T39:U39"/>
    <mergeCell ref="V39:W39"/>
    <mergeCell ref="B41:I41"/>
    <mergeCell ref="J41:M41"/>
    <mergeCell ref="N41:Q41"/>
    <mergeCell ref="R41:S41"/>
    <mergeCell ref="T41:U41"/>
    <mergeCell ref="V41:W41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35:I35"/>
    <mergeCell ref="J35:M35"/>
    <mergeCell ref="N35:Q35"/>
    <mergeCell ref="R35:S35"/>
    <mergeCell ref="T35:U35"/>
    <mergeCell ref="V35:W35"/>
    <mergeCell ref="B36:I36"/>
    <mergeCell ref="J36:M36"/>
    <mergeCell ref="N36:Q36"/>
    <mergeCell ref="R36:S36"/>
    <mergeCell ref="T36:U36"/>
    <mergeCell ref="V36:W36"/>
    <mergeCell ref="B34:I34"/>
    <mergeCell ref="J34:M34"/>
    <mergeCell ref="N34:Q34"/>
    <mergeCell ref="R34:S34"/>
    <mergeCell ref="T34:U34"/>
    <mergeCell ref="V34:W34"/>
    <mergeCell ref="B33:I33"/>
    <mergeCell ref="J33:M33"/>
    <mergeCell ref="N33:Q33"/>
    <mergeCell ref="R33:S33"/>
    <mergeCell ref="T33:U33"/>
    <mergeCell ref="V33:W33"/>
    <mergeCell ref="B32:I32"/>
    <mergeCell ref="J32:M32"/>
    <mergeCell ref="N32:Q32"/>
    <mergeCell ref="R32:S32"/>
    <mergeCell ref="T32:U32"/>
    <mergeCell ref="V32:W32"/>
    <mergeCell ref="B31:I31"/>
    <mergeCell ref="J31:M31"/>
    <mergeCell ref="N31:Q31"/>
    <mergeCell ref="R31:S31"/>
    <mergeCell ref="T31:U31"/>
    <mergeCell ref="V31:W31"/>
    <mergeCell ref="N28:Q28"/>
    <mergeCell ref="R28:S28"/>
    <mergeCell ref="T28:U28"/>
    <mergeCell ref="V28:W28"/>
    <mergeCell ref="B30:I30"/>
    <mergeCell ref="J30:M30"/>
    <mergeCell ref="N30:Q30"/>
    <mergeCell ref="R30:S30"/>
    <mergeCell ref="T30:U30"/>
    <mergeCell ref="V30:W30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19:I19"/>
    <mergeCell ref="J19:M19"/>
    <mergeCell ref="N19:Q19"/>
    <mergeCell ref="R19:S19"/>
    <mergeCell ref="T19:U19"/>
    <mergeCell ref="V19:W19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3:I13"/>
    <mergeCell ref="J13:M13"/>
    <mergeCell ref="N13:Q13"/>
    <mergeCell ref="R13:S13"/>
    <mergeCell ref="T13:U13"/>
    <mergeCell ref="V13:W13"/>
    <mergeCell ref="B12:I12"/>
    <mergeCell ref="J12:M12"/>
    <mergeCell ref="N12:Q12"/>
    <mergeCell ref="R12:S12"/>
    <mergeCell ref="T12:U12"/>
    <mergeCell ref="V12:W12"/>
    <mergeCell ref="B11:I11"/>
    <mergeCell ref="J11:M11"/>
    <mergeCell ref="N11:Q11"/>
    <mergeCell ref="R11:S11"/>
    <mergeCell ref="T11:U11"/>
    <mergeCell ref="V11:W11"/>
    <mergeCell ref="B10:I10"/>
    <mergeCell ref="J10:M10"/>
    <mergeCell ref="N10:Q10"/>
    <mergeCell ref="R10:S10"/>
    <mergeCell ref="T10:U10"/>
    <mergeCell ref="V10:W10"/>
    <mergeCell ref="A5:B5"/>
    <mergeCell ref="C5:G5"/>
    <mergeCell ref="J5:K5"/>
    <mergeCell ref="L5:P5"/>
    <mergeCell ref="S5:T5"/>
    <mergeCell ref="U5:W5"/>
    <mergeCell ref="A1:W1"/>
    <mergeCell ref="A2:W2"/>
    <mergeCell ref="A4:B4"/>
    <mergeCell ref="C4:G4"/>
    <mergeCell ref="J4:K4"/>
    <mergeCell ref="S4:T4"/>
    <mergeCell ref="U4:W4"/>
    <mergeCell ref="A7:C7"/>
    <mergeCell ref="D7:AA8"/>
  </mergeCells>
  <pageMargins left="0.70866141732283472" right="0.15748031496062992" top="0.27559055118110237" bottom="0.23622047244094491" header="0.31496062992125984" footer="0.31496062992125984"/>
  <pageSetup paperSize="9" scale="15" orientation="portrait" r:id="rId1"/>
  <headerFooter>
    <oddFooter>&amp;L&amp;22Prepared By:&amp;C&amp;22Checked By:&amp;R&amp;22Approved By: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>
      <selection activeCell="J4" sqref="J4"/>
    </sheetView>
  </sheetViews>
  <sheetFormatPr defaultRowHeight="13.8"/>
  <cols>
    <col min="1" max="1" width="36.296875" customWidth="1"/>
    <col min="4" max="4" width="34.59765625" customWidth="1"/>
    <col min="5" max="5" width="7.296875" customWidth="1"/>
  </cols>
  <sheetData>
    <row r="1" spans="1:11" ht="30.6">
      <c r="A1" s="128" t="s">
        <v>136</v>
      </c>
      <c r="B1" s="128"/>
      <c r="C1" s="128"/>
      <c r="D1" s="128"/>
      <c r="E1" s="128"/>
      <c r="F1" s="128"/>
      <c r="G1" s="128"/>
      <c r="H1" s="128"/>
    </row>
    <row r="2" spans="1:11" ht="30.6">
      <c r="A2" s="128" t="s">
        <v>137</v>
      </c>
      <c r="B2" s="128"/>
      <c r="C2" s="128"/>
      <c r="D2" s="128"/>
      <c r="E2" s="128"/>
      <c r="F2" s="128"/>
      <c r="G2" s="128"/>
      <c r="H2" s="128"/>
    </row>
    <row r="3" spans="1:11" ht="30.6">
      <c r="A3" s="128" t="s">
        <v>27</v>
      </c>
      <c r="B3" s="128"/>
      <c r="C3" s="128"/>
      <c r="D3" s="128"/>
      <c r="E3" s="128"/>
      <c r="F3" s="128"/>
      <c r="G3" s="128"/>
      <c r="H3" s="128"/>
    </row>
    <row r="4" spans="1:11" ht="30.6">
      <c r="A4" s="128" t="s">
        <v>30</v>
      </c>
      <c r="B4" s="128"/>
      <c r="C4" s="128"/>
      <c r="D4" s="128"/>
      <c r="E4" s="128"/>
      <c r="F4" s="128"/>
      <c r="G4" s="128"/>
      <c r="H4" s="128"/>
    </row>
    <row r="5" spans="1:11" ht="30.6">
      <c r="A5" s="128" t="s">
        <v>32</v>
      </c>
      <c r="B5" s="128"/>
      <c r="C5" s="128"/>
      <c r="D5" s="128"/>
      <c r="E5" s="128"/>
      <c r="F5" s="128"/>
      <c r="G5" s="128"/>
      <c r="H5" s="128"/>
    </row>
    <row r="6" spans="1:11" ht="30.6">
      <c r="A6" s="128" t="s">
        <v>33</v>
      </c>
      <c r="B6" s="128"/>
      <c r="C6" s="128"/>
      <c r="D6" s="128"/>
      <c r="E6" s="128"/>
      <c r="F6" s="128"/>
      <c r="G6" s="128"/>
      <c r="H6" s="128"/>
    </row>
    <row r="7" spans="1:11" ht="30.6">
      <c r="A7" s="129" t="s">
        <v>35</v>
      </c>
      <c r="B7" s="129"/>
      <c r="C7" s="129"/>
      <c r="D7" s="129"/>
      <c r="E7" s="129"/>
      <c r="F7" s="129"/>
      <c r="G7" s="129"/>
      <c r="H7" s="129"/>
    </row>
    <row r="8" spans="1:11" ht="30.6">
      <c r="A8" s="130" t="s">
        <v>37</v>
      </c>
      <c r="B8" s="131"/>
      <c r="C8" s="131"/>
      <c r="D8" s="131"/>
      <c r="E8" s="131"/>
      <c r="F8" s="131"/>
      <c r="G8" s="131"/>
      <c r="H8" s="132"/>
    </row>
    <row r="9" spans="1:11" ht="30.6">
      <c r="A9" s="130" t="s">
        <v>117</v>
      </c>
      <c r="B9" s="131"/>
      <c r="C9" s="131"/>
      <c r="D9" s="131"/>
      <c r="E9" s="131"/>
      <c r="F9" s="131"/>
      <c r="G9" s="131"/>
      <c r="H9" s="132"/>
      <c r="I9" s="40"/>
      <c r="J9" s="40"/>
      <c r="K9" s="40"/>
    </row>
    <row r="10" spans="1:11" ht="30.6">
      <c r="A10" s="130" t="s">
        <v>138</v>
      </c>
      <c r="B10" s="131"/>
      <c r="C10" s="131"/>
      <c r="D10" s="131"/>
      <c r="E10" s="131"/>
      <c r="F10" s="131"/>
      <c r="G10" s="131"/>
      <c r="H10" s="132"/>
      <c r="I10" s="40"/>
      <c r="J10" s="40"/>
      <c r="K10" s="40"/>
    </row>
    <row r="11" spans="1:11" ht="30.6">
      <c r="A11" s="128" t="s">
        <v>139</v>
      </c>
      <c r="B11" s="128"/>
      <c r="C11" s="128"/>
      <c r="D11" s="128"/>
      <c r="E11" s="128"/>
      <c r="F11" s="128"/>
      <c r="G11" s="128"/>
      <c r="H11" s="128"/>
      <c r="I11" s="40"/>
      <c r="J11" s="40"/>
      <c r="K11" s="40"/>
    </row>
    <row r="12" spans="1:11" ht="30.6">
      <c r="A12" s="128" t="s">
        <v>40</v>
      </c>
      <c r="B12" s="128"/>
      <c r="C12" s="128"/>
      <c r="D12" s="128"/>
      <c r="E12" s="128"/>
      <c r="F12" s="128"/>
      <c r="G12" s="128"/>
      <c r="H12" s="128"/>
      <c r="I12" s="40"/>
      <c r="J12" s="40"/>
      <c r="K12" s="40"/>
    </row>
    <row r="13" spans="1:11" ht="30.6">
      <c r="A13" s="133" t="s">
        <v>42</v>
      </c>
      <c r="B13" s="133"/>
      <c r="C13" s="133"/>
      <c r="D13" s="133"/>
      <c r="E13" s="133"/>
      <c r="F13" s="133"/>
      <c r="G13" s="133"/>
      <c r="H13" s="133"/>
      <c r="I13" s="40"/>
      <c r="J13" s="40"/>
      <c r="K13" s="40"/>
    </row>
    <row r="14" spans="1:11" ht="30.6">
      <c r="A14" s="128" t="s">
        <v>43</v>
      </c>
      <c r="B14" s="128"/>
      <c r="C14" s="128"/>
      <c r="D14" s="128"/>
      <c r="E14" s="128"/>
      <c r="F14" s="128"/>
      <c r="G14" s="128"/>
      <c r="H14" s="128"/>
      <c r="I14" s="40"/>
      <c r="J14" s="40"/>
      <c r="K14" s="40"/>
    </row>
    <row r="15" spans="1:11" ht="30.6">
      <c r="A15" s="128" t="s">
        <v>45</v>
      </c>
      <c r="B15" s="128"/>
      <c r="C15" s="128"/>
      <c r="D15" s="128"/>
      <c r="E15" s="128"/>
      <c r="F15" s="128"/>
      <c r="G15" s="128"/>
      <c r="H15" s="128"/>
      <c r="I15" s="40"/>
      <c r="J15" s="40"/>
      <c r="K15" s="40"/>
    </row>
    <row r="16" spans="1:11" ht="30.6">
      <c r="A16" s="128" t="s">
        <v>47</v>
      </c>
      <c r="B16" s="128"/>
      <c r="C16" s="128"/>
      <c r="D16" s="128"/>
      <c r="E16" s="128"/>
      <c r="F16" s="128"/>
      <c r="G16" s="128"/>
      <c r="H16" s="128"/>
      <c r="I16" s="40"/>
      <c r="J16" s="40"/>
      <c r="K16" s="40"/>
    </row>
    <row r="17" spans="1:11" ht="30.6">
      <c r="A17" s="128" t="s">
        <v>51</v>
      </c>
      <c r="B17" s="128"/>
      <c r="C17" s="128"/>
      <c r="D17" s="128"/>
      <c r="E17" s="128"/>
      <c r="F17" s="128"/>
      <c r="G17" s="128"/>
      <c r="H17" s="128"/>
      <c r="I17" s="40"/>
      <c r="J17" s="40"/>
      <c r="K17" s="40"/>
    </row>
    <row r="18" spans="1:11" ht="14.4">
      <c r="A18" s="121" t="s">
        <v>122</v>
      </c>
      <c r="E18" s="40"/>
      <c r="F18" s="40"/>
      <c r="G18" s="124">
        <v>0.25</v>
      </c>
      <c r="H18" s="124"/>
      <c r="I18" s="40"/>
      <c r="J18" s="40"/>
      <c r="K18" s="40"/>
    </row>
    <row r="19" spans="1:11" ht="14.4">
      <c r="A19" s="40" t="s">
        <v>126</v>
      </c>
      <c r="E19" s="41"/>
      <c r="F19" s="41"/>
      <c r="G19" s="125">
        <v>0.55000000000000004</v>
      </c>
      <c r="H19" s="125"/>
      <c r="I19" s="41"/>
      <c r="J19" s="41"/>
      <c r="K19" s="41"/>
    </row>
    <row r="20" spans="1:11" ht="14.4">
      <c r="A20" s="40" t="s">
        <v>56</v>
      </c>
      <c r="E20" s="40"/>
      <c r="F20" s="40"/>
      <c r="G20" s="125">
        <v>0.25</v>
      </c>
      <c r="H20" s="125"/>
      <c r="I20" s="40"/>
      <c r="J20" s="40"/>
      <c r="K20" s="40"/>
    </row>
    <row r="21" spans="1:11" ht="14.4">
      <c r="A21" s="40" t="s">
        <v>127</v>
      </c>
      <c r="E21" s="40"/>
      <c r="F21" s="40"/>
      <c r="G21" s="124">
        <v>0.24</v>
      </c>
      <c r="H21" s="124"/>
      <c r="I21" s="40"/>
      <c r="J21" s="40"/>
      <c r="K21" s="40"/>
    </row>
    <row r="22" spans="1:11" ht="14.4">
      <c r="A22" s="40" t="s">
        <v>58</v>
      </c>
      <c r="E22" s="40"/>
      <c r="F22" s="40"/>
      <c r="G22" s="124">
        <v>0.26</v>
      </c>
      <c r="H22" s="124"/>
      <c r="I22" s="40"/>
      <c r="J22" s="40"/>
      <c r="K22" s="40"/>
    </row>
    <row r="23" spans="1:11" ht="14.4">
      <c r="A23" s="40" t="s">
        <v>59</v>
      </c>
      <c r="E23" s="40"/>
      <c r="F23" s="40"/>
      <c r="G23" s="124">
        <v>0.3</v>
      </c>
      <c r="H23" s="124"/>
      <c r="I23" s="40"/>
      <c r="J23" s="40"/>
      <c r="K23" s="40"/>
    </row>
    <row r="24" spans="1:11" ht="14.4">
      <c r="A24" s="40" t="s">
        <v>60</v>
      </c>
      <c r="E24" s="40"/>
      <c r="F24" s="40"/>
      <c r="G24" s="124">
        <v>0.28000000000000003</v>
      </c>
      <c r="H24" s="124"/>
      <c r="I24" s="40"/>
      <c r="J24" s="40"/>
      <c r="K24" s="40"/>
    </row>
    <row r="25" spans="1:11" ht="14.4">
      <c r="A25" s="40" t="s">
        <v>61</v>
      </c>
      <c r="E25" s="40"/>
      <c r="F25" s="40"/>
      <c r="G25" s="124">
        <v>0.6</v>
      </c>
      <c r="H25" s="124"/>
      <c r="I25" s="40"/>
      <c r="J25" s="40"/>
      <c r="K25" s="40"/>
    </row>
    <row r="26" spans="1:11" ht="14.4">
      <c r="A26" s="41" t="s">
        <v>115</v>
      </c>
      <c r="E26" s="121"/>
      <c r="F26" s="121"/>
      <c r="G26" s="126">
        <v>0.2</v>
      </c>
      <c r="H26" s="126"/>
      <c r="I26" s="121"/>
      <c r="J26" s="121"/>
      <c r="K26" s="121"/>
    </row>
    <row r="27" spans="1:11" ht="14.4">
      <c r="A27" s="41" t="s">
        <v>64</v>
      </c>
      <c r="E27" s="40"/>
      <c r="F27" s="40"/>
      <c r="G27" s="124">
        <v>0.4</v>
      </c>
      <c r="H27" s="124"/>
      <c r="I27" s="40"/>
      <c r="J27" s="40"/>
      <c r="K27" s="40"/>
    </row>
    <row r="28" spans="1:11" ht="14.4">
      <c r="A28" s="41" t="s">
        <v>66</v>
      </c>
      <c r="E28" s="40"/>
      <c r="F28" s="40"/>
      <c r="G28" s="124">
        <v>0.66</v>
      </c>
      <c r="H28" s="124"/>
      <c r="I28" s="40"/>
      <c r="J28" s="40"/>
      <c r="K28" s="40"/>
    </row>
    <row r="29" spans="1:11" ht="14.4">
      <c r="A29" s="41" t="s">
        <v>67</v>
      </c>
      <c r="E29" s="40"/>
      <c r="F29" s="40"/>
      <c r="G29" s="124">
        <v>0.56000000000000005</v>
      </c>
      <c r="H29" s="124"/>
      <c r="I29" s="40"/>
      <c r="J29" s="40"/>
      <c r="K29" s="40"/>
    </row>
    <row r="30" spans="1:11" ht="14.4">
      <c r="A30" s="41" t="s">
        <v>69</v>
      </c>
      <c r="E30" s="40"/>
      <c r="F30" s="40"/>
      <c r="G30" s="124">
        <v>0.45</v>
      </c>
      <c r="H30" s="124"/>
      <c r="I30" s="40"/>
      <c r="J30" s="40"/>
      <c r="K30" s="40"/>
    </row>
    <row r="31" spans="1:11" ht="14.4">
      <c r="A31" s="41" t="s">
        <v>129</v>
      </c>
      <c r="E31" s="40"/>
      <c r="F31" s="40"/>
      <c r="G31" s="124">
        <v>0.3</v>
      </c>
      <c r="H31" s="124"/>
      <c r="I31" s="40"/>
      <c r="J31" s="40"/>
      <c r="K31" s="40"/>
    </row>
    <row r="32" spans="1:11" ht="14.4">
      <c r="A32" s="41" t="s">
        <v>70</v>
      </c>
      <c r="E32" s="40"/>
      <c r="F32" s="40"/>
      <c r="G32" s="124">
        <v>0.5</v>
      </c>
      <c r="H32" s="124"/>
      <c r="I32" s="40"/>
      <c r="J32" s="40"/>
      <c r="K32" s="40"/>
    </row>
    <row r="33" spans="1:11" ht="14.4">
      <c r="A33" s="40" t="s">
        <v>71</v>
      </c>
      <c r="E33" s="40"/>
      <c r="F33" s="40"/>
      <c r="G33" s="124">
        <v>0.25</v>
      </c>
      <c r="H33" s="124"/>
      <c r="I33" s="40"/>
      <c r="J33" s="40"/>
      <c r="K33" s="40"/>
    </row>
    <row r="34" spans="1:11" ht="14.4">
      <c r="A34" s="40" t="s">
        <v>73</v>
      </c>
      <c r="E34" s="41"/>
      <c r="F34" s="41"/>
      <c r="G34" s="124">
        <v>0.4</v>
      </c>
      <c r="H34" s="124"/>
      <c r="I34" s="41"/>
      <c r="J34" s="41"/>
      <c r="K34" s="41"/>
    </row>
    <row r="35" spans="1:11" ht="14.4">
      <c r="A35" s="122" t="s">
        <v>75</v>
      </c>
      <c r="E35" s="41"/>
      <c r="F35" s="41"/>
      <c r="G35" s="124">
        <v>0.53</v>
      </c>
      <c r="H35" s="124"/>
      <c r="I35" s="41"/>
      <c r="J35" s="41"/>
      <c r="K35" s="41"/>
    </row>
    <row r="36" spans="1:11" ht="14.4">
      <c r="A36" s="40" t="s">
        <v>76</v>
      </c>
      <c r="E36" s="41"/>
      <c r="F36" s="41"/>
      <c r="G36" s="124">
        <v>0.3</v>
      </c>
      <c r="H36" s="124"/>
      <c r="I36" s="41"/>
      <c r="J36" s="41"/>
      <c r="K36" s="41"/>
    </row>
    <row r="37" spans="1:11" ht="14.4">
      <c r="A37" s="40" t="s">
        <v>77</v>
      </c>
      <c r="E37" s="41"/>
      <c r="F37" s="41"/>
      <c r="G37" s="124">
        <v>0.4</v>
      </c>
      <c r="H37" s="124"/>
      <c r="I37" s="41"/>
      <c r="J37" s="41"/>
      <c r="K37" s="41"/>
    </row>
    <row r="38" spans="1:11" ht="14.4">
      <c r="A38" s="40" t="s">
        <v>78</v>
      </c>
      <c r="E38" s="41"/>
      <c r="F38" s="41"/>
      <c r="G38" s="124">
        <v>1.2</v>
      </c>
      <c r="H38" s="124"/>
      <c r="I38" s="41"/>
      <c r="J38" s="41"/>
      <c r="K38" s="41"/>
    </row>
    <row r="39" spans="1:11" ht="14.4">
      <c r="A39" s="40" t="s">
        <v>80</v>
      </c>
      <c r="E39" s="41"/>
      <c r="F39" s="41"/>
      <c r="G39" s="126">
        <v>0.4</v>
      </c>
      <c r="H39" s="126"/>
      <c r="I39" s="41"/>
      <c r="J39" s="41"/>
      <c r="K39" s="41"/>
    </row>
    <row r="40" spans="1:11" ht="14.4">
      <c r="A40" s="122" t="s">
        <v>81</v>
      </c>
      <c r="E40" s="41"/>
      <c r="F40" s="41"/>
      <c r="G40" s="124">
        <v>0.23</v>
      </c>
      <c r="H40" s="124"/>
      <c r="I40" s="41"/>
      <c r="J40" s="41"/>
      <c r="K40" s="41"/>
    </row>
    <row r="41" spans="1:11" ht="14.4">
      <c r="A41" s="40" t="s">
        <v>82</v>
      </c>
      <c r="E41" s="40"/>
      <c r="F41" s="40"/>
      <c r="G41" s="124">
        <v>0.27</v>
      </c>
      <c r="H41" s="124"/>
      <c r="I41" s="40"/>
      <c r="J41" s="40"/>
      <c r="K41" s="40"/>
    </row>
    <row r="42" spans="1:11" ht="14.4">
      <c r="A42" s="40" t="s">
        <v>83</v>
      </c>
      <c r="E42" s="40"/>
      <c r="F42" s="40"/>
      <c r="G42" s="124">
        <v>0.3</v>
      </c>
      <c r="H42" s="124"/>
      <c r="I42" s="40"/>
      <c r="J42" s="40"/>
      <c r="K42" s="40"/>
    </row>
    <row r="43" spans="1:11" ht="14.4">
      <c r="A43" s="40" t="s">
        <v>114</v>
      </c>
      <c r="E43" s="122"/>
      <c r="F43" s="122"/>
      <c r="G43" s="127">
        <v>0.52</v>
      </c>
      <c r="H43" s="127"/>
      <c r="I43" s="122"/>
      <c r="J43" s="122"/>
      <c r="K43" s="122"/>
    </row>
    <row r="44" spans="1:11" ht="96.6">
      <c r="A44" s="123" t="s">
        <v>86</v>
      </c>
      <c r="E44" s="40"/>
      <c r="F44" s="40"/>
      <c r="G44" s="124">
        <v>0.26</v>
      </c>
      <c r="H44" s="124"/>
      <c r="I44" s="40"/>
      <c r="J44" s="40"/>
      <c r="K44" s="40"/>
    </row>
    <row r="45" spans="1:11" ht="14.4">
      <c r="A45" s="40" t="s">
        <v>88</v>
      </c>
      <c r="E45" s="40"/>
      <c r="F45" s="40"/>
      <c r="G45" s="124">
        <v>0.25</v>
      </c>
      <c r="H45" s="124"/>
      <c r="I45" s="40"/>
      <c r="J45" s="40"/>
      <c r="K45" s="40"/>
    </row>
    <row r="46" spans="1:11" ht="14.4">
      <c r="A46" s="40" t="s">
        <v>89</v>
      </c>
      <c r="E46" s="40"/>
      <c r="F46" s="40"/>
      <c r="G46" s="124">
        <v>0.25</v>
      </c>
      <c r="H46" s="124"/>
      <c r="I46" s="40"/>
      <c r="J46" s="40"/>
      <c r="K46" s="40"/>
    </row>
    <row r="47" spans="1:11" ht="14.4">
      <c r="A47" s="40" t="s">
        <v>128</v>
      </c>
      <c r="E47" s="40"/>
      <c r="F47" s="40"/>
      <c r="G47" s="124">
        <v>0.45</v>
      </c>
      <c r="H47" s="124"/>
      <c r="I47" s="40"/>
      <c r="J47" s="40"/>
      <c r="K47" s="40"/>
    </row>
    <row r="48" spans="1:11" ht="14.4">
      <c r="A48" s="40" t="s">
        <v>90</v>
      </c>
      <c r="E48" s="122"/>
      <c r="F48" s="122"/>
      <c r="G48" s="127">
        <v>0.52</v>
      </c>
      <c r="H48" s="127"/>
      <c r="I48" s="122"/>
      <c r="J48" s="122"/>
      <c r="K48" s="122"/>
    </row>
    <row r="49" spans="1:11" ht="14.4">
      <c r="A49" s="40" t="s">
        <v>92</v>
      </c>
      <c r="E49" s="40"/>
      <c r="F49" s="40"/>
      <c r="G49" s="124">
        <v>0.28999999999999998</v>
      </c>
      <c r="H49" s="124"/>
      <c r="I49" s="40"/>
      <c r="J49" s="40"/>
      <c r="K49" s="40"/>
    </row>
    <row r="50" spans="1:11" ht="14.4">
      <c r="A50" s="40" t="s">
        <v>94</v>
      </c>
      <c r="E50" s="40"/>
      <c r="F50" s="40"/>
      <c r="G50" s="124">
        <v>0.25</v>
      </c>
      <c r="H50" s="124"/>
      <c r="I50" s="40"/>
      <c r="J50" s="40"/>
      <c r="K50" s="40"/>
    </row>
    <row r="51" spans="1:11" ht="14.4">
      <c r="A51" s="40" t="s">
        <v>95</v>
      </c>
      <c r="E51" s="40"/>
      <c r="F51" s="40"/>
      <c r="G51" s="124">
        <v>0.2</v>
      </c>
      <c r="H51" s="124"/>
      <c r="I51" s="40"/>
      <c r="J51" s="40"/>
      <c r="K51" s="40"/>
    </row>
    <row r="52" spans="1:11" ht="33.6" customHeight="1">
      <c r="A52" s="40" t="s">
        <v>130</v>
      </c>
      <c r="E52" s="123"/>
      <c r="F52" s="123"/>
      <c r="G52" s="124">
        <v>0.52</v>
      </c>
      <c r="H52" s="124"/>
      <c r="I52" s="123"/>
      <c r="J52" s="123"/>
      <c r="K52" s="123"/>
    </row>
    <row r="53" spans="1:11" ht="14.4">
      <c r="A53" s="40" t="s">
        <v>131</v>
      </c>
      <c r="E53" s="40"/>
      <c r="F53" s="40"/>
      <c r="G53" s="124">
        <v>0.22</v>
      </c>
      <c r="H53" s="124"/>
      <c r="I53" s="40"/>
      <c r="J53" s="40"/>
      <c r="K53" s="40"/>
    </row>
    <row r="54" spans="1:11" ht="14.4">
      <c r="A54" s="122" t="s">
        <v>132</v>
      </c>
      <c r="E54" s="40"/>
      <c r="F54" s="40"/>
      <c r="G54" s="124">
        <v>0.22</v>
      </c>
      <c r="H54" s="124"/>
      <c r="I54" s="40"/>
      <c r="J54" s="40"/>
      <c r="K54" s="40"/>
    </row>
    <row r="55" spans="1:11" ht="14.4">
      <c r="A55" s="40" t="s">
        <v>118</v>
      </c>
      <c r="E55" s="40"/>
      <c r="F55" s="40"/>
      <c r="G55" s="124">
        <v>0.42</v>
      </c>
      <c r="H55" s="124"/>
      <c r="I55" s="40"/>
      <c r="J55" s="40"/>
      <c r="K55" s="40"/>
    </row>
    <row r="56" spans="1:11" ht="14.4">
      <c r="A56" s="122" t="s">
        <v>99</v>
      </c>
      <c r="E56" s="40"/>
      <c r="F56" s="40"/>
      <c r="G56" s="124">
        <v>0.85</v>
      </c>
      <c r="H56" s="124"/>
      <c r="I56" s="40"/>
      <c r="J56" s="40"/>
      <c r="K56" s="40"/>
    </row>
    <row r="57" spans="1:11" ht="14.4">
      <c r="A57" s="40" t="s">
        <v>133</v>
      </c>
      <c r="E57" s="40"/>
      <c r="F57" s="40"/>
      <c r="G57" s="124">
        <v>0.5</v>
      </c>
      <c r="H57" s="124"/>
      <c r="I57" s="40"/>
      <c r="J57" s="40"/>
      <c r="K57" s="40"/>
    </row>
    <row r="58" spans="1:11" ht="14.4">
      <c r="A58" s="40" t="s">
        <v>134</v>
      </c>
      <c r="E58" s="40"/>
      <c r="F58" s="40"/>
      <c r="G58" s="124">
        <v>0.6</v>
      </c>
      <c r="H58" s="124"/>
      <c r="I58" s="40"/>
      <c r="J58" s="40"/>
      <c r="K58" s="40"/>
    </row>
    <row r="59" spans="1:11" ht="14.4">
      <c r="A59" s="40" t="s">
        <v>102</v>
      </c>
      <c r="E59" s="40"/>
      <c r="F59" s="40"/>
      <c r="G59" s="124">
        <v>0.65</v>
      </c>
      <c r="H59" s="124"/>
      <c r="I59" s="40"/>
      <c r="J59" s="40"/>
      <c r="K59" s="40"/>
    </row>
    <row r="60" spans="1:11" ht="16.2" customHeight="1">
      <c r="A60" s="40" t="s">
        <v>103</v>
      </c>
      <c r="E60" s="40"/>
      <c r="F60" s="40"/>
      <c r="G60" s="124">
        <v>0.74</v>
      </c>
      <c r="H60" s="124"/>
      <c r="I60" s="40"/>
      <c r="J60" s="40"/>
      <c r="K60" s="40"/>
    </row>
    <row r="61" spans="1:11" ht="14.4">
      <c r="A61" s="40" t="s">
        <v>104</v>
      </c>
      <c r="E61" s="40"/>
      <c r="F61" s="40"/>
      <c r="G61" s="124">
        <v>1</v>
      </c>
      <c r="H61" s="124"/>
      <c r="I61" s="40"/>
      <c r="J61" s="40"/>
      <c r="K61" s="40"/>
    </row>
    <row r="62" spans="1:11" ht="14.4">
      <c r="A62" s="40" t="s">
        <v>106</v>
      </c>
      <c r="E62" s="122"/>
      <c r="F62" s="122"/>
      <c r="G62" s="127">
        <v>1.1200000000000001</v>
      </c>
      <c r="H62" s="127"/>
      <c r="I62" s="122"/>
      <c r="J62" s="122"/>
      <c r="K62" s="122"/>
    </row>
    <row r="63" spans="1:11" ht="14.4">
      <c r="E63" s="40"/>
      <c r="F63" s="40"/>
      <c r="G63" s="124">
        <v>0.75</v>
      </c>
      <c r="H63" s="124"/>
      <c r="I63" s="40"/>
      <c r="J63" s="40"/>
      <c r="K63" s="40"/>
    </row>
    <row r="64" spans="1:11" ht="14.4">
      <c r="E64" s="122"/>
      <c r="F64" s="122"/>
      <c r="G64" s="127">
        <v>1.38</v>
      </c>
      <c r="H64" s="127"/>
      <c r="I64" s="122"/>
      <c r="J64" s="122"/>
      <c r="K64" s="122"/>
    </row>
    <row r="65" spans="5:11" ht="14.4">
      <c r="E65" s="40"/>
      <c r="F65" s="40"/>
      <c r="G65" s="124">
        <v>0.41</v>
      </c>
      <c r="H65" s="124"/>
      <c r="I65" s="40"/>
      <c r="J65" s="40"/>
      <c r="K65" s="40"/>
    </row>
    <row r="66" spans="5:11" ht="14.4">
      <c r="E66" s="40"/>
      <c r="F66" s="40"/>
      <c r="G66" s="124">
        <v>1.1000000000000001</v>
      </c>
      <c r="H66" s="124"/>
      <c r="I66" s="40"/>
      <c r="J66" s="40"/>
      <c r="K66" s="40"/>
    </row>
    <row r="67" spans="5:11" ht="14.4">
      <c r="E67" s="40"/>
      <c r="F67" s="40"/>
      <c r="G67" s="124">
        <v>0.4</v>
      </c>
      <c r="H67" s="124"/>
      <c r="I67" s="40"/>
      <c r="J67" s="40"/>
      <c r="K67" s="40"/>
    </row>
    <row r="68" spans="5:11" ht="14.4">
      <c r="E68" s="40"/>
      <c r="F68" s="40"/>
      <c r="G68" s="124">
        <v>0.85</v>
      </c>
      <c r="H68" s="124"/>
      <c r="I68" s="40"/>
      <c r="J68" s="40"/>
      <c r="K68" s="40"/>
    </row>
    <row r="69" spans="5:11" ht="14.4">
      <c r="E69" s="40"/>
      <c r="F69" s="40"/>
      <c r="G69" s="124">
        <v>0.62</v>
      </c>
      <c r="H69" s="124"/>
      <c r="I69" s="40"/>
      <c r="J69" s="40"/>
      <c r="K69" s="40"/>
    </row>
    <row r="70" spans="5:11" ht="14.4">
      <c r="E70" s="40"/>
      <c r="F70" s="40"/>
      <c r="G70" s="124">
        <v>0.4</v>
      </c>
      <c r="H70" s="124"/>
      <c r="I70" s="40"/>
      <c r="J70" s="40"/>
      <c r="K70" s="4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उमेश कुमार यादव Umesh Kumar Yadav</cp:lastModifiedBy>
  <cp:revision/>
  <cp:lastPrinted>2025-08-30T11:53:16Z</cp:lastPrinted>
  <dcterms:created xsi:type="dcterms:W3CDTF">2025-04-14T08:19:59Z</dcterms:created>
  <dcterms:modified xsi:type="dcterms:W3CDTF">2026-02-06T06:35:16Z</dcterms:modified>
  <cp:category/>
  <cp:contentStatus/>
</cp:coreProperties>
</file>