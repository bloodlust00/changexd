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DB74EAA7-03A9-484E-B43B-27064BEA63C8}" xr6:coauthVersionLast="47" xr6:coauthVersionMax="47" xr10:uidLastSave="{00000000-0000-0000-0000-000000000000}"/>
  <bookViews>
    <workbookView xWindow="240" yWindow="105" windowWidth="14805" windowHeight="8010" firstSheet="7" activeTab="3" xr2:uid="{00000000-000D-0000-FFFF-FFFF00000000}"/>
  </bookViews>
  <sheets>
    <sheet name="Sheet1" sheetId="1" r:id="rId1"/>
    <sheet name="Sheet2" sheetId="2" r:id="rId2"/>
    <sheet name="All machine details" sheetId="3" r:id="rId3"/>
    <sheet name="L1" sheetId="9" r:id="rId4"/>
    <sheet name="L2" sheetId="7" r:id="rId5"/>
    <sheet name="L3" sheetId="8" r:id="rId6"/>
    <sheet name="L4" sheetId="10" r:id="rId7"/>
    <sheet name="L5" sheetId="11" r:id="rId8"/>
  </sheets>
  <definedNames>
    <definedName name="_xlnm._FilterDatabase" localSheetId="4" hidden="1">'L2'!$B$7:$I$7</definedName>
    <definedName name="_xlnm._FilterDatabase" localSheetId="5" hidden="1">'L3'!$B$7:$I$7</definedName>
    <definedName name="_xlnm._FilterDatabase" localSheetId="6" hidden="1">'L4'!$C$8:$J$8</definedName>
    <definedName name="_xlnm._FilterDatabase" localSheetId="7" hidden="1">'L5'!$C$8:$J$8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4" i="11" l="1"/>
  <c r="I50" i="11"/>
  <c r="I42" i="11"/>
  <c r="I17" i="11"/>
  <c r="I28" i="11"/>
  <c r="I37" i="11"/>
  <c r="I10" i="11"/>
  <c r="I63" i="11"/>
  <c r="I56" i="10"/>
  <c r="I48" i="10"/>
  <c r="I44" i="10"/>
  <c r="I39" i="10"/>
  <c r="I32" i="10"/>
  <c r="I26" i="10"/>
  <c r="I20" i="10"/>
  <c r="I10" i="10"/>
  <c r="H46" i="8"/>
  <c r="H38" i="8"/>
  <c r="H31" i="8"/>
  <c r="H25" i="8"/>
  <c r="H19" i="8"/>
  <c r="H9" i="8"/>
  <c r="H45" i="7"/>
  <c r="H37" i="7"/>
  <c r="H31" i="7"/>
  <c r="H22" i="7"/>
  <c r="H16" i="7"/>
  <c r="H9" i="7"/>
  <c r="I37" i="9"/>
  <c r="I42" i="9"/>
  <c r="I51" i="9"/>
  <c r="I21" i="9"/>
  <c r="I27" i="9"/>
  <c r="I13" i="9"/>
</calcChain>
</file>

<file path=xl/sharedStrings.xml><?xml version="1.0" encoding="utf-8"?>
<sst xmlns="http://schemas.openxmlformats.org/spreadsheetml/2006/main" count="1131" uniqueCount="583">
  <si>
    <r>
      <t>Project:</t>
    </r>
    <r>
      <rPr>
        <sz val="11"/>
        <color theme="1"/>
        <rFont val="Calibri"/>
        <family val="2"/>
        <scheme val="minor"/>
      </rPr>
      <t xml:space="preserve"> From Reactive Changeovers → Predictive Digital Factory</t>
    </r>
  </si>
  <si>
    <r>
      <t>App Name:</t>
    </r>
    <r>
      <rPr>
        <sz val="11"/>
        <color theme="1"/>
        <rFont val="Calibri"/>
        <family val="2"/>
        <scheme val="minor"/>
      </rPr>
      <t xml:space="preserve"> ChangeX — Smart Changeover System</t>
    </r>
  </si>
  <si>
    <t>Goal: Reduce sewing line changeover time by making the factory predictive instead of reactive.</t>
  </si>
  <si>
    <t>DATA SOURCES   →   DATABASE   →   SMED ENGINE   →   APPLICATION UI   →   COMMAND CENTER</t>
  </si>
  <si>
    <t>Inputs</t>
  </si>
  <si>
    <t xml:space="preserve">PPC </t>
  </si>
  <si>
    <t>IE data</t>
  </si>
  <si>
    <t>Maintenance data</t>
  </si>
  <si>
    <t>SMED time study data</t>
  </si>
  <si>
    <t>Outputs</t>
  </si>
  <si>
    <t>Predictive alerts</t>
  </si>
  <si>
    <t>Changeover checklists</t>
  </si>
  <si>
    <t>Live tracking</t>
  </si>
  <si>
    <t>Dashboards</t>
  </si>
  <si>
    <t>HOW SYSTEM REDUCES CHANGEOVER TIME</t>
  </si>
  <si>
    <t>PHASE 1 — DATA COLLECTION</t>
  </si>
  <si>
    <t>FULL SYSTEM FLOW</t>
  </si>
  <si>
    <r>
      <t>COMPANY BENEFITS OF SMED APPLICATION</t>
    </r>
    <r>
      <rPr>
        <sz val="24"/>
        <color rgb="FF0F4761"/>
        <rFont val="Aptos"/>
        <charset val="1"/>
      </rPr>
      <t> </t>
    </r>
  </si>
  <si>
    <t>BEFORE</t>
  </si>
  <si>
    <t>Time study</t>
  </si>
  <si>
    <t>PPC uploads style</t>
  </si>
  <si>
    <t>app directly helps the company by: </t>
  </si>
  <si>
    <t xml:space="preserve">  PART 1</t>
  </si>
  <si>
    <t>SCREEN 2: MAIN DASHBOARD (HOME)</t>
  </si>
  <si>
    <t>DATA FLOW STEP BY STEP</t>
  </si>
  <si>
    <t>REQUIREMENT MAPPING ENGINE</t>
  </si>
  <si>
    <t>RISK PREDICTION ENGINE</t>
  </si>
  <si>
    <t>ALERT GENERATION</t>
  </si>
  <si>
    <t>PRE-CHANGEOVER CHECKLIST</t>
  </si>
  <si>
    <t>LIVE CHANGEOVER TRACKING</t>
  </si>
  <si>
    <t>DATA STORAGE</t>
  </si>
  <si>
    <t>CC flow</t>
  </si>
  <si>
    <t xml:space="preserve">TECH STACK </t>
  </si>
  <si>
    <t>DATABASE STRUCTURE</t>
  </si>
  <si>
    <t>Machine not ready</t>
  </si>
  <si>
    <t>Machine list</t>
  </si>
  <si>
    <t>↓</t>
  </si>
  <si>
    <r>
      <rPr>
        <b/>
        <sz val="14"/>
        <color rgb="FF0F4761"/>
        <rFont val="Aptos"/>
      </rPr>
      <t>Operational</t>
    </r>
    <r>
      <rPr>
        <sz val="14"/>
        <color rgb="FF0F4761"/>
        <rFont val="Aptos"/>
      </rPr>
      <t> </t>
    </r>
  </si>
  <si>
    <t>Shows:</t>
  </si>
  <si>
    <t>STEP 1: STYLE UPLOAD (PPC)</t>
  </si>
  <si>
    <t>System checks:</t>
  </si>
  <si>
    <t>If past style had:</t>
  </si>
  <si>
    <t>Before changeover:</t>
  </si>
  <si>
    <t>Supervisor sees checklist:</t>
  </si>
  <si>
    <t>Timer starts when changeover begins.</t>
  </si>
  <si>
    <t>All data saved:</t>
  </si>
  <si>
    <t>SCREEN: FACTORY VIEW</t>
  </si>
  <si>
    <t>Frontend</t>
  </si>
  <si>
    <t>TABLE: styles</t>
  </si>
  <si>
    <t>Attachment missing</t>
  </si>
  <si>
    <t>Attachments</t>
  </si>
  <si>
    <t>System checks past data</t>
  </si>
  <si>
    <t>Reduced changeover time </t>
  </si>
  <si>
    <t xml:space="preserve"> USER ROLES</t>
  </si>
  <si>
    <t>LOGIN</t>
  </si>
  <si>
    <t>Running lines</t>
  </si>
  <si>
    <t>PPC uploads:</t>
  </si>
  <si>
    <t>Machine type</t>
  </si>
  <si>
    <t>delay</t>
  </si>
  <si>
    <t>⚠ Needle change needed</t>
  </si>
  <si>
    <t>☐ Machine ready</t>
  </si>
  <si>
    <t>Tracks:</t>
  </si>
  <si>
    <t>line_id</t>
  </si>
  <si>
    <t>LINE 1 → running</t>
  </si>
  <si>
    <t xml:space="preserve">React </t>
  </si>
  <si>
    <t>| style_id | line | date |</t>
  </si>
  <si>
    <t>Operator not trained</t>
  </si>
  <si>
    <t>Past delays</t>
  </si>
  <si>
    <t>Pre-planned maintenance </t>
  </si>
  <si>
    <t>Role</t>
  </si>
  <si>
    <t>Access</t>
  </si>
  <si>
    <t>Password</t>
  </si>
  <si>
    <t>Upcoming changeovers</t>
  </si>
  <si>
    <t>Style number</t>
  </si>
  <si>
    <t>breakdown</t>
  </si>
  <si>
    <t>⚠ Folder missing</t>
  </si>
  <si>
    <t>☐ Folder installed</t>
  </si>
  <si>
    <t>start time</t>
  </si>
  <si>
    <t>style</t>
  </si>
  <si>
    <t>LINE 2 → changeover</t>
  </si>
  <si>
    <t>Backend</t>
  </si>
  <si>
    <t>TABLE: machines</t>
  </si>
  <si>
    <t>Mechanic late</t>
  </si>
  <si>
    <t>PHASE 2 — DATABASE</t>
  </si>
  <si>
    <t>Predicts risk</t>
  </si>
  <si>
    <t>Fewer start-up defects </t>
  </si>
  <si>
    <t>IE</t>
  </si>
  <si>
    <t>SMED study, standards</t>
  </si>
  <si>
    <t>Role selection</t>
  </si>
  <si>
    <t>Risk alerts</t>
  </si>
  <si>
    <t>Operation bulletin</t>
  </si>
  <si>
    <t>Skill requirement</t>
  </si>
  <si>
    <t>skill gap</t>
  </si>
  <si>
    <t>⚠ Mechanic required</t>
  </si>
  <si>
    <t>☐ desired quality</t>
  </si>
  <si>
    <t>end time</t>
  </si>
  <si>
    <t>actual_time</t>
  </si>
  <si>
    <t>LINE 3 → delay</t>
  </si>
  <si>
    <t xml:space="preserve">Python </t>
  </si>
  <si>
    <t>| machine_id | type | status |</t>
  </si>
  <si>
    <t>AFTER</t>
  </si>
  <si>
    <t>Create tables</t>
  </si>
  <si>
    <t>Line readiness assurance </t>
  </si>
  <si>
    <t>Manager</t>
  </si>
  <si>
    <t>Command center</t>
  </si>
  <si>
    <t>Database tables</t>
  </si>
  <si>
    <t xml:space="preserve">   alert = "High risk machine"</t>
  </si>
  <si>
    <t>Alerts go to:</t>
  </si>
  <si>
    <t>Used for future prediction.</t>
  </si>
  <si>
    <t>Production</t>
  </si>
  <si>
    <t>Database</t>
  </si>
  <si>
    <t>TABLE: changeover_history</t>
  </si>
  <si>
    <t>System predicts:</t>
  </si>
  <si>
    <t>Upload historical data</t>
  </si>
  <si>
    <t>Generates checklist</t>
  </si>
  <si>
    <r>
      <t>Management</t>
    </r>
    <r>
      <rPr>
        <sz val="14"/>
        <color rgb="FF0F4761"/>
        <rFont val="Aptos"/>
        <charset val="1"/>
      </rPr>
      <t> </t>
    </r>
  </si>
  <si>
    <t>LINE 12 → Changeover in 3 hrs ⚠</t>
  </si>
  <si>
    <t>Code logic</t>
  </si>
  <si>
    <t>styles</t>
  </si>
  <si>
    <t>Supervisor tablet</t>
  </si>
  <si>
    <t>Output vs target</t>
  </si>
  <si>
    <t>MySQL</t>
  </si>
  <si>
    <t>| line | style | time | delay |</t>
  </si>
  <si>
    <t>machine needed</t>
  </si>
  <si>
    <t>PHASE 3 — APP BUILD</t>
  </si>
  <si>
    <t>Standardized SMED execution </t>
  </si>
  <si>
    <t xml:space="preserve">   trigger SMED prediction engine</t>
  </si>
  <si>
    <t>attachments</t>
  </si>
  <si>
    <r>
      <t>Predictive Alert System</t>
    </r>
    <r>
      <rPr>
        <sz val="18"/>
        <color rgb="FF0F4761"/>
        <rFont val="Aptos"/>
        <charset val="1"/>
      </rPr>
      <t> </t>
    </r>
  </si>
  <si>
    <t>Breakdown alerts</t>
  </si>
  <si>
    <t>Dashboard</t>
  </si>
  <si>
    <t>TABLE: alerts</t>
  </si>
  <si>
    <t>risk</t>
  </si>
  <si>
    <t>Login screen</t>
  </si>
  <si>
    <t>Line prepares</t>
  </si>
  <si>
    <t>No dependency on individuals </t>
  </si>
  <si>
    <t>past_changeovers</t>
  </si>
  <si>
    <t>Before the changeover even starts, the app shows: </t>
  </si>
  <si>
    <t>Machine readiness</t>
  </si>
  <si>
    <t>Power BI / looker studio</t>
  </si>
  <si>
    <t>| line | alert | status |</t>
  </si>
  <si>
    <t>Digital audit trail </t>
  </si>
  <si>
    <t>Line-wise alerts such as: </t>
  </si>
  <si>
    <t>SMED</t>
  </si>
  <si>
    <r>
      <t xml:space="preserve">So preparation happens </t>
    </r>
    <r>
      <rPr>
        <b/>
        <sz val="11"/>
        <color theme="1"/>
        <rFont val="Calibri"/>
        <family val="2"/>
        <scheme val="minor"/>
      </rPr>
      <t>before</t>
    </r>
    <r>
      <rPr>
        <sz val="11"/>
        <color theme="1"/>
        <rFont val="Calibri"/>
        <family val="2"/>
        <scheme val="minor"/>
      </rPr>
      <t xml:space="preserve"> changeover.</t>
    </r>
  </si>
  <si>
    <t>Forms</t>
  </si>
  <si>
    <t>Changeover starts</t>
  </si>
  <si>
    <t>Loss transparency </t>
  </si>
  <si>
    <t>Logic</t>
  </si>
  <si>
    <t>⚠  Needle change required – operation 7 </t>
  </si>
  <si>
    <t>Avg changeover time</t>
  </si>
  <si>
    <t>Result:</t>
  </si>
  <si>
    <t>PHASE 4 — SMED ENGINE</t>
  </si>
  <si>
    <r>
      <t>Strategic</t>
    </r>
    <r>
      <rPr>
        <sz val="14"/>
        <color rgb="FF0F4761"/>
        <rFont val="Aptos"/>
        <charset val="1"/>
      </rPr>
      <t> </t>
    </r>
  </si>
  <si>
    <t>for each operation in style:</t>
  </si>
  <si>
    <t xml:space="preserve"> </t>
  </si>
  <si>
    <t>⚠  Special folder needed – not available </t>
  </si>
  <si>
    <t>High risk lines</t>
  </si>
  <si>
    <t>No waiting</t>
  </si>
  <si>
    <t>Risk logic</t>
  </si>
  <si>
    <t>Higher line availability </t>
  </si>
  <si>
    <t xml:space="preserve">   check machine required</t>
  </si>
  <si>
    <t>⚠  Critical operation upcoming – mechanic required </t>
  </si>
  <si>
    <t>Faster setup</t>
  </si>
  <si>
    <t>Alert logic</t>
  </si>
  <si>
    <t>Faster style introduction </t>
  </si>
  <si>
    <t xml:space="preserve">   check attachment required</t>
  </si>
  <si>
    <t>⚠  Past downtime high – pre-check mandatory </t>
  </si>
  <si>
    <t>Less downtime</t>
  </si>
  <si>
    <t>Prediction logic</t>
  </si>
  <si>
    <t>Data stored</t>
  </si>
  <si>
    <t>Lower overtime </t>
  </si>
  <si>
    <t xml:space="preserve">   check past delay history</t>
  </si>
  <si>
    <t>⚠  Skill gap – operator training needed </t>
  </si>
  <si>
    <t>PHASE 5 — DASHBOARD</t>
  </si>
  <si>
    <t>Better delivery reliability </t>
  </si>
  <si>
    <t xml:space="preserve">   mark risk</t>
  </si>
  <si>
    <r>
      <t>This converts </t>
    </r>
    <r>
      <rPr>
        <b/>
        <sz val="12"/>
        <rFont val="Aptos"/>
        <charset val="1"/>
      </rPr>
      <t>SMED from reactive → predictive.</t>
    </r>
    <r>
      <rPr>
        <sz val="12"/>
        <rFont val="Aptos"/>
        <charset val="1"/>
      </rPr>
      <t> </t>
    </r>
  </si>
  <si>
    <t>Command center updates</t>
  </si>
  <si>
    <t> </t>
  </si>
  <si>
    <t>Visual screens</t>
  </si>
  <si>
    <t>CHANGEX</t>
  </si>
  <si>
    <t>UI WIREFRAME (VISUAL LAYOUT)</t>
  </si>
  <si>
    <t>2.HOME DASHBOARD (LINE STATUS VIEW)</t>
  </si>
  <si>
    <t>3. STYLE PIPELINE SCREEN (PPC)</t>
  </si>
  <si>
    <t>4. REQUIREMENT MAPPING SCREEN (IE)</t>
  </si>
  <si>
    <t>5. MACHINE READINESS SCREEN (MAINTENANCE)</t>
  </si>
  <si>
    <t>6. PREDICTIVE ALERT SCREEN</t>
  </si>
  <si>
    <t>7. LIVE CHANGEOVER TRACKING SCREEN</t>
  </si>
  <si>
    <t>8. COMMAND CENTER SCREEN</t>
  </si>
  <si>
    <t xml:space="preserve"> 1. LOGIN SCREEN</t>
  </si>
  <si>
    <t>------------------------------------------------</t>
  </si>
  <si>
    <t>| CHANGE X – SMART CHANGEOVER SYSTEM           |</t>
  </si>
  <si>
    <t>| STYLE PIPELINE                               |</t>
  </si>
  <si>
    <t>| STYLE REQUIREMENTS                           |</t>
  </si>
  <si>
    <t>| MACHINE READINESS CHECK                      |</t>
  </si>
  <si>
    <t>| CHANGEOVER ALERTS                            |</t>
  </si>
  <si>
    <t>| LIVE CHANGEOVER TRACKING                     |</t>
  </si>
  <si>
    <t>| FACTORY COMMAND CENTER                       |</t>
  </si>
  <si>
    <t>|           CHANGE X LOGIN                     |</t>
  </si>
  <si>
    <t>Upcoming Changeovers Today: 6</t>
  </si>
  <si>
    <t>Upload Style:</t>
  </si>
  <si>
    <t>Style: S45</t>
  </si>
  <si>
    <t>Line: 12</t>
  </si>
  <si>
    <t>LINE 12 – STYLE S45</t>
  </si>
  <si>
    <t xml:space="preserve"> Emp Id: ______________________</t>
  </si>
  <si>
    <t>High Risk Lines: 2</t>
  </si>
  <si>
    <t>Style No: ______</t>
  </si>
  <si>
    <t>Machine: SNLS</t>
  </si>
  <si>
    <t>LINES STATUS:</t>
  </si>
  <si>
    <t xml:space="preserve"> Password: ___________________</t>
  </si>
  <si>
    <t>Ready Lines: 3</t>
  </si>
  <si>
    <t>Line: ______</t>
  </si>
  <si>
    <t>Operations:</t>
  </si>
  <si>
    <t>L1 🟢</t>
  </si>
  <si>
    <t>Date: ______</t>
  </si>
  <si>
    <t>------------------------------------------</t>
  </si>
  <si>
    <t>☐ Cleaned</t>
  </si>
  <si>
    <t>Start Time: 2:00 PM</t>
  </si>
  <si>
    <t>L2 🔴</t>
  </si>
  <si>
    <t>Upload OB: [PDF]</t>
  </si>
  <si>
    <t>Op | Machine | Attachment | Skill</t>
  </si>
  <si>
    <t>☐ Needle changed</t>
  </si>
  <si>
    <t>⚠ Past delay high</t>
  </si>
  <si>
    <t>Current Time: 2:12 PM</t>
  </si>
  <si>
    <t>L3 🟠</t>
  </si>
  <si>
    <t>| LINE | STYLE | TIME LEFT | STATUS | ALERT    |</t>
  </si>
  <si>
    <t>☐ Oil done</t>
  </si>
  <si>
    <t>⚠ Skill gap</t>
  </si>
  <si>
    <t>Standard: 20 min</t>
  </si>
  <si>
    <t>[ SUBMIT ]</t>
  </si>
  <si>
    <t>1  | SNLS    | Folder A   | High</t>
  </si>
  <si>
    <t>----------------------------------------------</t>
  </si>
  <si>
    <t>| 12   | S45   | 2 hr      | 🔴 Risk | Folder   |</t>
  </si>
  <si>
    <t>2  | OVL     | -          | Med</t>
  </si>
  <si>
    <t>☐ Test run OK</t>
  </si>
  <si>
    <t>[ SEND ALERT TO TEAM ]</t>
  </si>
  <si>
    <t>Delay Reason:</t>
  </si>
  <si>
    <t>Production Efficiency: 78%</t>
  </si>
  <si>
    <t>| 5    | S40   | Ready     | 🟢 OK   | -        |</t>
  </si>
  <si>
    <t>Upcoming Styles:</t>
  </si>
  <si>
    <t>( ) Machine</t>
  </si>
  <si>
    <t>Avg Changeover: 28 min</t>
  </si>
  <si>
    <t>| 8    | S52   | 4 hr      | 🟠 Med  | Skill    |</t>
  </si>
  <si>
    <t>-----------------------------------</t>
  </si>
  <si>
    <t>[ SAVE ]</t>
  </si>
  <si>
    <t>[ MARK READY ]</t>
  </si>
  <si>
    <t>( ) Operator</t>
  </si>
  <si>
    <t>Breakdowns Today: 3</t>
  </si>
  <si>
    <t>| Style | Line | Date | Risk |</t>
  </si>
  <si>
    <t>( ) Attachment</t>
  </si>
  <si>
    <t xml:space="preserve"> [ LOGIN ]</t>
  </si>
  <si>
    <t>( ) Waiting</t>
  </si>
  <si>
    <t>[ View Line Details ]</t>
  </si>
  <si>
    <t>| S45   | L12  | 5 PM | High |</t>
  </si>
  <si>
    <t>Alerts:</t>
  </si>
  <si>
    <t>| S52   | L8   | 8 PM | Med  |</t>
  </si>
  <si>
    <t>• Line 12 risk</t>
  </si>
  <si>
    <t>• Machine SNLS delay</t>
  </si>
  <si>
    <t>MACHINES  DETAILS  OF  KPR</t>
  </si>
  <si>
    <t>total machines : 1753</t>
  </si>
  <si>
    <t>S.NO.</t>
  </si>
  <si>
    <t>machine make</t>
  </si>
  <si>
    <t xml:space="preserve">MACHINES </t>
  </si>
  <si>
    <t>quantity</t>
  </si>
  <si>
    <t>line &amp; section</t>
  </si>
  <si>
    <t>Voltas</t>
  </si>
  <si>
    <t>AC</t>
  </si>
  <si>
    <t>utility</t>
  </si>
  <si>
    <t>KAY INTERNATIONAL LTD,KIRLOSKAR</t>
  </si>
  <si>
    <t>AIR BLOWER</t>
  </si>
  <si>
    <t>MEGHADOOTH</t>
  </si>
  <si>
    <t>AIR WATER GENERATOR</t>
  </si>
  <si>
    <t xml:space="preserve">utility </t>
  </si>
  <si>
    <t>NGHAI SHING</t>
  </si>
  <si>
    <t>ARM HOLE PRESSING MACHINE</t>
  </si>
  <si>
    <t>line 7 , back</t>
  </si>
  <si>
    <t>BACK YOKE PRESSING MACHINE</t>
  </si>
  <si>
    <t>line 7 ,assembly</t>
  </si>
  <si>
    <t>BACK YOKE STACKER</t>
  </si>
  <si>
    <t>line 9,[front , sleeve, assembly]</t>
  </si>
  <si>
    <t>EASTMAN</t>
  </si>
  <si>
    <t>BAND KNIFE MACHINE</t>
  </si>
  <si>
    <t>cutting, assembly</t>
  </si>
  <si>
    <t>LAGUNA</t>
  </si>
  <si>
    <t>BARCODE SCANNER</t>
  </si>
  <si>
    <t>line 1, assembly</t>
  </si>
  <si>
    <t>JUKI</t>
  </si>
  <si>
    <t>BARTACK</t>
  </si>
  <si>
    <t>Line-11</t>
  </si>
  <si>
    <t>Line-8</t>
  </si>
  <si>
    <t>IDLE</t>
  </si>
  <si>
    <t>Line-9</t>
  </si>
  <si>
    <t>Line-1</t>
  </si>
  <si>
    <t>NGAI SHING</t>
  </si>
  <si>
    <t>BIAS FOLDING MACHINE</t>
  </si>
  <si>
    <t>Linee 10 , finishing</t>
  </si>
  <si>
    <t>MACPI</t>
  </si>
  <si>
    <t>BODY PRESSING MACHINE</t>
  </si>
  <si>
    <t>Line-11,MODULAR LINE</t>
  </si>
  <si>
    <t>MAXTERM</t>
  </si>
  <si>
    <t>BOILER</t>
  </si>
  <si>
    <t>1000 KG BOILER</t>
  </si>
  <si>
    <t>BUTTON HOLE</t>
  </si>
  <si>
    <t>line 1 - (9)---- Sleeve : 1 , front : 2 , collar : 3 , cuff : 2 , idle : 1</t>
  </si>
  <si>
    <t>line 2 - (7)---- Sleeve : 1 , front : 2 , collar : 1 , assembly : 3</t>
  </si>
  <si>
    <t>line 3 - (8)---- Sleeve : 2 , front : 2 , collar : 3 , cuff : 1</t>
  </si>
  <si>
    <t>line 4 - (4)----  front : 2 , collar : 2</t>
  </si>
  <si>
    <t>line 5 - (6)----  front : 2 , collar : 3 , cuff : 1</t>
  </si>
  <si>
    <t>line 6 - (7)---- Sleeve : 1 , front : 2 , collar : 3 , cuff : 1</t>
  </si>
  <si>
    <t>line 7 - (7)---- Sleeve : 1 , front : 2 , collar : 3 , cuff : 1</t>
  </si>
  <si>
    <t>line 8 - (5)---- Sleeve : 1 , front : 1 , collar : 2 , cuff : 1</t>
  </si>
  <si>
    <t>line 9- (6)----  front : 1 , assembly : 1 , rebuttoning : 4</t>
  </si>
  <si>
    <t>line 10 - (3)---- front : 2 , rebuttoning : 1</t>
  </si>
  <si>
    <t>rebuttoning - 1</t>
  </si>
  <si>
    <t>BUTTON STITCH</t>
  </si>
  <si>
    <t xml:space="preserve">line 1 (15) ------- Front : 8, sleeve : 3 , cuff : 1, assembly : 3 </t>
  </si>
  <si>
    <t>line 2 (7) ------- Front : 4, collar : 1 , cuff : 1, assembly : 1</t>
  </si>
  <si>
    <t>line 3 (7) ------- Front : 1, collar : 1 , cuff : 5</t>
  </si>
  <si>
    <t>line 4 - 0</t>
  </si>
  <si>
    <t>line 5 (3) -------  Collar : 2 , cuff : 1</t>
  </si>
  <si>
    <t xml:space="preserve">line 6 (8) ------- Front : 2, collar : 2 , cuff : 1, assembly : 3 </t>
  </si>
  <si>
    <t xml:space="preserve">line 7 (4) ------- Front : 1, sleeve : 1 , cuff : 1, collar : 1 </t>
  </si>
  <si>
    <t>line 8 (2) ------- cuff : 1, collar: 1</t>
  </si>
  <si>
    <t xml:space="preserve">line 9 (2) ------- cuff : 2 </t>
  </si>
  <si>
    <t xml:space="preserve">line 10 ------- Front : 1, collar : 1 , cuff : 1, assembly : 1 </t>
  </si>
  <si>
    <t xml:space="preserve">line 11 (2) ------- back : 1, collar : 1  </t>
  </si>
  <si>
    <t>MACPI , NGHAI SHING</t>
  </si>
  <si>
    <t>COLLAR &amp; CUFF PRESSING MACHINE</t>
  </si>
  <si>
    <t>line1  &amp; line 2 = 0</t>
  </si>
  <si>
    <t>line 3 -  0 &amp; line 4 = 4 machine in back section.</t>
  </si>
  <si>
    <t xml:space="preserve">line 5 (1) : front </t>
  </si>
  <si>
    <t>line 7 (2)- Front : 1, back : 1</t>
  </si>
  <si>
    <t xml:space="preserve">line 8 (2) - </t>
  </si>
  <si>
    <t>NGHAI SHING, CP</t>
  </si>
  <si>
    <t>COLLAR BLOCKING MACHINE</t>
  </si>
  <si>
    <t>line 1 (3) - collar - 3</t>
  </si>
  <si>
    <t>line 2 (2) - collar - 2</t>
  </si>
  <si>
    <t>line 3 (2) - cuff -1 , collar - 1</t>
  </si>
  <si>
    <t>line 4 (1) - collar - 1</t>
  </si>
  <si>
    <t>line 5 (1) - cuff - 1</t>
  </si>
  <si>
    <t>line 6 (1) - assembly - 1</t>
  </si>
  <si>
    <t>line 7 (3) - Sleeve :1, cuff:1, assembly :1</t>
  </si>
  <si>
    <t>line 8 (1) - collar : 1</t>
  </si>
  <si>
    <t>line 9 (2) - cuff : 1, assembly : 1</t>
  </si>
  <si>
    <t>line 10 (4) - assembly :2 , collar :1 , back :1</t>
  </si>
  <si>
    <t>line 11 (1) - assembly : 1</t>
  </si>
  <si>
    <t>COLLAR NOTCH</t>
  </si>
  <si>
    <t xml:space="preserve">line 1 (1) - collar : 1 </t>
  </si>
  <si>
    <t xml:space="preserve">Line-2 (1) - collar : 1 </t>
  </si>
  <si>
    <t xml:space="preserve">Line-3 (1) - collar : 1 </t>
  </si>
  <si>
    <t xml:space="preserve">Line-4 (1) - collar : 1  </t>
  </si>
  <si>
    <t>line 5 (1) - cuff : 1</t>
  </si>
  <si>
    <t>line 6 (1) - back : 1</t>
  </si>
  <si>
    <t>line 7 (1) - collar : 1</t>
  </si>
  <si>
    <t>line 8 (1) - sleeve : 1</t>
  </si>
  <si>
    <t>line 9 (2) - front : 1</t>
  </si>
  <si>
    <t xml:space="preserve">line 10 (1) - collar :1 </t>
  </si>
  <si>
    <t>line 11 (1) - collar :1</t>
  </si>
  <si>
    <t>COLLAR ROUND PRESSING MACHINE</t>
  </si>
  <si>
    <t>line 4 - back : 1</t>
  </si>
  <si>
    <t>line 5 - front : 1</t>
  </si>
  <si>
    <t>line 7 - front : 1</t>
  </si>
  <si>
    <t>line 8 - assembly : 1</t>
  </si>
  <si>
    <t>ELGI , KIRLOSKAR</t>
  </si>
  <si>
    <t>COMPRESSOR</t>
  </si>
  <si>
    <t>CONTOUR TRIMMING MACHINE</t>
  </si>
  <si>
    <t xml:space="preserve">line 1 </t>
  </si>
  <si>
    <t xml:space="preserve">Line 2 </t>
  </si>
  <si>
    <t xml:space="preserve">Line 3 </t>
  </si>
  <si>
    <t xml:space="preserve">Line 4 (1) - collar : 1  </t>
  </si>
  <si>
    <t xml:space="preserve">line 5 </t>
  </si>
  <si>
    <t xml:space="preserve">line 6 (1) - collar : 1  </t>
  </si>
  <si>
    <t>line 9</t>
  </si>
  <si>
    <t>NGHAI SHING ,  CP</t>
  </si>
  <si>
    <t>CUFF BLOCKING MACHINE</t>
  </si>
  <si>
    <t>LINE 1 - cuff :2 , assembly :2</t>
  </si>
  <si>
    <t>line 4 - cuff : 1 , assembly : 1</t>
  </si>
  <si>
    <t>line 5 -  assembly : 1</t>
  </si>
  <si>
    <t>line 6 - assembly :1</t>
  </si>
  <si>
    <t>line 9 - cuff :2</t>
  </si>
  <si>
    <t xml:space="preserve">CUMMINS	</t>
  </si>
  <si>
    <t>DG</t>
  </si>
  <si>
    <t>N/A</t>
  </si>
  <si>
    <t>DIE BENDING MACHINE</t>
  </si>
  <si>
    <t xml:space="preserve">cutting </t>
  </si>
  <si>
    <t>DIE CLICK CUTTING MACHINE</t>
  </si>
  <si>
    <t>sewing - line 2 (assembly)</t>
  </si>
  <si>
    <t>DOUBLE NEEDLE CHAIN STITCH</t>
  </si>
  <si>
    <t xml:space="preserve">sewing (38) : line 1 - sewing (6)                                                                             line 2 : sewing - 4 , finishing - 1 </t>
  </si>
  <si>
    <t xml:space="preserve">DOUBLE NEEDLE LOCKSTITCH </t>
  </si>
  <si>
    <t>sewing - 4, finishing-12</t>
  </si>
  <si>
    <t>DRYER</t>
  </si>
  <si>
    <t>BARUDAN</t>
  </si>
  <si>
    <t>EMBROIDERY MACHINE</t>
  </si>
  <si>
    <t>sewing</t>
  </si>
  <si>
    <t>END CUTTER MACHINE</t>
  </si>
  <si>
    <t>FABRIC DRILLING MACHINE</t>
  </si>
  <si>
    <t>RAMSONS</t>
  </si>
  <si>
    <t xml:space="preserve">FABRIC INSPECTION MACHINE </t>
  </si>
  <si>
    <t>cutting-1, utility-1</t>
  </si>
  <si>
    <t>EDGE</t>
  </si>
  <si>
    <t>FABRIC RELAXATION</t>
  </si>
  <si>
    <t>finishing</t>
  </si>
  <si>
    <t>FEED OFF ARM</t>
  </si>
  <si>
    <t>sewing -10, finishing - 20</t>
  </si>
  <si>
    <t>FOLDING TABLE</t>
  </si>
  <si>
    <t>SRIYON CONTROLS</t>
  </si>
  <si>
    <t>FORK BATTERY CHARGER</t>
  </si>
  <si>
    <t>MINI</t>
  </si>
  <si>
    <t>FORK LIFT</t>
  </si>
  <si>
    <t>FRONT PLACKET CUTTING MACHINE</t>
  </si>
  <si>
    <t>NGHAI SHING, NISSION</t>
  </si>
  <si>
    <t>FRONT PLACKET PRESSING MACHINE</t>
  </si>
  <si>
    <t>VEIT , MASTER ENTERPRISES</t>
  </si>
  <si>
    <t>FUSING MACHINE</t>
  </si>
  <si>
    <t>cutting -3, sewing -2</t>
  </si>
  <si>
    <t>FUSING MASTER</t>
  </si>
  <si>
    <t>FUSING MACHINE CONVEYOR</t>
  </si>
  <si>
    <t>BOSCH ,EXTRA POWER</t>
  </si>
  <si>
    <t>GRINDING MACHINE</t>
  </si>
  <si>
    <t>GUSSET PRESSING MACHINE</t>
  </si>
  <si>
    <t>HT YARD</t>
  </si>
  <si>
    <t>INVERTER</t>
  </si>
  <si>
    <t>NGHAI SHING , RAMSONS</t>
  </si>
  <si>
    <t>IRON TABLE</t>
  </si>
  <si>
    <t>finishing - 13 , sewing - 110</t>
  </si>
  <si>
    <t>KANSAI</t>
  </si>
  <si>
    <t>CUT &amp; SEW</t>
  </si>
  <si>
    <t>AVERY DENNISON</t>
  </si>
  <si>
    <t>LABEL PRESSING MACHINE</t>
  </si>
  <si>
    <t>YUKEN</t>
  </si>
  <si>
    <t>LIFT</t>
  </si>
  <si>
    <t>GITHA</t>
  </si>
  <si>
    <t>MANUAL FORK MACHINE</t>
  </si>
  <si>
    <t>HASHIMA</t>
  </si>
  <si>
    <t>METAL DETECTOR MACHINE</t>
  </si>
  <si>
    <t>sewing -2, finishing - 2</t>
  </si>
  <si>
    <t>NECK BAND TURNING MACHINE</t>
  </si>
  <si>
    <t>JUKI , HIGHLEAD ,TYPICAL,PEGASUS</t>
  </si>
  <si>
    <t>OVERLOCK</t>
  </si>
  <si>
    <t>sewing - 32 , finishing - 46</t>
  </si>
  <si>
    <t>I-CUBE</t>
  </si>
  <si>
    <t>PANEL BOARD</t>
  </si>
  <si>
    <t>SUPREME ,  JUKI</t>
  </si>
  <si>
    <t>PATTERN SEWER MACHINE</t>
  </si>
  <si>
    <t>POST BED MACHINE</t>
  </si>
  <si>
    <t>KIRLOSKAR BROTHER , JHONSON PUMP</t>
  </si>
  <si>
    <t>PUMP</t>
  </si>
  <si>
    <t>WHIRLPOOL</t>
  </si>
  <si>
    <t>REFRIGERATOR</t>
  </si>
  <si>
    <t>RIGHT HEM STACKER</t>
  </si>
  <si>
    <t>RO DEALS</t>
  </si>
  <si>
    <t>RO PLANT</t>
  </si>
  <si>
    <t>ROTARY FUSING MACHINE</t>
  </si>
  <si>
    <t>SAND FILTER</t>
  </si>
  <si>
    <t>ROOTS</t>
  </si>
  <si>
    <t>SCRUBBER MACHINE</t>
  </si>
  <si>
    <t>SELF FOLDING MACHINE</t>
  </si>
  <si>
    <t>NISSION</t>
  </si>
  <si>
    <t>SIDE SEAM PRESSING MACHINE</t>
  </si>
  <si>
    <t>sewing - line 6 &amp; 7 (assembly)</t>
  </si>
  <si>
    <t>JUKI , BROTHER , HIGHLEAD</t>
  </si>
  <si>
    <t>SINGLE NEEDLE EDGE CUTTING</t>
  </si>
  <si>
    <t xml:space="preserve">sewing - </t>
  </si>
  <si>
    <t>JUKI , BROTHER , PFAFF, SUN STAR , DURK OF ADLER</t>
  </si>
  <si>
    <t>SNLS</t>
  </si>
  <si>
    <t xml:space="preserve">Sewing  &amp; finishing </t>
  </si>
  <si>
    <t>SLEEVE PLACKET CREASING MACHINE</t>
  </si>
  <si>
    <t>SLITTING MACHINE</t>
  </si>
  <si>
    <t>SPOT WASH MACHINE</t>
  </si>
  <si>
    <t>Finishing - 1 (line 1) , sewing - 3(line 9,5,8 )</t>
  </si>
  <si>
    <t>STRAIGHT KNIFE MACHINE</t>
  </si>
  <si>
    <t>cutting section - cuff, collar, assembly, back , training room</t>
  </si>
  <si>
    <t>VENTURA OMNITECH</t>
  </si>
  <si>
    <t>STRAPPING MACHINE</t>
  </si>
  <si>
    <t>cutting</t>
  </si>
  <si>
    <t>RAMSONS , LAGUNA</t>
  </si>
  <si>
    <t>THREAD SUCKING MACHINE</t>
  </si>
  <si>
    <t>sewing &amp; finishing</t>
  </si>
  <si>
    <t>TRIM &amp; TURN MACHINE</t>
  </si>
  <si>
    <t>TRIPLE HEAD FRONT PLACKET PRESSING MACHINE</t>
  </si>
  <si>
    <t>sewing (line 7)</t>
  </si>
  <si>
    <t>ONLINE UPS</t>
  </si>
  <si>
    <t>UPS</t>
  </si>
  <si>
    <t>V-PATCH</t>
  </si>
  <si>
    <t>WASHING DRYER</t>
  </si>
  <si>
    <t>SAMSUNG</t>
  </si>
  <si>
    <t>WASHING MACHINE</t>
  </si>
  <si>
    <t>NIKITH , GB KORE ARC</t>
  </si>
  <si>
    <t>WELDING MACHINE</t>
  </si>
  <si>
    <t>ESSAE , CONTECH , SURYA</t>
  </si>
  <si>
    <t>WEIGHING MACHINE</t>
  </si>
  <si>
    <t>Finishing (line 8)</t>
  </si>
  <si>
    <t>MMS , SAKHO</t>
  </si>
  <si>
    <t>WRAPPING MACHINE</t>
  </si>
  <si>
    <t>sewing -      line 4 (3)</t>
  </si>
  <si>
    <t>line 8(2)</t>
  </si>
  <si>
    <t>line 11 (2)</t>
  </si>
  <si>
    <t xml:space="preserve">finishing -   line 2 (1) , </t>
  </si>
  <si>
    <t xml:space="preserve">LINE WISE MACHINE DETAILS </t>
  </si>
  <si>
    <t>LINE WISE</t>
  </si>
  <si>
    <t>DEPARTMENTS</t>
  </si>
  <si>
    <t>SECTIONS</t>
  </si>
  <si>
    <t>MACHINE  MAKE</t>
  </si>
  <si>
    <t>MACHINE TYPE</t>
  </si>
  <si>
    <t>Machine Count</t>
  </si>
  <si>
    <t>Total  MACHINES</t>
  </si>
  <si>
    <t>OVERALL  MACHINES</t>
  </si>
  <si>
    <t>LINE 1</t>
  </si>
  <si>
    <t>SEWING</t>
  </si>
  <si>
    <t>COLLAR</t>
  </si>
  <si>
    <t xml:space="preserve">JUKI </t>
  </si>
  <si>
    <t>SINGLE NEEDLE LOCKSTITCH</t>
  </si>
  <si>
    <t xml:space="preserve">BUTTON HOLE </t>
  </si>
  <si>
    <t xml:space="preserve">COLLAR BLOCKING MACHINE </t>
  </si>
  <si>
    <t xml:space="preserve">COLLAR NOTCH </t>
  </si>
  <si>
    <t xml:space="preserve">IRON TABLE </t>
  </si>
  <si>
    <t>SUPREME</t>
  </si>
  <si>
    <t>BROTHER</t>
  </si>
  <si>
    <t>CUFF</t>
  </si>
  <si>
    <t>JUKI , BROTHER</t>
  </si>
  <si>
    <t xml:space="preserve">SINGLE NEEDLE LOCKSTITCH </t>
  </si>
  <si>
    <t xml:space="preserve">BUTTON STITCH </t>
  </si>
  <si>
    <t>CP</t>
  </si>
  <si>
    <t xml:space="preserve">CUFF BLOCKING MACHINE </t>
  </si>
  <si>
    <t xml:space="preserve">FRONT </t>
  </si>
  <si>
    <t xml:space="preserve">JUKI , BROTHER </t>
  </si>
  <si>
    <t>IRON TABLE (2)</t>
  </si>
  <si>
    <t>MNT</t>
  </si>
  <si>
    <t xml:space="preserve">BACK </t>
  </si>
  <si>
    <t>SLEEVE</t>
  </si>
  <si>
    <t>MODULAR LINE</t>
  </si>
  <si>
    <t xml:space="preserve">DOUBLE NEEDLE CHAIN STITCH </t>
  </si>
  <si>
    <t xml:space="preserve">ASSEMBLY </t>
  </si>
  <si>
    <t>JUKI (16) , BROTHER (5)</t>
  </si>
  <si>
    <t>GUSSET PRESSING MACHINE (2)</t>
  </si>
  <si>
    <t>VEIT</t>
  </si>
  <si>
    <t>DOUBLE NEEDLE CHAIN STITCH (4)</t>
  </si>
  <si>
    <t>PEGASUS</t>
  </si>
  <si>
    <t>FINISHING</t>
  </si>
  <si>
    <t>MACHINE COUNT</t>
  </si>
  <si>
    <t>ALLOCATED  MACHINES</t>
  </si>
  <si>
    <t>TOATAL  MACHINES</t>
  </si>
  <si>
    <t>LINE 2</t>
  </si>
  <si>
    <t>SINGLE NEEDLE LOCKSTITCH (9)</t>
  </si>
  <si>
    <t>BUTTON HOLE (2)</t>
  </si>
  <si>
    <t>COLLAR BLOCKING MACHINE (2)</t>
  </si>
  <si>
    <t>COLLAR NOTCH (1)</t>
  </si>
  <si>
    <t>IRON TABLE (4)</t>
  </si>
  <si>
    <t>SINGLE NEEDLE LOCKSTITCH (2)</t>
  </si>
  <si>
    <t>BUTTON STITCH (1)</t>
  </si>
  <si>
    <t>SINGLE NEEDLE EDGE CUTTING (2)</t>
  </si>
  <si>
    <t>SINGLE NEEDLE LOCKSTITCH (1)</t>
  </si>
  <si>
    <t>BUTTON STITCH (4)</t>
  </si>
  <si>
    <t>SINGLE NEEDLE LOCKSTITCH (3)</t>
  </si>
  <si>
    <t>FABRIC DRILLING MACHINE (2)</t>
  </si>
  <si>
    <t>BACK YOKE STACKER (2)</t>
  </si>
  <si>
    <t>DOUBLE NEEDLE CHAIN STITCH (3)</t>
  </si>
  <si>
    <t>JUKI (9) , BROTHER (3)</t>
  </si>
  <si>
    <t>SINGLE NEEDLE LOCKSTITCH (12)</t>
  </si>
  <si>
    <t>BUTTON HOLE (3)</t>
  </si>
  <si>
    <t>DIE CLICK CUTTING MACHINE (2)</t>
  </si>
  <si>
    <t>MMS</t>
  </si>
  <si>
    <t>LINE 3</t>
  </si>
  <si>
    <t>SINGLE NEEDLE LOCKSTITCH (5)</t>
  </si>
  <si>
    <t>COLLAR BLOCKING MACHINE (1)</t>
  </si>
  <si>
    <t>TRIM &amp; TURN MACHINE (1)</t>
  </si>
  <si>
    <t>HIGHLEAD</t>
  </si>
  <si>
    <t xml:space="preserve">BUTTON STITCH (3) </t>
  </si>
  <si>
    <t>IRON TABLE (3)</t>
  </si>
  <si>
    <t>BUTTON STITCH (5)</t>
  </si>
  <si>
    <t>JUKI , BROTHER (1)</t>
  </si>
  <si>
    <t>SINGLE NEEDLE LOCKSTITCH (10)</t>
  </si>
  <si>
    <t>PATTERN SEWER MACHINE (4)</t>
  </si>
  <si>
    <t>LINE 4</t>
  </si>
  <si>
    <t>JUKI , BROTHER (2)</t>
  </si>
  <si>
    <t>MASTER ENTERPRISES</t>
  </si>
  <si>
    <t>JUKI (32) , BROTHER (1)</t>
  </si>
  <si>
    <t>Finishing</t>
  </si>
  <si>
    <t>LINE 5</t>
  </si>
  <si>
    <t>JUKI , BROTHER(10) , PFAFF</t>
  </si>
  <si>
    <t>JUKI , PEGASUS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</si>
</sst>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4"/>
      <color rgb="FF000000"/>
      <name val="Calibri"/>
      <scheme val="minor"/>
    </font>
    <font>
      <b/>
      <sz val="14"/>
      <color rgb="FF000000"/>
      <name val="Calibri"/>
      <charset val="1"/>
    </font>
    <font>
      <b/>
      <sz val="11"/>
      <color rgb="FF000000"/>
      <name val="Calibri"/>
      <scheme val="minor"/>
    </font>
    <font>
      <b/>
      <sz val="18"/>
      <color theme="1"/>
      <name val="Calibri"/>
      <family val="2"/>
      <scheme val="minor"/>
    </font>
    <font>
      <sz val="10"/>
      <color theme="1"/>
      <name val="Courier New"/>
      <charset val="1"/>
    </font>
    <font>
      <b/>
      <sz val="24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ourier New"/>
      <charset val="1"/>
    </font>
    <font>
      <b/>
      <sz val="24"/>
      <color rgb="FF000000"/>
      <name val="Calibri"/>
      <scheme val="minor"/>
    </font>
    <font>
      <b/>
      <sz val="10"/>
      <color theme="1"/>
      <name val="Courier New"/>
      <charset val="1"/>
    </font>
    <font>
      <sz val="18"/>
      <color rgb="FF0F4761"/>
      <name val="Aptos"/>
      <charset val="1"/>
    </font>
    <font>
      <b/>
      <sz val="18"/>
      <color rgb="FF0F4761"/>
      <name val="Aptos"/>
      <charset val="1"/>
    </font>
    <font>
      <sz val="12"/>
      <name val="Aptos"/>
      <charset val="1"/>
    </font>
    <font>
      <b/>
      <sz val="12"/>
      <name val="Aptos"/>
      <charset val="1"/>
    </font>
    <font>
      <sz val="24"/>
      <color rgb="FF0F4761"/>
      <name val="Aptos"/>
      <charset val="1"/>
    </font>
    <font>
      <b/>
      <sz val="24"/>
      <color rgb="FF0F4761"/>
      <name val="Aptos"/>
      <charset val="1"/>
    </font>
    <font>
      <sz val="14"/>
      <color rgb="FF0F4761"/>
      <name val="Aptos"/>
      <charset val="1"/>
    </font>
    <font>
      <b/>
      <sz val="14"/>
      <color rgb="FF0F4761"/>
      <name val="Aptos"/>
      <charset val="1"/>
    </font>
    <font>
      <b/>
      <sz val="24"/>
      <color theme="1"/>
      <name val="Courier New"/>
      <charset val="1"/>
    </font>
    <font>
      <b/>
      <sz val="16"/>
      <color theme="1"/>
      <name val="Courier New"/>
      <charset val="1"/>
    </font>
    <font>
      <b/>
      <sz val="14"/>
      <color rgb="FF0F4761"/>
      <name val="Aptos"/>
    </font>
    <font>
      <sz val="14"/>
      <color rgb="FF0F4761"/>
      <name val="Aptos"/>
    </font>
    <font>
      <sz val="11"/>
      <color rgb="FF000000"/>
      <name val="Calibri"/>
      <charset val="1"/>
    </font>
    <font>
      <sz val="11"/>
      <color rgb="FF000000"/>
      <name val="Calibri"/>
    </font>
    <font>
      <sz val="10"/>
      <color theme="1"/>
      <name val="Arial"/>
      <scheme val="minor"/>
    </font>
    <font>
      <sz val="9"/>
      <color rgb="FF000000"/>
      <name val="Calibri"/>
      <scheme val="minor"/>
    </font>
    <font>
      <sz val="11"/>
      <color theme="1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5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0" fillId="0" borderId="2" xfId="0" applyBorder="1"/>
    <xf numFmtId="0" fontId="0" fillId="0" borderId="3" xfId="0" applyBorder="1"/>
    <xf numFmtId="0" fontId="2" fillId="0" borderId="4" xfId="0" applyFont="1" applyBorder="1"/>
    <xf numFmtId="0" fontId="0" fillId="0" borderId="5" xfId="0" applyBorder="1"/>
    <xf numFmtId="0" fontId="1" fillId="0" borderId="9" xfId="0" applyFont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1" fillId="0" borderId="12" xfId="0" applyFont="1" applyBorder="1"/>
    <xf numFmtId="0" fontId="0" fillId="0" borderId="13" xfId="0" applyBorder="1"/>
    <xf numFmtId="0" fontId="0" fillId="0" borderId="14" xfId="0" applyBorder="1"/>
    <xf numFmtId="0" fontId="7" fillId="0" borderId="15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6" fillId="2" borderId="5" xfId="0" applyFont="1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3" borderId="5" xfId="0" applyFill="1" applyBorder="1" applyAlignment="1">
      <alignment wrapText="1"/>
    </xf>
    <xf numFmtId="0" fontId="8" fillId="0" borderId="0" xfId="0" applyFont="1" applyAlignment="1">
      <alignment wrapText="1"/>
    </xf>
    <xf numFmtId="0" fontId="3" fillId="0" borderId="5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0" fillId="0" borderId="5" xfId="0" applyBorder="1" applyAlignment="1">
      <alignment wrapText="1"/>
    </xf>
    <xf numFmtId="0" fontId="7" fillId="0" borderId="0" xfId="0" applyFont="1" applyAlignment="1"/>
    <xf numFmtId="0" fontId="7" fillId="0" borderId="2" xfId="0" applyFont="1" applyBorder="1" applyAlignment="1"/>
    <xf numFmtId="0" fontId="7" fillId="0" borderId="3" xfId="0" applyFont="1" applyBorder="1" applyAlignment="1"/>
    <xf numFmtId="0" fontId="2" fillId="0" borderId="5" xfId="0" applyFont="1" applyBorder="1"/>
    <xf numFmtId="0" fontId="7" fillId="0" borderId="5" xfId="0" applyFont="1" applyBorder="1" applyAlignment="1"/>
    <xf numFmtId="0" fontId="10" fillId="0" borderId="16" xfId="0" applyFont="1" applyBorder="1" applyAlignment="1">
      <alignment wrapText="1"/>
    </xf>
    <xf numFmtId="0" fontId="0" fillId="0" borderId="17" xfId="0" applyBorder="1" applyAlignment="1">
      <alignment wrapText="1"/>
    </xf>
    <xf numFmtId="0" fontId="6" fillId="0" borderId="16" xfId="0" applyFont="1" applyBorder="1" applyAlignment="1">
      <alignment wrapText="1"/>
    </xf>
    <xf numFmtId="0" fontId="7" fillId="0" borderId="17" xfId="0" applyFont="1" applyBorder="1" applyAlignment="1">
      <alignment wrapText="1"/>
    </xf>
    <xf numFmtId="0" fontId="12" fillId="4" borderId="17" xfId="0" applyFont="1" applyFill="1" applyBorder="1" applyAlignment="1">
      <alignment wrapText="1"/>
    </xf>
    <xf numFmtId="0" fontId="11" fillId="4" borderId="18" xfId="0" applyFont="1" applyFill="1" applyBorder="1"/>
    <xf numFmtId="0" fontId="0" fillId="0" borderId="2" xfId="0" applyBorder="1" applyAlignment="1">
      <alignment wrapText="1"/>
    </xf>
    <xf numFmtId="0" fontId="6" fillId="0" borderId="1" xfId="0" applyFont="1" applyBorder="1"/>
    <xf numFmtId="0" fontId="6" fillId="0" borderId="5" xfId="0" applyFont="1" applyBorder="1"/>
    <xf numFmtId="0" fontId="0" fillId="5" borderId="5" xfId="0" applyFill="1" applyBorder="1"/>
    <xf numFmtId="0" fontId="0" fillId="0" borderId="3" xfId="0" applyBorder="1" applyAlignment="1">
      <alignment wrapText="1"/>
    </xf>
    <xf numFmtId="0" fontId="0" fillId="6" borderId="0" xfId="0" applyFill="1"/>
    <xf numFmtId="0" fontId="8" fillId="0" borderId="1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0" fillId="0" borderId="15" xfId="0" applyBorder="1"/>
    <xf numFmtId="0" fontId="0" fillId="0" borderId="8" xfId="0" applyBorder="1"/>
    <xf numFmtId="0" fontId="1" fillId="8" borderId="15" xfId="0" applyFont="1" applyFill="1" applyBorder="1"/>
    <xf numFmtId="0" fontId="6" fillId="9" borderId="5" xfId="0" applyFont="1" applyFill="1" applyBorder="1" applyAlignment="1">
      <alignment wrapText="1"/>
    </xf>
    <xf numFmtId="0" fontId="0" fillId="9" borderId="5" xfId="0" applyFill="1" applyBorder="1" applyAlignment="1">
      <alignment wrapText="1"/>
    </xf>
    <xf numFmtId="0" fontId="0" fillId="7" borderId="5" xfId="0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11" borderId="1" xfId="0" applyFont="1" applyFill="1" applyBorder="1" applyAlignment="1">
      <alignment wrapText="1"/>
    </xf>
    <xf numFmtId="0" fontId="11" fillId="10" borderId="5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12" borderId="2" xfId="0" applyFont="1" applyFill="1" applyBorder="1" applyAlignment="1">
      <alignment wrapText="1"/>
    </xf>
    <xf numFmtId="0" fontId="2" fillId="13" borderId="1" xfId="0" applyFont="1" applyFill="1" applyBorder="1"/>
    <xf numFmtId="0" fontId="2" fillId="13" borderId="2" xfId="0" applyFont="1" applyFill="1" applyBorder="1"/>
    <xf numFmtId="0" fontId="7" fillId="0" borderId="1" xfId="0" applyFont="1" applyBorder="1" applyAlignment="1">
      <alignment wrapText="1"/>
    </xf>
    <xf numFmtId="0" fontId="3" fillId="2" borderId="0" xfId="0" applyFont="1" applyFill="1" applyAlignment="1">
      <alignment horizontal="center" wrapText="1"/>
    </xf>
    <xf numFmtId="0" fontId="8" fillId="14" borderId="0" xfId="0" applyFont="1" applyFill="1" applyAlignment="1">
      <alignment wrapText="1"/>
    </xf>
    <xf numFmtId="0" fontId="6" fillId="14" borderId="0" xfId="0" applyFont="1" applyFill="1" applyAlignment="1">
      <alignment wrapText="1"/>
    </xf>
    <xf numFmtId="0" fontId="17" fillId="0" borderId="0" xfId="0" applyFont="1" applyAlignment="1">
      <alignment wrapText="1"/>
    </xf>
    <xf numFmtId="0" fontId="16" fillId="0" borderId="1" xfId="0" applyFont="1" applyBorder="1" applyAlignment="1">
      <alignment wrapText="1"/>
    </xf>
    <xf numFmtId="0" fontId="17" fillId="0" borderId="2" xfId="0" applyFont="1" applyBorder="1" applyAlignment="1">
      <alignment wrapText="1"/>
    </xf>
    <xf numFmtId="0" fontId="17" fillId="0" borderId="3" xfId="0" applyFont="1" applyBorder="1" applyAlignment="1">
      <alignment wrapText="1"/>
    </xf>
    <xf numFmtId="0" fontId="20" fillId="15" borderId="1" xfId="0" applyFont="1" applyFill="1" applyBorder="1" applyAlignment="1">
      <alignment wrapText="1"/>
    </xf>
    <xf numFmtId="0" fontId="17" fillId="15" borderId="2" xfId="0" applyFont="1" applyFill="1" applyBorder="1" applyAlignment="1">
      <alignment wrapText="1"/>
    </xf>
    <xf numFmtId="0" fontId="22" fillId="15" borderId="2" xfId="0" applyFont="1" applyFill="1" applyBorder="1" applyAlignment="1">
      <alignment wrapText="1"/>
    </xf>
    <xf numFmtId="0" fontId="17" fillId="15" borderId="3" xfId="0" applyFont="1" applyFill="1" applyBorder="1" applyAlignment="1">
      <alignment wrapText="1"/>
    </xf>
    <xf numFmtId="0" fontId="14" fillId="3" borderId="1" xfId="0" quotePrefix="1" applyFont="1" applyFill="1" applyBorder="1" applyAlignment="1">
      <alignment wrapText="1"/>
    </xf>
    <xf numFmtId="0" fontId="14" fillId="3" borderId="2" xfId="0" applyFont="1" applyFill="1" applyBorder="1" applyAlignment="1">
      <alignment wrapText="1"/>
    </xf>
    <xf numFmtId="0" fontId="14" fillId="3" borderId="2" xfId="0" quotePrefix="1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4" fillId="3" borderId="3" xfId="0" applyFont="1" applyFill="1" applyBorder="1" applyAlignment="1">
      <alignment wrapText="1"/>
    </xf>
    <xf numFmtId="0" fontId="14" fillId="3" borderId="3" xfId="0" quotePrefix="1" applyFont="1" applyFill="1" applyBorder="1" applyAlignment="1">
      <alignment wrapText="1"/>
    </xf>
    <xf numFmtId="0" fontId="23" fillId="0" borderId="2" xfId="0" applyFont="1" applyBorder="1" applyAlignment="1">
      <alignment wrapText="1"/>
    </xf>
    <xf numFmtId="0" fontId="24" fillId="0" borderId="2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0" fillId="0" borderId="19" xfId="0" applyBorder="1" applyAlignment="1">
      <alignment wrapText="1"/>
    </xf>
    <xf numFmtId="0" fontId="25" fillId="15" borderId="2" xfId="0" applyFont="1" applyFill="1" applyBorder="1" applyAlignment="1">
      <alignment wrapText="1"/>
    </xf>
    <xf numFmtId="0" fontId="28" fillId="0" borderId="5" xfId="0" applyFont="1" applyBorder="1" applyAlignment="1">
      <alignment horizontal="center"/>
    </xf>
    <xf numFmtId="0" fontId="28" fillId="3" borderId="5" xfId="0" applyFont="1" applyFill="1" applyBorder="1" applyAlignment="1">
      <alignment horizontal="center"/>
    </xf>
    <xf numFmtId="0" fontId="27" fillId="0" borderId="5" xfId="0" applyFont="1" applyBorder="1" applyAlignment="1">
      <alignment horizontal="center"/>
    </xf>
    <xf numFmtId="0" fontId="28" fillId="0" borderId="11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28" fillId="0" borderId="10" xfId="0" applyFont="1" applyBorder="1" applyAlignment="1">
      <alignment horizontal="center" wrapText="1"/>
    </xf>
    <xf numFmtId="0" fontId="28" fillId="0" borderId="10" xfId="0" applyFont="1" applyBorder="1" applyAlignment="1">
      <alignment horizontal="center"/>
    </xf>
    <xf numFmtId="0" fontId="28" fillId="3" borderId="11" xfId="0" applyFont="1" applyFill="1" applyBorder="1" applyAlignment="1">
      <alignment horizontal="center"/>
    </xf>
    <xf numFmtId="0" fontId="28" fillId="3" borderId="10" xfId="0" applyFont="1" applyFill="1" applyBorder="1" applyAlignment="1">
      <alignment horizontal="center"/>
    </xf>
    <xf numFmtId="0" fontId="28" fillId="17" borderId="5" xfId="0" applyFont="1" applyFill="1" applyBorder="1" applyAlignment="1">
      <alignment horizontal="center"/>
    </xf>
    <xf numFmtId="0" fontId="28" fillId="17" borderId="20" xfId="0" applyFont="1" applyFill="1" applyBorder="1" applyAlignment="1">
      <alignment horizontal="center"/>
    </xf>
    <xf numFmtId="0" fontId="0" fillId="0" borderId="0" xfId="0" applyAlignment="1"/>
    <xf numFmtId="0" fontId="1" fillId="16" borderId="20" xfId="0" applyFont="1" applyFill="1" applyBorder="1"/>
    <xf numFmtId="0" fontId="1" fillId="16" borderId="5" xfId="0" applyFont="1" applyFill="1" applyBorder="1" applyAlignment="1">
      <alignment horizontal="center"/>
    </xf>
    <xf numFmtId="0" fontId="1" fillId="16" borderId="11" xfId="0" applyFont="1" applyFill="1" applyBorder="1" applyAlignment="1">
      <alignment horizontal="center"/>
    </xf>
    <xf numFmtId="0" fontId="1" fillId="16" borderId="20" xfId="0" applyFont="1" applyFill="1" applyBorder="1" applyAlignment="1">
      <alignment horizontal="center"/>
    </xf>
    <xf numFmtId="0" fontId="1" fillId="16" borderId="11" xfId="0" applyFont="1" applyFill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0" xfId="0" applyBorder="1" applyAlignment="1"/>
    <xf numFmtId="0" fontId="30" fillId="0" borderId="14" xfId="0" applyFont="1" applyBorder="1" applyAlignment="1">
      <alignment horizontal="center" wrapText="1"/>
    </xf>
    <xf numFmtId="0" fontId="0" fillId="0" borderId="3" xfId="0" applyBorder="1" applyAlignment="1">
      <alignment vertical="center"/>
    </xf>
    <xf numFmtId="0" fontId="0" fillId="0" borderId="4" xfId="0" applyBorder="1"/>
    <xf numFmtId="0" fontId="28" fillId="3" borderId="3" xfId="0" applyFont="1" applyFill="1" applyBorder="1" applyAlignment="1">
      <alignment horizontal="left"/>
    </xf>
    <xf numFmtId="0" fontId="29" fillId="0" borderId="19" xfId="0" applyFont="1" applyBorder="1"/>
    <xf numFmtId="0" fontId="29" fillId="0" borderId="17" xfId="0" applyFont="1" applyBorder="1"/>
    <xf numFmtId="0" fontId="29" fillId="0" borderId="18" xfId="0" applyFont="1" applyBorder="1"/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2" xfId="0" applyBorder="1"/>
    <xf numFmtId="0" fontId="0" fillId="0" borderId="0" xfId="0" applyBorder="1"/>
    <xf numFmtId="0" fontId="28" fillId="0" borderId="0" xfId="0" applyFont="1" applyBorder="1" applyAlignment="1">
      <alignment horizontal="left"/>
    </xf>
    <xf numFmtId="0" fontId="0" fillId="0" borderId="16" xfId="0" applyBorder="1"/>
    <xf numFmtId="0" fontId="28" fillId="0" borderId="17" xfId="0" applyFont="1" applyBorder="1" applyAlignment="1">
      <alignment horizontal="left"/>
    </xf>
    <xf numFmtId="0" fontId="28" fillId="0" borderId="19" xfId="0" applyFont="1" applyBorder="1" applyAlignment="1">
      <alignment horizontal="left"/>
    </xf>
    <xf numFmtId="0" fontId="28" fillId="17" borderId="14" xfId="0" applyFont="1" applyFill="1" applyBorder="1" applyAlignment="1">
      <alignment horizontal="center"/>
    </xf>
    <xf numFmtId="0" fontId="0" fillId="0" borderId="20" xfId="0" applyBorder="1"/>
    <xf numFmtId="0" fontId="28" fillId="0" borderId="20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31" fillId="17" borderId="5" xfId="0" applyFont="1" applyFill="1" applyBorder="1" applyAlignment="1">
      <alignment horizontal="center"/>
    </xf>
    <xf numFmtId="0" fontId="28" fillId="0" borderId="13" xfId="0" applyFont="1" applyBorder="1" applyAlignment="1">
      <alignment horizontal="center"/>
    </xf>
    <xf numFmtId="0" fontId="29" fillId="0" borderId="13" xfId="0" applyFont="1" applyBorder="1" applyAlignment="1">
      <alignment horizontal="center"/>
    </xf>
    <xf numFmtId="0" fontId="28" fillId="17" borderId="13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8" fillId="3" borderId="13" xfId="0" applyFont="1" applyFill="1" applyBorder="1" applyAlignment="1">
      <alignment horizontal="center"/>
    </xf>
    <xf numFmtId="0" fontId="0" fillId="0" borderId="10" xfId="0" applyBorder="1"/>
    <xf numFmtId="0" fontId="28" fillId="0" borderId="14" xfId="0" applyFont="1" applyBorder="1" applyAlignment="1">
      <alignment horizontal="center"/>
    </xf>
    <xf numFmtId="0" fontId="0" fillId="0" borderId="11" xfId="0" applyBorder="1"/>
    <xf numFmtId="0" fontId="28" fillId="0" borderId="5" xfId="0" applyFont="1" applyBorder="1" applyAlignment="1">
      <alignment horizontal="center" wrapText="1"/>
    </xf>
    <xf numFmtId="0" fontId="0" fillId="0" borderId="5" xfId="0" applyFont="1" applyBorder="1"/>
    <xf numFmtId="0" fontId="0" fillId="0" borderId="20" xfId="0" applyFont="1" applyBorder="1"/>
    <xf numFmtId="0" fontId="0" fillId="0" borderId="24" xfId="0" applyBorder="1"/>
    <xf numFmtId="0" fontId="0" fillId="0" borderId="9" xfId="0" applyBorder="1"/>
    <xf numFmtId="0" fontId="0" fillId="0" borderId="20" xfId="0" applyBorder="1" applyAlignment="1">
      <alignment horizontal="left" vertical="top" wrapText="1"/>
    </xf>
    <xf numFmtId="0" fontId="0" fillId="0" borderId="19" xfId="0" applyBorder="1"/>
    <xf numFmtId="0" fontId="28" fillId="0" borderId="20" xfId="0" applyFont="1" applyBorder="1" applyAlignment="1">
      <alignment horizontal="center" vertical="center" wrapText="1"/>
    </xf>
    <xf numFmtId="0" fontId="5" fillId="19" borderId="5" xfId="0" applyFont="1" applyFill="1" applyBorder="1" applyAlignment="1">
      <alignment horizontal="center"/>
    </xf>
    <xf numFmtId="0" fontId="33" fillId="20" borderId="5" xfId="0" applyFont="1" applyFill="1" applyBorder="1" applyAlignment="1">
      <alignment horizontal="center" vertical="center" wrapText="1"/>
    </xf>
    <xf numFmtId="0" fontId="33" fillId="10" borderId="5" xfId="0" applyFont="1" applyFill="1" applyBorder="1" applyAlignment="1">
      <alignment horizontal="center"/>
    </xf>
    <xf numFmtId="0" fontId="5" fillId="21" borderId="5" xfId="0" applyFont="1" applyFill="1" applyBorder="1" applyAlignment="1">
      <alignment horizontal="center"/>
    </xf>
    <xf numFmtId="0" fontId="32" fillId="4" borderId="5" xfId="0" applyFont="1" applyFill="1" applyBorder="1" applyAlignment="1">
      <alignment horizontal="center"/>
    </xf>
    <xf numFmtId="0" fontId="33" fillId="10" borderId="5" xfId="0" applyFont="1" applyFill="1" applyBorder="1" applyAlignment="1">
      <alignment horizontal="center" wrapText="1"/>
    </xf>
    <xf numFmtId="0" fontId="5" fillId="19" borderId="5" xfId="0" applyFont="1" applyFill="1" applyBorder="1" applyAlignment="1"/>
    <xf numFmtId="0" fontId="33" fillId="20" borderId="5" xfId="0" applyFont="1" applyFill="1" applyBorder="1" applyAlignment="1">
      <alignment vertical="center" wrapText="1"/>
    </xf>
    <xf numFmtId="0" fontId="33" fillId="10" borderId="5" xfId="0" applyFont="1" applyFill="1" applyBorder="1" applyAlignment="1"/>
    <xf numFmtId="0" fontId="5" fillId="21" borderId="5" xfId="0" applyFont="1" applyFill="1" applyBorder="1" applyAlignment="1"/>
    <xf numFmtId="0" fontId="33" fillId="10" borderId="5" xfId="0" applyFont="1" applyFill="1" applyBorder="1" applyAlignment="1">
      <alignment wrapText="1"/>
    </xf>
    <xf numFmtId="0" fontId="32" fillId="4" borderId="5" xfId="0" applyFont="1" applyFill="1" applyBorder="1" applyAlignment="1"/>
    <xf numFmtId="0" fontId="0" fillId="0" borderId="31" xfId="0" applyBorder="1" applyAlignment="1">
      <alignment horizontal="center"/>
    </xf>
    <xf numFmtId="0" fontId="0" fillId="0" borderId="0" xfId="0" applyAlignment="1">
      <alignment horizontal="left"/>
    </xf>
    <xf numFmtId="0" fontId="28" fillId="0" borderId="42" xfId="0" applyFont="1" applyBorder="1" applyAlignment="1">
      <alignment horizontal="left"/>
    </xf>
    <xf numFmtId="0" fontId="28" fillId="0" borderId="16" xfId="0" applyFont="1" applyBorder="1" applyAlignment="1">
      <alignment horizontal="left"/>
    </xf>
    <xf numFmtId="0" fontId="28" fillId="0" borderId="25" xfId="0" applyFont="1" applyBorder="1" applyAlignment="1">
      <alignment horizontal="left"/>
    </xf>
    <xf numFmtId="0" fontId="28" fillId="3" borderId="13" xfId="0" applyFont="1" applyFill="1" applyBorder="1" applyAlignment="1">
      <alignment horizontal="left"/>
    </xf>
    <xf numFmtId="0" fontId="28" fillId="3" borderId="17" xfId="0" applyFont="1" applyFill="1" applyBorder="1" applyAlignment="1">
      <alignment horizontal="left"/>
    </xf>
    <xf numFmtId="0" fontId="28" fillId="0" borderId="13" xfId="0" applyFont="1" applyBorder="1" applyAlignment="1">
      <alignment horizontal="left"/>
    </xf>
    <xf numFmtId="0" fontId="28" fillId="3" borderId="35" xfId="0" applyFont="1" applyFill="1" applyBorder="1" applyAlignment="1">
      <alignment horizontal="left"/>
    </xf>
    <xf numFmtId="0" fontId="28" fillId="3" borderId="18" xfId="0" applyFont="1" applyFill="1" applyBorder="1" applyAlignment="1">
      <alignment horizontal="left"/>
    </xf>
    <xf numFmtId="0" fontId="28" fillId="0" borderId="35" xfId="0" applyFont="1" applyBorder="1" applyAlignment="1">
      <alignment horizontal="left"/>
    </xf>
    <xf numFmtId="0" fontId="28" fillId="0" borderId="18" xfId="0" applyFont="1" applyBorder="1" applyAlignment="1">
      <alignment horizontal="left"/>
    </xf>
    <xf numFmtId="0" fontId="28" fillId="0" borderId="40" xfId="0" applyFont="1" applyBorder="1" applyAlignment="1">
      <alignment horizontal="left"/>
    </xf>
    <xf numFmtId="0" fontId="0" fillId="0" borderId="0" xfId="0" applyAlignment="1">
      <alignment horizontal="right"/>
    </xf>
    <xf numFmtId="0" fontId="28" fillId="0" borderId="42" xfId="0" applyFont="1" applyBorder="1" applyAlignment="1">
      <alignment horizontal="right"/>
    </xf>
    <xf numFmtId="0" fontId="28" fillId="0" borderId="23" xfId="0" applyFont="1" applyBorder="1" applyAlignment="1">
      <alignment horizontal="right"/>
    </xf>
    <xf numFmtId="0" fontId="28" fillId="0" borderId="25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28" fillId="0" borderId="40" xfId="0" applyFont="1" applyBorder="1" applyAlignment="1">
      <alignment horizontal="right"/>
    </xf>
    <xf numFmtId="0" fontId="28" fillId="3" borderId="21" xfId="0" applyFont="1" applyFill="1" applyBorder="1" applyAlignment="1">
      <alignment horizontal="right"/>
    </xf>
    <xf numFmtId="0" fontId="28" fillId="0" borderId="4" xfId="0" applyFont="1" applyBorder="1" applyAlignment="1">
      <alignment horizontal="left"/>
    </xf>
    <xf numFmtId="0" fontId="0" fillId="0" borderId="0" xfId="0" applyAlignment="1">
      <alignment horizontal="center"/>
    </xf>
    <xf numFmtId="0" fontId="28" fillId="0" borderId="5" xfId="0" applyFont="1" applyBorder="1" applyAlignment="1">
      <alignment horizontal="left"/>
    </xf>
    <xf numFmtId="0" fontId="28" fillId="3" borderId="0" xfId="0" applyFont="1" applyFill="1" applyBorder="1" applyAlignment="1">
      <alignment horizontal="right"/>
    </xf>
    <xf numFmtId="0" fontId="0" fillId="0" borderId="13" xfId="0" applyBorder="1" applyAlignment="1">
      <alignment horizontal="right"/>
    </xf>
    <xf numFmtId="0" fontId="28" fillId="3" borderId="10" xfId="0" applyFont="1" applyFill="1" applyBorder="1" applyAlignment="1">
      <alignment horizontal="left"/>
    </xf>
    <xf numFmtId="0" fontId="28" fillId="3" borderId="5" xfId="0" applyFont="1" applyFill="1" applyBorder="1" applyAlignment="1">
      <alignment horizontal="left"/>
    </xf>
    <xf numFmtId="0" fontId="28" fillId="0" borderId="32" xfId="0" applyFont="1" applyBorder="1" applyAlignment="1">
      <alignment horizontal="left"/>
    </xf>
    <xf numFmtId="0" fontId="28" fillId="0" borderId="33" xfId="0" applyFont="1" applyBorder="1" applyAlignment="1">
      <alignment horizontal="left"/>
    </xf>
    <xf numFmtId="0" fontId="28" fillId="0" borderId="10" xfId="0" applyFont="1" applyBorder="1" applyAlignment="1">
      <alignment horizontal="left"/>
    </xf>
    <xf numFmtId="0" fontId="28" fillId="0" borderId="11" xfId="0" applyFont="1" applyBorder="1" applyAlignment="1">
      <alignment horizontal="left"/>
    </xf>
    <xf numFmtId="0" fontId="28" fillId="0" borderId="14" xfId="0" applyFont="1" applyBorder="1" applyAlignment="1">
      <alignment horizontal="left"/>
    </xf>
    <xf numFmtId="0" fontId="28" fillId="0" borderId="12" xfId="0" applyFont="1" applyBorder="1" applyAlignment="1">
      <alignment horizontal="left"/>
    </xf>
    <xf numFmtId="0" fontId="28" fillId="0" borderId="34" xfId="0" applyFont="1" applyBorder="1" applyAlignment="1">
      <alignment horizontal="left"/>
    </xf>
    <xf numFmtId="0" fontId="28" fillId="0" borderId="38" xfId="0" applyFont="1" applyBorder="1" applyAlignment="1">
      <alignment horizontal="left"/>
    </xf>
    <xf numFmtId="0" fontId="28" fillId="3" borderId="39" xfId="0" applyFont="1" applyFill="1" applyBorder="1" applyAlignment="1">
      <alignment horizontal="left"/>
    </xf>
    <xf numFmtId="0" fontId="28" fillId="0" borderId="33" xfId="0" applyFont="1" applyBorder="1" applyAlignment="1">
      <alignment horizontal="right"/>
    </xf>
    <xf numFmtId="0" fontId="28" fillId="0" borderId="13" xfId="0" applyFont="1" applyBorder="1" applyAlignment="1">
      <alignment horizontal="right"/>
    </xf>
    <xf numFmtId="0" fontId="28" fillId="3" borderId="13" xfId="0" applyFont="1" applyFill="1" applyBorder="1" applyAlignment="1">
      <alignment horizontal="right"/>
    </xf>
    <xf numFmtId="0" fontId="28" fillId="0" borderId="14" xfId="0" applyFont="1" applyBorder="1" applyAlignment="1">
      <alignment horizontal="right"/>
    </xf>
    <xf numFmtId="0" fontId="28" fillId="0" borderId="12" xfId="0" applyFont="1" applyBorder="1" applyAlignment="1">
      <alignment horizontal="right"/>
    </xf>
    <xf numFmtId="0" fontId="28" fillId="3" borderId="35" xfId="0" applyFont="1" applyFill="1" applyBorder="1" applyAlignment="1">
      <alignment horizontal="right"/>
    </xf>
    <xf numFmtId="0" fontId="28" fillId="3" borderId="39" xfId="0" applyFont="1" applyFill="1" applyBorder="1" applyAlignment="1">
      <alignment horizontal="right"/>
    </xf>
    <xf numFmtId="0" fontId="28" fillId="0" borderId="31" xfId="0" applyFont="1" applyBorder="1" applyAlignment="1">
      <alignment horizontal="left"/>
    </xf>
    <xf numFmtId="0" fontId="0" fillId="0" borderId="38" xfId="0" applyBorder="1" applyAlignment="1">
      <alignment horizontal="left"/>
    </xf>
    <xf numFmtId="0" fontId="28" fillId="3" borderId="11" xfId="0" applyFont="1" applyFill="1" applyBorder="1" applyAlignment="1">
      <alignment horizontal="left"/>
    </xf>
    <xf numFmtId="0" fontId="28" fillId="0" borderId="5" xfId="0" applyFont="1" applyBorder="1" applyAlignment="1">
      <alignment horizontal="right"/>
    </xf>
    <xf numFmtId="0" fontId="28" fillId="3" borderId="5" xfId="0" applyFont="1" applyFill="1" applyBorder="1" applyAlignment="1">
      <alignment horizontal="right"/>
    </xf>
    <xf numFmtId="0" fontId="0" fillId="0" borderId="23" xfId="0" applyBorder="1" applyAlignment="1">
      <alignment horizontal="right"/>
    </xf>
    <xf numFmtId="0" fontId="28" fillId="3" borderId="20" xfId="0" applyFont="1" applyFill="1" applyBorder="1" applyAlignment="1">
      <alignment horizontal="right"/>
    </xf>
    <xf numFmtId="0" fontId="28" fillId="0" borderId="36" xfId="0" applyFont="1" applyBorder="1" applyAlignment="1">
      <alignment horizontal="right"/>
    </xf>
    <xf numFmtId="0" fontId="0" fillId="0" borderId="4" xfId="0" applyBorder="1" applyAlignment="1">
      <alignment horizontal="right"/>
    </xf>
    <xf numFmtId="0" fontId="28" fillId="3" borderId="14" xfId="0" applyFont="1" applyFill="1" applyBorder="1" applyAlignment="1">
      <alignment horizontal="left"/>
    </xf>
    <xf numFmtId="0" fontId="28" fillId="3" borderId="34" xfId="0" applyFont="1" applyFill="1" applyBorder="1" applyAlignment="1">
      <alignment horizontal="left"/>
    </xf>
    <xf numFmtId="0" fontId="28" fillId="3" borderId="14" xfId="0" applyFont="1" applyFill="1" applyBorder="1" applyAlignment="1">
      <alignment horizontal="right"/>
    </xf>
    <xf numFmtId="0" fontId="28" fillId="3" borderId="10" xfId="0" applyFont="1" applyFill="1" applyBorder="1" applyAlignment="1">
      <alignment horizontal="right"/>
    </xf>
    <xf numFmtId="0" fontId="28" fillId="0" borderId="10" xfId="0" applyFont="1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left"/>
    </xf>
    <xf numFmtId="0" fontId="28" fillId="3" borderId="40" xfId="0" applyFont="1" applyFill="1" applyBorder="1" applyAlignment="1">
      <alignment horizontal="left"/>
    </xf>
    <xf numFmtId="0" fontId="28" fillId="0" borderId="41" xfId="0" applyFont="1" applyBorder="1" applyAlignment="1">
      <alignment horizontal="right"/>
    </xf>
    <xf numFmtId="0" fontId="0" fillId="0" borderId="37" xfId="0" applyBorder="1" applyAlignment="1">
      <alignment horizontal="right"/>
    </xf>
    <xf numFmtId="0" fontId="28" fillId="0" borderId="44" xfId="0" applyFont="1" applyBorder="1" applyAlignment="1">
      <alignment horizontal="left"/>
    </xf>
    <xf numFmtId="0" fontId="28" fillId="0" borderId="26" xfId="0" applyFont="1" applyBorder="1" applyAlignment="1">
      <alignment horizontal="right"/>
    </xf>
    <xf numFmtId="0" fontId="28" fillId="0" borderId="27" xfId="0" applyFont="1" applyBorder="1" applyAlignment="1">
      <alignment horizontal="right"/>
    </xf>
    <xf numFmtId="0" fontId="28" fillId="3" borderId="27" xfId="0" applyFont="1" applyFill="1" applyBorder="1" applyAlignment="1">
      <alignment horizontal="right"/>
    </xf>
    <xf numFmtId="0" fontId="28" fillId="3" borderId="49" xfId="0" applyFont="1" applyFill="1" applyBorder="1" applyAlignment="1">
      <alignment horizontal="right"/>
    </xf>
    <xf numFmtId="0" fontId="28" fillId="3" borderId="28" xfId="0" applyFont="1" applyFill="1" applyBorder="1" applyAlignment="1">
      <alignment horizontal="right"/>
    </xf>
    <xf numFmtId="0" fontId="28" fillId="0" borderId="36" xfId="0" applyFont="1" applyBorder="1" applyAlignment="1">
      <alignment horizontal="left"/>
    </xf>
    <xf numFmtId="0" fontId="28" fillId="3" borderId="16" xfId="0" applyFont="1" applyFill="1" applyBorder="1" applyAlignment="1">
      <alignment horizontal="left"/>
    </xf>
    <xf numFmtId="0" fontId="28" fillId="3" borderId="44" xfId="0" applyFont="1" applyFill="1" applyBorder="1" applyAlignment="1">
      <alignment horizontal="left"/>
    </xf>
    <xf numFmtId="0" fontId="28" fillId="3" borderId="45" xfId="0" applyFont="1" applyFill="1" applyBorder="1" applyAlignment="1">
      <alignment horizontal="left"/>
    </xf>
    <xf numFmtId="0" fontId="28" fillId="3" borderId="46" xfId="0" applyFont="1" applyFill="1" applyBorder="1" applyAlignment="1">
      <alignment horizontal="left"/>
    </xf>
    <xf numFmtId="0" fontId="0" fillId="0" borderId="26" xfId="0" applyBorder="1" applyAlignment="1">
      <alignment horizontal="right"/>
    </xf>
    <xf numFmtId="0" fontId="0" fillId="0" borderId="27" xfId="0" applyBorder="1" applyAlignment="1">
      <alignment horizontal="right"/>
    </xf>
    <xf numFmtId="0" fontId="0" fillId="0" borderId="28" xfId="0" applyBorder="1" applyAlignment="1">
      <alignment horizontal="right"/>
    </xf>
    <xf numFmtId="0" fontId="28" fillId="0" borderId="45" xfId="0" applyFont="1" applyBorder="1" applyAlignment="1">
      <alignment horizontal="left"/>
    </xf>
    <xf numFmtId="0" fontId="28" fillId="0" borderId="46" xfId="0" applyFont="1" applyBorder="1" applyAlignment="1">
      <alignment horizontal="left"/>
    </xf>
    <xf numFmtId="0" fontId="28" fillId="3" borderId="44" xfId="0" applyFont="1" applyFill="1" applyBorder="1" applyAlignment="1">
      <alignment horizontal="center"/>
    </xf>
    <xf numFmtId="0" fontId="28" fillId="0" borderId="46" xfId="0" applyFont="1" applyBorder="1" applyAlignment="1">
      <alignment horizontal="center"/>
    </xf>
    <xf numFmtId="0" fontId="0" fillId="0" borderId="16" xfId="0" applyBorder="1" applyAlignment="1">
      <alignment horizontal="right"/>
    </xf>
    <xf numFmtId="0" fontId="0" fillId="0" borderId="18" xfId="0" applyBorder="1" applyAlignment="1">
      <alignment horizontal="right"/>
    </xf>
    <xf numFmtId="0" fontId="28" fillId="17" borderId="46" xfId="0" applyFont="1" applyFill="1" applyBorder="1" applyAlignment="1">
      <alignment horizontal="center"/>
    </xf>
    <xf numFmtId="0" fontId="28" fillId="3" borderId="4" xfId="0" applyFont="1" applyFill="1" applyBorder="1" applyAlignment="1">
      <alignment horizontal="right"/>
    </xf>
    <xf numFmtId="0" fontId="28" fillId="0" borderId="37" xfId="0" applyFont="1" applyBorder="1" applyAlignment="1">
      <alignment horizontal="left"/>
    </xf>
    <xf numFmtId="0" fontId="28" fillId="0" borderId="43" xfId="0" applyFont="1" applyBorder="1" applyAlignment="1">
      <alignment horizontal="left"/>
    </xf>
    <xf numFmtId="0" fontId="28" fillId="0" borderId="1" xfId="0" applyFont="1" applyBorder="1" applyAlignment="1">
      <alignment horizontal="left"/>
    </xf>
    <xf numFmtId="0" fontId="28" fillId="0" borderId="44" xfId="0" applyFont="1" applyBorder="1" applyAlignment="1">
      <alignment horizontal="right"/>
    </xf>
    <xf numFmtId="0" fontId="28" fillId="0" borderId="50" xfId="0" applyFont="1" applyBorder="1" applyAlignment="1">
      <alignment horizontal="right"/>
    </xf>
    <xf numFmtId="0" fontId="28" fillId="0" borderId="45" xfId="0" applyFont="1" applyBorder="1" applyAlignment="1">
      <alignment horizontal="right"/>
    </xf>
    <xf numFmtId="0" fontId="28" fillId="0" borderId="46" xfId="0" applyFont="1" applyBorder="1" applyAlignment="1">
      <alignment horizontal="right"/>
    </xf>
    <xf numFmtId="0" fontId="0" fillId="0" borderId="45" xfId="0" applyBorder="1" applyAlignment="1">
      <alignment horizontal="right"/>
    </xf>
    <xf numFmtId="0" fontId="0" fillId="0" borderId="46" xfId="0" applyBorder="1" applyAlignment="1">
      <alignment horizontal="right"/>
    </xf>
    <xf numFmtId="0" fontId="28" fillId="3" borderId="25" xfId="0" applyFont="1" applyFill="1" applyBorder="1" applyAlignment="1">
      <alignment horizontal="left"/>
    </xf>
    <xf numFmtId="0" fontId="0" fillId="0" borderId="25" xfId="0" applyBorder="1" applyAlignment="1">
      <alignment horizontal="right"/>
    </xf>
    <xf numFmtId="0" fontId="0" fillId="0" borderId="40" xfId="0" applyBorder="1" applyAlignment="1">
      <alignment horizontal="right"/>
    </xf>
    <xf numFmtId="0" fontId="28" fillId="0" borderId="51" xfId="0" applyFont="1" applyBorder="1" applyAlignment="1">
      <alignment horizontal="right"/>
    </xf>
    <xf numFmtId="0" fontId="0" fillId="0" borderId="18" xfId="0" applyBorder="1" applyAlignment="1">
      <alignment horizontal="left"/>
    </xf>
    <xf numFmtId="0" fontId="0" fillId="0" borderId="40" xfId="0" applyBorder="1" applyAlignment="1">
      <alignment horizontal="left"/>
    </xf>
    <xf numFmtId="0" fontId="0" fillId="0" borderId="1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right" vertical="center"/>
    </xf>
    <xf numFmtId="0" fontId="0" fillId="0" borderId="41" xfId="0" applyBorder="1" applyAlignment="1">
      <alignment horizontal="left"/>
    </xf>
    <xf numFmtId="0" fontId="28" fillId="3" borderId="25" xfId="0" applyFont="1" applyFill="1" applyBorder="1" applyAlignment="1">
      <alignment horizontal="right"/>
    </xf>
    <xf numFmtId="0" fontId="28" fillId="3" borderId="40" xfId="0" applyFont="1" applyFill="1" applyBorder="1" applyAlignment="1">
      <alignment horizontal="right"/>
    </xf>
    <xf numFmtId="0" fontId="28" fillId="0" borderId="16" xfId="0" applyFont="1" applyBorder="1" applyAlignment="1">
      <alignment horizontal="right"/>
    </xf>
    <xf numFmtId="0" fontId="28" fillId="0" borderId="17" xfId="0" applyFont="1" applyBorder="1" applyAlignment="1">
      <alignment horizontal="right"/>
    </xf>
    <xf numFmtId="0" fontId="28" fillId="0" borderId="52" xfId="0" applyFont="1" applyBorder="1" applyAlignment="1">
      <alignment horizontal="right"/>
    </xf>
    <xf numFmtId="0" fontId="28" fillId="0" borderId="28" xfId="0" applyFont="1" applyBorder="1" applyAlignment="1">
      <alignment horizontal="right"/>
    </xf>
    <xf numFmtId="0" fontId="0" fillId="0" borderId="17" xfId="0" applyBorder="1" applyAlignment="1">
      <alignment horizontal="right"/>
    </xf>
    <xf numFmtId="0" fontId="28" fillId="3" borderId="26" xfId="0" applyFont="1" applyFill="1" applyBorder="1" applyAlignment="1">
      <alignment horizontal="left"/>
    </xf>
    <xf numFmtId="0" fontId="28" fillId="3" borderId="27" xfId="0" applyFont="1" applyFill="1" applyBorder="1" applyAlignment="1">
      <alignment horizontal="left"/>
    </xf>
    <xf numFmtId="0" fontId="28" fillId="3" borderId="28" xfId="0" applyFont="1" applyFill="1" applyBorder="1" applyAlignment="1">
      <alignment horizontal="left"/>
    </xf>
    <xf numFmtId="0" fontId="28" fillId="0" borderId="53" xfId="0" applyFont="1" applyBorder="1" applyAlignment="1">
      <alignment horizontal="center"/>
    </xf>
    <xf numFmtId="0" fontId="28" fillId="3" borderId="54" xfId="0" applyFont="1" applyFill="1" applyBorder="1" applyAlignment="1">
      <alignment horizontal="center"/>
    </xf>
    <xf numFmtId="0" fontId="28" fillId="3" borderId="0" xfId="0" applyFont="1" applyFill="1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42" xfId="0" applyBorder="1" applyAlignment="1">
      <alignment horizontal="right"/>
    </xf>
    <xf numFmtId="0" fontId="28" fillId="3" borderId="45" xfId="0" applyFont="1" applyFill="1" applyBorder="1" applyAlignment="1">
      <alignment horizontal="right"/>
    </xf>
    <xf numFmtId="0" fontId="0" fillId="0" borderId="37" xfId="0" applyBorder="1" applyAlignment="1">
      <alignment horizontal="right" vertical="center"/>
    </xf>
    <xf numFmtId="0" fontId="5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4" fillId="0" borderId="14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0" fillId="0" borderId="5" xfId="0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4" xfId="0" applyBorder="1" applyAlignment="1">
      <alignment horizontal="center" vertical="top" wrapText="1"/>
    </xf>
    <xf numFmtId="0" fontId="0" fillId="0" borderId="12" xfId="0" applyBorder="1" applyAlignment="1">
      <alignment horizontal="center" vertical="top"/>
    </xf>
    <xf numFmtId="0" fontId="0" fillId="0" borderId="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5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0" fillId="0" borderId="20" xfId="0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3" borderId="5" xfId="0" applyFont="1" applyFill="1" applyBorder="1" applyAlignment="1">
      <alignment horizontal="center" vertical="center"/>
    </xf>
    <xf numFmtId="0" fontId="28" fillId="3" borderId="20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29" fillId="0" borderId="21" xfId="0" applyFont="1" applyBorder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29" fillId="0" borderId="2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18" borderId="36" xfId="0" applyFont="1" applyFill="1" applyBorder="1" applyAlignment="1">
      <alignment horizontal="center"/>
    </xf>
    <xf numFmtId="0" fontId="1" fillId="18" borderId="37" xfId="0" applyFont="1" applyFill="1" applyBorder="1" applyAlignment="1">
      <alignment horizontal="center"/>
    </xf>
    <xf numFmtId="0" fontId="1" fillId="18" borderId="31" xfId="0" applyFont="1" applyFill="1" applyBorder="1" applyAlignment="1">
      <alignment horizontal="center"/>
    </xf>
    <xf numFmtId="0" fontId="34" fillId="8" borderId="1" xfId="0" applyFont="1" applyFill="1" applyBorder="1" applyAlignment="1">
      <alignment horizontal="center" vertical="center"/>
    </xf>
    <xf numFmtId="0" fontId="34" fillId="8" borderId="2" xfId="0" applyFont="1" applyFill="1" applyBorder="1" applyAlignment="1">
      <alignment horizontal="center" vertical="center"/>
    </xf>
    <xf numFmtId="0" fontId="34" fillId="8" borderId="3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16" xfId="0" applyBorder="1" applyAlignment="1">
      <alignment horizontal="right" vertical="center"/>
    </xf>
    <xf numFmtId="0" fontId="0" fillId="0" borderId="17" xfId="0" applyBorder="1" applyAlignment="1">
      <alignment horizontal="right" vertical="center"/>
    </xf>
    <xf numFmtId="0" fontId="0" fillId="0" borderId="18" xfId="0" applyBorder="1" applyAlignment="1">
      <alignment horizontal="right" vertical="center"/>
    </xf>
    <xf numFmtId="0" fontId="0" fillId="0" borderId="29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3" xfId="0" applyBorder="1" applyAlignment="1">
      <alignment horizontal="right" vertical="center"/>
    </xf>
    <xf numFmtId="0" fontId="0" fillId="0" borderId="21" xfId="0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0" fillId="0" borderId="33" xfId="0" applyBorder="1" applyAlignment="1">
      <alignment horizontal="right" vertical="center"/>
    </xf>
    <xf numFmtId="0" fontId="1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5" xfId="0" applyBorder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0" fillId="0" borderId="47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48" xfId="0" applyBorder="1" applyAlignment="1">
      <alignment horizontal="right" vertical="center"/>
    </xf>
    <xf numFmtId="0" fontId="28" fillId="0" borderId="47" xfId="0" applyFont="1" applyBorder="1" applyAlignment="1">
      <alignment horizontal="left" vertical="center"/>
    </xf>
    <xf numFmtId="0" fontId="28" fillId="0" borderId="6" xfId="0" applyFont="1" applyBorder="1" applyAlignment="1">
      <alignment horizontal="left" vertical="center"/>
    </xf>
    <xf numFmtId="0" fontId="28" fillId="0" borderId="48" xfId="0" applyFont="1" applyBorder="1" applyAlignment="1">
      <alignment horizontal="left" vertical="center"/>
    </xf>
    <xf numFmtId="0" fontId="28" fillId="3" borderId="42" xfId="0" applyFont="1" applyFill="1" applyBorder="1" applyAlignment="1">
      <alignment horizontal="right"/>
    </xf>
    <xf numFmtId="0" fontId="28" fillId="3" borderId="25" xfId="0" applyFont="1" applyFill="1" applyBorder="1" applyAlignment="1">
      <alignment horizontal="right"/>
    </xf>
    <xf numFmtId="0" fontId="28" fillId="3" borderId="40" xfId="0" applyFont="1" applyFill="1" applyBorder="1" applyAlignment="1">
      <alignment horizontal="right"/>
    </xf>
    <xf numFmtId="0" fontId="0" fillId="0" borderId="29" xfId="0" applyBorder="1" applyAlignment="1">
      <alignment horizontal="right" vertical="center"/>
    </xf>
    <xf numFmtId="0" fontId="0" fillId="0" borderId="30" xfId="0" applyBorder="1" applyAlignment="1">
      <alignment horizontal="right" vertical="center"/>
    </xf>
    <xf numFmtId="0" fontId="0" fillId="0" borderId="44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46" xfId="0" applyBorder="1" applyAlignment="1">
      <alignment horizontal="right" vertical="center"/>
    </xf>
    <xf numFmtId="0" fontId="0" fillId="0" borderId="43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43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42" xfId="0" applyBorder="1" applyAlignment="1">
      <alignment horizontal="right" vertical="center"/>
    </xf>
    <xf numFmtId="0" fontId="0" fillId="0" borderId="40" xfId="0" applyBorder="1" applyAlignment="1">
      <alignment horizontal="right" vertical="center"/>
    </xf>
    <xf numFmtId="0" fontId="0" fillId="0" borderId="43" xfId="0" applyBorder="1" applyAlignment="1">
      <alignment horizontal="right" vertical="center"/>
    </xf>
    <xf numFmtId="0" fontId="0" fillId="0" borderId="41" xfId="0" applyBorder="1" applyAlignment="1">
      <alignment horizontal="right" vertical="center"/>
    </xf>
    <xf numFmtId="0" fontId="1" fillId="0" borderId="3" xfId="0" applyFont="1" applyBorder="1" applyAlignment="1">
      <alignment horizontal="center" vertical="center"/>
    </xf>
    <xf numFmtId="0" fontId="28" fillId="0" borderId="43" xfId="0" applyFont="1" applyBorder="1" applyAlignment="1">
      <alignment horizontal="left" vertical="center"/>
    </xf>
    <xf numFmtId="0" fontId="28" fillId="0" borderId="0" xfId="0" applyFont="1" applyBorder="1" applyAlignment="1">
      <alignment horizontal="left" vertical="center"/>
    </xf>
    <xf numFmtId="0" fontId="28" fillId="0" borderId="41" xfId="0" applyFont="1" applyBorder="1" applyAlignment="1">
      <alignment horizontal="left" vertical="center"/>
    </xf>
    <xf numFmtId="0" fontId="28" fillId="3" borderId="44" xfId="0" applyFont="1" applyFill="1" applyBorder="1" applyAlignment="1">
      <alignment horizontal="right"/>
    </xf>
    <xf numFmtId="0" fontId="28" fillId="3" borderId="45" xfId="0" applyFont="1" applyFill="1" applyBorder="1" applyAlignment="1">
      <alignment horizontal="right"/>
    </xf>
    <xf numFmtId="0" fontId="28" fillId="3" borderId="46" xfId="0" applyFont="1" applyFill="1" applyBorder="1" applyAlignment="1">
      <alignment horizontal="right"/>
    </xf>
    <xf numFmtId="0" fontId="0" fillId="0" borderId="42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40" xfId="0" applyBorder="1" applyAlignment="1">
      <alignment horizontal="left" vertical="center"/>
    </xf>
  </cellXfs>
  <cellStyles count="1">
    <cellStyle name="Normal" xfId="0" builtinId="0"/>
  </cellStyles>
  <dxfs count="6"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bottom" textRotation="0" wrapText="1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28</xdr:row>
      <xdr:rowOff>19050</xdr:rowOff>
    </xdr:from>
    <xdr:to>
      <xdr:col>8</xdr:col>
      <xdr:colOff>238125</xdr:colOff>
      <xdr:row>30</xdr:row>
      <xdr:rowOff>19050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1ADF4843-EEDA-4B18-B8FA-99985C2D9798}"/>
            </a:ext>
            <a:ext uri="{147F2762-F138-4A5C-976F-8EAC2B608ADB}">
              <a16:predDERef xmlns:a16="http://schemas.microsoft.com/office/drawing/2014/main" pred="{1CA6694B-3758-48E3-B87B-0D36E96B118F}"/>
            </a:ext>
          </a:extLst>
        </xdr:cNvPr>
        <xdr:cNvSpPr/>
      </xdr:nvSpPr>
      <xdr:spPr>
        <a:xfrm>
          <a:off x="14287500" y="6772275"/>
          <a:ext cx="962025" cy="4857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10</xdr:col>
      <xdr:colOff>438150</xdr:colOff>
      <xdr:row>28</xdr:row>
      <xdr:rowOff>133350</xdr:rowOff>
    </xdr:from>
    <xdr:to>
      <xdr:col>12</xdr:col>
      <xdr:colOff>933450</xdr:colOff>
      <xdr:row>29</xdr:row>
      <xdr:rowOff>238125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69A1AD39-BE98-49FB-8C58-4BFB9E8E7A4C}"/>
            </a:ext>
            <a:ext uri="{147F2762-F138-4A5C-976F-8EAC2B608ADB}">
              <a16:predDERef xmlns:a16="http://schemas.microsoft.com/office/drawing/2014/main" pred="{1ADF4843-EEDA-4B18-B8FA-99985C2D9798}"/>
            </a:ext>
          </a:extLst>
        </xdr:cNvPr>
        <xdr:cNvSpPr/>
      </xdr:nvSpPr>
      <xdr:spPr>
        <a:xfrm>
          <a:off x="18497550" y="6877050"/>
          <a:ext cx="1714500" cy="3048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15</xdr:col>
      <xdr:colOff>590550</xdr:colOff>
      <xdr:row>28</xdr:row>
      <xdr:rowOff>19050</xdr:rowOff>
    </xdr:from>
    <xdr:to>
      <xdr:col>17</xdr:col>
      <xdr:colOff>85725</xdr:colOff>
      <xdr:row>29</xdr:row>
      <xdr:rowOff>142875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EFC8B41A-A2E0-4EEE-BBEE-3297F1069195}"/>
            </a:ext>
            <a:ext uri="{147F2762-F138-4A5C-976F-8EAC2B608ADB}">
              <a16:predDERef xmlns:a16="http://schemas.microsoft.com/office/drawing/2014/main" pred="{69A1AD39-BE98-49FB-8C58-4BFB9E8E7A4C}"/>
            </a:ext>
          </a:extLst>
        </xdr:cNvPr>
        <xdr:cNvSpPr/>
      </xdr:nvSpPr>
      <xdr:spPr>
        <a:xfrm>
          <a:off x="24403050" y="6762750"/>
          <a:ext cx="2162175" cy="3238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2428875</xdr:colOff>
      <xdr:row>20</xdr:row>
      <xdr:rowOff>28575</xdr:rowOff>
    </xdr:from>
    <xdr:to>
      <xdr:col>1</xdr:col>
      <xdr:colOff>2933700</xdr:colOff>
      <xdr:row>25</xdr:row>
      <xdr:rowOff>95250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C8E4418-3175-3A3C-58DD-239B83B5CE0F}"/>
            </a:ext>
            <a:ext uri="{147F2762-F138-4A5C-976F-8EAC2B608ADB}">
              <a16:predDERef xmlns:a16="http://schemas.microsoft.com/office/drawing/2014/main" pred="{EFC8B41A-A2E0-4EEE-BBEE-3297F1069195}"/>
            </a:ext>
          </a:extLst>
        </xdr:cNvPr>
        <xdr:cNvSpPr/>
      </xdr:nvSpPr>
      <xdr:spPr>
        <a:xfrm>
          <a:off x="3095625" y="4619625"/>
          <a:ext cx="504825" cy="128587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4</xdr:col>
      <xdr:colOff>76200</xdr:colOff>
      <xdr:row>29</xdr:row>
      <xdr:rowOff>57150</xdr:rowOff>
    </xdr:from>
    <xdr:to>
      <xdr:col>4</xdr:col>
      <xdr:colOff>1628775</xdr:colOff>
      <xdr:row>30</xdr:row>
      <xdr:rowOff>333375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CE0C93BA-C0F2-42C1-8391-41027E63EA0C}"/>
            </a:ext>
            <a:ext uri="{147F2762-F138-4A5C-976F-8EAC2B608ADB}">
              <a16:predDERef xmlns:a16="http://schemas.microsoft.com/office/drawing/2014/main" pred="{0C8E4418-3175-3A3C-58DD-239B83B5CE0F}"/>
            </a:ext>
          </a:extLst>
        </xdr:cNvPr>
        <xdr:cNvSpPr/>
      </xdr:nvSpPr>
      <xdr:spPr>
        <a:xfrm>
          <a:off x="8639175" y="6743700"/>
          <a:ext cx="1552575" cy="4667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19</xdr:col>
      <xdr:colOff>342900</xdr:colOff>
      <xdr:row>28</xdr:row>
      <xdr:rowOff>0</xdr:rowOff>
    </xdr:from>
    <xdr:to>
      <xdr:col>19</xdr:col>
      <xdr:colOff>2505075</xdr:colOff>
      <xdr:row>29</xdr:row>
      <xdr:rowOff>123825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0C080996-303F-477D-B2A0-996BEEEA673D}"/>
            </a:ext>
            <a:ext uri="{147F2762-F138-4A5C-976F-8EAC2B608ADB}">
              <a16:predDERef xmlns:a16="http://schemas.microsoft.com/office/drawing/2014/main" pred="{CE0C93BA-C0F2-42C1-8391-41027E63EA0C}"/>
            </a:ext>
          </a:extLst>
        </xdr:cNvPr>
        <xdr:cNvSpPr/>
      </xdr:nvSpPr>
      <xdr:spPr>
        <a:xfrm>
          <a:off x="30070425" y="6743700"/>
          <a:ext cx="2162175" cy="3238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21</xdr:col>
      <xdr:colOff>428625</xdr:colOff>
      <xdr:row>28</xdr:row>
      <xdr:rowOff>57150</xdr:rowOff>
    </xdr:from>
    <xdr:to>
      <xdr:col>23</xdr:col>
      <xdr:colOff>1371600</xdr:colOff>
      <xdr:row>29</xdr:row>
      <xdr:rowOff>180975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3D683028-7624-4EEB-935B-763B145CE685}"/>
            </a:ext>
            <a:ext uri="{147F2762-F138-4A5C-976F-8EAC2B608ADB}">
              <a16:predDERef xmlns:a16="http://schemas.microsoft.com/office/drawing/2014/main" pred="{0C080996-303F-477D-B2A0-996BEEEA673D}"/>
            </a:ext>
          </a:extLst>
        </xdr:cNvPr>
        <xdr:cNvSpPr/>
      </xdr:nvSpPr>
      <xdr:spPr>
        <a:xfrm>
          <a:off x="36128325" y="6800850"/>
          <a:ext cx="2162175" cy="3238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25</xdr:col>
      <xdr:colOff>581025</xdr:colOff>
      <xdr:row>28</xdr:row>
      <xdr:rowOff>57150</xdr:rowOff>
    </xdr:from>
    <xdr:to>
      <xdr:col>29</xdr:col>
      <xdr:colOff>304800</xdr:colOff>
      <xdr:row>29</xdr:row>
      <xdr:rowOff>180975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274BC7E5-4E3E-4A8D-9D36-0B52D33EA2B8}"/>
            </a:ext>
            <a:ext uri="{147F2762-F138-4A5C-976F-8EAC2B608ADB}">
              <a16:predDERef xmlns:a16="http://schemas.microsoft.com/office/drawing/2014/main" pred="{3D683028-7624-4EEB-935B-763B145CE685}"/>
            </a:ext>
          </a:extLst>
        </xdr:cNvPr>
        <xdr:cNvSpPr/>
      </xdr:nvSpPr>
      <xdr:spPr>
        <a:xfrm>
          <a:off x="41138475" y="6800850"/>
          <a:ext cx="2162175" cy="3238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31</xdr:col>
      <xdr:colOff>400050</xdr:colOff>
      <xdr:row>28</xdr:row>
      <xdr:rowOff>57150</xdr:rowOff>
    </xdr:from>
    <xdr:to>
      <xdr:col>35</xdr:col>
      <xdr:colOff>123825</xdr:colOff>
      <xdr:row>29</xdr:row>
      <xdr:rowOff>180975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8D210529-9C2D-4549-830C-475F50A52EF8}"/>
            </a:ext>
            <a:ext uri="{147F2762-F138-4A5C-976F-8EAC2B608ADB}">
              <a16:predDERef xmlns:a16="http://schemas.microsoft.com/office/drawing/2014/main" pred="{274BC7E5-4E3E-4A8D-9D36-0B52D33EA2B8}"/>
            </a:ext>
          </a:extLst>
        </xdr:cNvPr>
        <xdr:cNvSpPr/>
      </xdr:nvSpPr>
      <xdr:spPr>
        <a:xfrm>
          <a:off x="46443900" y="6800850"/>
          <a:ext cx="2162175" cy="3238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37</xdr:col>
      <xdr:colOff>266700</xdr:colOff>
      <xdr:row>28</xdr:row>
      <xdr:rowOff>38100</xdr:rowOff>
    </xdr:from>
    <xdr:to>
      <xdr:col>40</xdr:col>
      <xdr:colOff>419100</xdr:colOff>
      <xdr:row>29</xdr:row>
      <xdr:rowOff>171450</xdr:rowOff>
    </xdr:to>
    <xdr:sp macro="" textlink="">
      <xdr:nvSpPr>
        <xdr:cNvPr id="13" name="Right Arrow 12">
          <a:extLst>
            <a:ext uri="{FF2B5EF4-FFF2-40B4-BE49-F238E27FC236}">
              <a16:creationId xmlns:a16="http://schemas.microsoft.com/office/drawing/2014/main" id="{F00074BC-9660-4876-8C1E-A4A674E49246}"/>
            </a:ext>
            <a:ext uri="{147F2762-F138-4A5C-976F-8EAC2B608ADB}">
              <a16:predDERef xmlns:a16="http://schemas.microsoft.com/office/drawing/2014/main" pred="{8D210529-9C2D-4549-830C-475F50A52EF8}"/>
            </a:ext>
          </a:extLst>
        </xdr:cNvPr>
        <xdr:cNvSpPr/>
      </xdr:nvSpPr>
      <xdr:spPr>
        <a:xfrm>
          <a:off x="51796950" y="6781800"/>
          <a:ext cx="1981200" cy="3333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42</xdr:col>
      <xdr:colOff>200025</xdr:colOff>
      <xdr:row>28</xdr:row>
      <xdr:rowOff>9525</xdr:rowOff>
    </xdr:from>
    <xdr:to>
      <xdr:col>45</xdr:col>
      <xdr:colOff>352425</xdr:colOff>
      <xdr:row>29</xdr:row>
      <xdr:rowOff>142875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id="{C264DD64-51DE-47CE-A5DB-F2498B5BFBE8}"/>
            </a:ext>
            <a:ext uri="{147F2762-F138-4A5C-976F-8EAC2B608ADB}">
              <a16:predDERef xmlns:a16="http://schemas.microsoft.com/office/drawing/2014/main" pred="{F00074BC-9660-4876-8C1E-A4A674E49246}"/>
            </a:ext>
          </a:extLst>
        </xdr:cNvPr>
        <xdr:cNvSpPr/>
      </xdr:nvSpPr>
      <xdr:spPr>
        <a:xfrm>
          <a:off x="55778400" y="6753225"/>
          <a:ext cx="1981200" cy="3333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47</xdr:col>
      <xdr:colOff>266700</xdr:colOff>
      <xdr:row>27</xdr:row>
      <xdr:rowOff>304800</xdr:rowOff>
    </xdr:from>
    <xdr:to>
      <xdr:col>50</xdr:col>
      <xdr:colOff>419100</xdr:colOff>
      <xdr:row>29</xdr:row>
      <xdr:rowOff>57150</xdr:rowOff>
    </xdr:to>
    <xdr:sp macro="" textlink="">
      <xdr:nvSpPr>
        <xdr:cNvPr id="15" name="Right Arrow 14">
          <a:extLst>
            <a:ext uri="{FF2B5EF4-FFF2-40B4-BE49-F238E27FC236}">
              <a16:creationId xmlns:a16="http://schemas.microsoft.com/office/drawing/2014/main" id="{4C9DE9CE-6A29-4608-BF14-2B51B3EBA13F}"/>
            </a:ext>
            <a:ext uri="{147F2762-F138-4A5C-976F-8EAC2B608ADB}">
              <a16:predDERef xmlns:a16="http://schemas.microsoft.com/office/drawing/2014/main" pred="{C264DD64-51DE-47CE-A5DB-F2498B5BFBE8}"/>
            </a:ext>
          </a:extLst>
        </xdr:cNvPr>
        <xdr:cNvSpPr/>
      </xdr:nvSpPr>
      <xdr:spPr>
        <a:xfrm>
          <a:off x="60931425" y="6667500"/>
          <a:ext cx="1981200" cy="3333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53</xdr:col>
      <xdr:colOff>381000</xdr:colOff>
      <xdr:row>27</xdr:row>
      <xdr:rowOff>361950</xdr:rowOff>
    </xdr:from>
    <xdr:to>
      <xdr:col>56</xdr:col>
      <xdr:colOff>533400</xdr:colOff>
      <xdr:row>29</xdr:row>
      <xdr:rowOff>114300</xdr:rowOff>
    </xdr:to>
    <xdr:sp macro="" textlink="">
      <xdr:nvSpPr>
        <xdr:cNvPr id="16" name="Right Arrow 15">
          <a:extLst>
            <a:ext uri="{FF2B5EF4-FFF2-40B4-BE49-F238E27FC236}">
              <a16:creationId xmlns:a16="http://schemas.microsoft.com/office/drawing/2014/main" id="{0DE19985-3E7C-4A2C-869F-85611484443A}"/>
            </a:ext>
            <a:ext uri="{147F2762-F138-4A5C-976F-8EAC2B608ADB}">
              <a16:predDERef xmlns:a16="http://schemas.microsoft.com/office/drawing/2014/main" pred="{4C9DE9CE-6A29-4608-BF14-2B51B3EBA13F}"/>
            </a:ext>
          </a:extLst>
        </xdr:cNvPr>
        <xdr:cNvSpPr/>
      </xdr:nvSpPr>
      <xdr:spPr>
        <a:xfrm>
          <a:off x="66532125" y="6724650"/>
          <a:ext cx="1981200" cy="3333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58</xdr:col>
      <xdr:colOff>304800</xdr:colOff>
      <xdr:row>27</xdr:row>
      <xdr:rowOff>333375</xdr:rowOff>
    </xdr:from>
    <xdr:to>
      <xdr:col>61</xdr:col>
      <xdr:colOff>457200</xdr:colOff>
      <xdr:row>29</xdr:row>
      <xdr:rowOff>85725</xdr:rowOff>
    </xdr:to>
    <xdr:sp macro="" textlink="">
      <xdr:nvSpPr>
        <xdr:cNvPr id="17" name="Right Arrow 16">
          <a:extLst>
            <a:ext uri="{FF2B5EF4-FFF2-40B4-BE49-F238E27FC236}">
              <a16:creationId xmlns:a16="http://schemas.microsoft.com/office/drawing/2014/main" id="{4A916C88-9BD0-48E6-A19B-F7C8CAC1B2E5}"/>
            </a:ext>
            <a:ext uri="{147F2762-F138-4A5C-976F-8EAC2B608ADB}">
              <a16:predDERef xmlns:a16="http://schemas.microsoft.com/office/drawing/2014/main" pred="{0DE19985-3E7C-4A2C-869F-85611484443A}"/>
            </a:ext>
          </a:extLst>
        </xdr:cNvPr>
        <xdr:cNvSpPr/>
      </xdr:nvSpPr>
      <xdr:spPr>
        <a:xfrm>
          <a:off x="71332725" y="6696075"/>
          <a:ext cx="1981200" cy="3333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64</xdr:col>
      <xdr:colOff>219075</xdr:colOff>
      <xdr:row>27</xdr:row>
      <xdr:rowOff>304800</xdr:rowOff>
    </xdr:from>
    <xdr:to>
      <xdr:col>67</xdr:col>
      <xdr:colOff>371475</xdr:colOff>
      <xdr:row>29</xdr:row>
      <xdr:rowOff>57150</xdr:rowOff>
    </xdr:to>
    <xdr:sp macro="" textlink="">
      <xdr:nvSpPr>
        <xdr:cNvPr id="18" name="Right Arrow 17">
          <a:extLst>
            <a:ext uri="{FF2B5EF4-FFF2-40B4-BE49-F238E27FC236}">
              <a16:creationId xmlns:a16="http://schemas.microsoft.com/office/drawing/2014/main" id="{D64B5050-D130-42E8-97DD-3936B2DA2DFB}"/>
            </a:ext>
            <a:ext uri="{147F2762-F138-4A5C-976F-8EAC2B608ADB}">
              <a16:predDERef xmlns:a16="http://schemas.microsoft.com/office/drawing/2014/main" pred="{4A916C88-9BD0-48E6-A19B-F7C8CAC1B2E5}"/>
            </a:ext>
          </a:extLst>
        </xdr:cNvPr>
        <xdr:cNvSpPr/>
      </xdr:nvSpPr>
      <xdr:spPr>
        <a:xfrm>
          <a:off x="81229200" y="7105650"/>
          <a:ext cx="1981200" cy="3333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69</xdr:col>
      <xdr:colOff>228600</xdr:colOff>
      <xdr:row>27</xdr:row>
      <xdr:rowOff>257175</xdr:rowOff>
    </xdr:from>
    <xdr:to>
      <xdr:col>72</xdr:col>
      <xdr:colOff>381000</xdr:colOff>
      <xdr:row>29</xdr:row>
      <xdr:rowOff>9525</xdr:rowOff>
    </xdr:to>
    <xdr:sp macro="" textlink="">
      <xdr:nvSpPr>
        <xdr:cNvPr id="19" name="Right Arrow 18">
          <a:extLst>
            <a:ext uri="{FF2B5EF4-FFF2-40B4-BE49-F238E27FC236}">
              <a16:creationId xmlns:a16="http://schemas.microsoft.com/office/drawing/2014/main" id="{BC941F74-561F-4793-ABE3-08C956452C78}"/>
            </a:ext>
            <a:ext uri="{147F2762-F138-4A5C-976F-8EAC2B608ADB}">
              <a16:predDERef xmlns:a16="http://schemas.microsoft.com/office/drawing/2014/main" pred="{D64B5050-D130-42E8-97DD-3936B2DA2DFB}"/>
            </a:ext>
          </a:extLst>
        </xdr:cNvPr>
        <xdr:cNvSpPr/>
      </xdr:nvSpPr>
      <xdr:spPr>
        <a:xfrm>
          <a:off x="86572725" y="6924675"/>
          <a:ext cx="1981200" cy="3333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916484-2862-4CEC-984B-C3A3491C9D87}" name="Table1" displayName="Table1" ref="B30:C32" totalsRowShown="0" headerRowDxfId="5" headerRowBorderDxfId="3" tableBorderDxfId="4" totalsRowBorderDxfId="2">
  <autoFilter ref="B30:C32" xr:uid="{D3916484-2862-4CEC-984B-C3A3491C9D87}"/>
  <tableColumns count="2">
    <tableColumn id="1" xr3:uid="{3709102A-7227-4BA4-8128-11137A79ECC1}" name="Role" dataDxfId="1"/>
    <tableColumn id="2" xr3:uid="{B000D4F3-5293-44C1-A4E7-A33664EED458}" name="Acc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43"/>
  <sheetViews>
    <sheetView showGridLines="0" topLeftCell="T26" workbookViewId="0">
      <selection activeCell="U38" sqref="U38"/>
    </sheetView>
  </sheetViews>
  <sheetFormatPr defaultRowHeight="15"/>
  <cols>
    <col min="1" max="1" width="10" customWidth="1"/>
    <col min="2" max="2" width="88" customWidth="1"/>
    <col min="3" max="3" width="21.28515625" customWidth="1"/>
    <col min="5" max="5" width="36.5703125" bestFit="1" customWidth="1"/>
    <col min="6" max="6" width="41.85546875" customWidth="1"/>
    <col min="10" max="10" width="36.5703125" bestFit="1" customWidth="1"/>
    <col min="13" max="13" width="17.85546875" customWidth="1"/>
    <col min="14" max="14" width="9.140625" customWidth="1"/>
    <col min="15" max="15" width="41" customWidth="1"/>
    <col min="17" max="17" width="30.85546875" bestFit="1" customWidth="1"/>
    <col min="19" max="19" width="39.5703125" customWidth="1"/>
    <col min="20" max="20" width="48.42578125" customWidth="1"/>
    <col min="21" max="21" width="41.140625" customWidth="1"/>
    <col min="24" max="24" width="24.85546875" customWidth="1"/>
    <col min="25" max="25" width="29.7109375" bestFit="1" customWidth="1"/>
    <col min="31" max="31" width="36.5703125" bestFit="1" customWidth="1"/>
    <col min="37" max="37" width="51.7109375" customWidth="1"/>
    <col min="42" max="42" width="24.140625" bestFit="1" customWidth="1"/>
    <col min="46" max="46" width="10.140625" customWidth="1"/>
    <col min="47" max="47" width="38.7109375" customWidth="1"/>
    <col min="53" max="53" width="36.5703125" bestFit="1" customWidth="1"/>
    <col min="58" max="58" width="36.5703125" bestFit="1" customWidth="1"/>
    <col min="64" max="64" width="104" customWidth="1"/>
    <col min="69" max="69" width="43.42578125" customWidth="1"/>
    <col min="74" max="74" width="36.5703125" bestFit="1" customWidth="1"/>
    <col min="78" max="78" width="152.28515625" customWidth="1"/>
  </cols>
  <sheetData>
    <row r="1" spans="1:2" ht="24" customHeight="1"/>
    <row r="2" spans="1:2" ht="23.25" customHeight="1">
      <c r="B2" s="2" t="s">
        <v>0</v>
      </c>
    </row>
    <row r="3" spans="1:2" ht="36" customHeight="1">
      <c r="B3" s="3" t="s">
        <v>1</v>
      </c>
    </row>
    <row r="4" spans="1:2" ht="20.25" customHeight="1">
      <c r="A4" s="1"/>
      <c r="B4" s="4" t="s">
        <v>2</v>
      </c>
    </row>
    <row r="6" spans="1:2" ht="18.75" customHeight="1"/>
    <row r="8" spans="1:2" ht="18.75" customHeight="1">
      <c r="B8" s="5" t="s">
        <v>3</v>
      </c>
    </row>
    <row r="9" spans="1:2" ht="19.5" customHeight="1"/>
    <row r="10" spans="1:2" ht="18">
      <c r="B10" s="8" t="s">
        <v>4</v>
      </c>
    </row>
    <row r="11" spans="1:2">
      <c r="B11" s="6" t="s">
        <v>5</v>
      </c>
    </row>
    <row r="12" spans="1:2">
      <c r="B12" s="6" t="s">
        <v>6</v>
      </c>
    </row>
    <row r="13" spans="1:2">
      <c r="B13" s="6" t="s">
        <v>7</v>
      </c>
    </row>
    <row r="14" spans="1:2">
      <c r="B14" s="6" t="s">
        <v>8</v>
      </c>
    </row>
    <row r="15" spans="1:2" ht="18">
      <c r="B15" s="8" t="s">
        <v>9</v>
      </c>
    </row>
    <row r="16" spans="1:2">
      <c r="B16" s="6" t="s">
        <v>10</v>
      </c>
    </row>
    <row r="17" spans="2:78">
      <c r="B17" s="6" t="s">
        <v>11</v>
      </c>
    </row>
    <row r="18" spans="2:78">
      <c r="B18" s="6" t="s">
        <v>12</v>
      </c>
    </row>
    <row r="19" spans="2:78">
      <c r="B19" s="7" t="s">
        <v>13</v>
      </c>
    </row>
    <row r="25" spans="2:78" ht="36" customHeight="1">
      <c r="BL25" s="22" t="s">
        <v>14</v>
      </c>
      <c r="BQ25" s="58" t="s">
        <v>15</v>
      </c>
      <c r="BV25" s="61" t="s">
        <v>16</v>
      </c>
      <c r="BZ25" s="68" t="s">
        <v>17</v>
      </c>
    </row>
    <row r="26" spans="2:78" ht="30.75" customHeight="1">
      <c r="BL26" s="56" t="s">
        <v>18</v>
      </c>
      <c r="BQ26" s="6" t="s">
        <v>19</v>
      </c>
      <c r="BV26" s="60" t="s">
        <v>20</v>
      </c>
      <c r="BZ26" s="69" t="s">
        <v>21</v>
      </c>
    </row>
    <row r="27" spans="2:78" ht="51" customHeight="1">
      <c r="B27" s="276" t="s">
        <v>22</v>
      </c>
      <c r="C27" s="277"/>
      <c r="J27" s="19" t="s">
        <v>23</v>
      </c>
      <c r="O27" s="23" t="s">
        <v>24</v>
      </c>
      <c r="S27" s="31" t="s">
        <v>25</v>
      </c>
      <c r="U27" s="33" t="s">
        <v>26</v>
      </c>
      <c r="Y27" s="39" t="s">
        <v>27</v>
      </c>
      <c r="AE27" s="80" t="s">
        <v>28</v>
      </c>
      <c r="AK27" s="80" t="s">
        <v>29</v>
      </c>
      <c r="AP27" s="38" t="s">
        <v>30</v>
      </c>
      <c r="AU27" s="43" t="s">
        <v>31</v>
      </c>
      <c r="BA27" s="50" t="s">
        <v>32</v>
      </c>
      <c r="BF27" s="54" t="s">
        <v>33</v>
      </c>
      <c r="BL27" s="37" t="s">
        <v>34</v>
      </c>
      <c r="BQ27" s="6" t="s">
        <v>35</v>
      </c>
      <c r="BV27" s="78" t="s">
        <v>36</v>
      </c>
      <c r="BZ27" s="82" t="s">
        <v>37</v>
      </c>
    </row>
    <row r="28" spans="2:78" ht="30" customHeight="1">
      <c r="B28" s="278"/>
      <c r="C28" s="279"/>
      <c r="J28" s="21" t="s">
        <v>38</v>
      </c>
      <c r="O28" s="24" t="s">
        <v>39</v>
      </c>
      <c r="S28" s="32" t="s">
        <v>40</v>
      </c>
      <c r="U28" s="32" t="s">
        <v>41</v>
      </c>
      <c r="Y28" s="7" t="s">
        <v>42</v>
      </c>
      <c r="AE28" s="81" t="s">
        <v>43</v>
      </c>
      <c r="AK28" s="37" t="s">
        <v>44</v>
      </c>
      <c r="AP28" s="9" t="s">
        <v>45</v>
      </c>
      <c r="AU28" s="44" t="s">
        <v>46</v>
      </c>
      <c r="BA28" s="52" t="s">
        <v>47</v>
      </c>
      <c r="BF28" s="53" t="s">
        <v>48</v>
      </c>
      <c r="BL28" s="37" t="s">
        <v>49</v>
      </c>
      <c r="BQ28" s="6" t="s">
        <v>50</v>
      </c>
      <c r="BV28" s="45" t="s">
        <v>51</v>
      </c>
      <c r="BZ28" s="69" t="s">
        <v>52</v>
      </c>
    </row>
    <row r="29" spans="2:78" ht="24.75" customHeight="1">
      <c r="B29" s="274" t="s">
        <v>53</v>
      </c>
      <c r="C29" s="275"/>
      <c r="F29" s="18" t="s">
        <v>54</v>
      </c>
      <c r="J29" s="20" t="s">
        <v>55</v>
      </c>
      <c r="O29" s="25" t="s">
        <v>56</v>
      </c>
      <c r="S29" s="32" t="s">
        <v>57</v>
      </c>
      <c r="U29" s="32" t="s">
        <v>58</v>
      </c>
      <c r="Y29" s="26" t="s">
        <v>59</v>
      </c>
      <c r="AE29" s="34" t="s">
        <v>60</v>
      </c>
      <c r="AK29" s="37" t="s">
        <v>61</v>
      </c>
      <c r="AP29" s="30" t="s">
        <v>62</v>
      </c>
      <c r="AU29" s="45" t="s">
        <v>63</v>
      </c>
      <c r="BA29" s="51" t="s">
        <v>64</v>
      </c>
      <c r="BF29" s="37" t="s">
        <v>65</v>
      </c>
      <c r="BL29" s="37" t="s">
        <v>66</v>
      </c>
      <c r="BQ29" s="6" t="s">
        <v>67</v>
      </c>
      <c r="BV29" s="79" t="s">
        <v>36</v>
      </c>
      <c r="BZ29" s="69" t="s">
        <v>68</v>
      </c>
    </row>
    <row r="30" spans="2:78" ht="19.5" customHeight="1">
      <c r="B30" s="10" t="s">
        <v>69</v>
      </c>
      <c r="C30" s="13" t="s">
        <v>70</v>
      </c>
      <c r="F30" s="16" t="s">
        <v>71</v>
      </c>
      <c r="J30" s="20" t="s">
        <v>72</v>
      </c>
      <c r="O30" s="25" t="s">
        <v>73</v>
      </c>
      <c r="S30" s="32" t="s">
        <v>50</v>
      </c>
      <c r="U30" s="32" t="s">
        <v>74</v>
      </c>
      <c r="Y30" s="26" t="s">
        <v>75</v>
      </c>
      <c r="AE30" s="34" t="s">
        <v>76</v>
      </c>
      <c r="AK30" s="37" t="s">
        <v>77</v>
      </c>
      <c r="AP30" s="30" t="s">
        <v>78</v>
      </c>
      <c r="AU30" s="45" t="s">
        <v>79</v>
      </c>
      <c r="BA30" s="52" t="s">
        <v>80</v>
      </c>
      <c r="BF30" s="53" t="s">
        <v>81</v>
      </c>
      <c r="BL30" s="37" t="s">
        <v>82</v>
      </c>
      <c r="BQ30" s="59" t="s">
        <v>83</v>
      </c>
      <c r="BV30" s="45" t="s">
        <v>84</v>
      </c>
      <c r="BZ30" s="69" t="s">
        <v>85</v>
      </c>
    </row>
    <row r="31" spans="2:78" ht="15.75" customHeight="1">
      <c r="B31" s="11" t="s">
        <v>86</v>
      </c>
      <c r="C31" s="14" t="s">
        <v>87</v>
      </c>
      <c r="F31" s="17" t="s">
        <v>88</v>
      </c>
      <c r="J31" s="20" t="s">
        <v>89</v>
      </c>
      <c r="O31" s="25" t="s">
        <v>90</v>
      </c>
      <c r="S31" s="32" t="s">
        <v>91</v>
      </c>
      <c r="U31" s="32" t="s">
        <v>92</v>
      </c>
      <c r="Y31" s="26" t="s">
        <v>93</v>
      </c>
      <c r="AE31" s="34" t="s">
        <v>94</v>
      </c>
      <c r="AK31" s="41" t="s">
        <v>95</v>
      </c>
      <c r="AP31" s="30" t="s">
        <v>96</v>
      </c>
      <c r="AU31" s="46" t="s">
        <v>97</v>
      </c>
      <c r="BA31" s="51" t="s">
        <v>98</v>
      </c>
      <c r="BF31" s="37" t="s">
        <v>99</v>
      </c>
      <c r="BL31" s="57" t="s">
        <v>100</v>
      </c>
      <c r="BQ31" s="6" t="s">
        <v>101</v>
      </c>
      <c r="BV31" s="45" t="s">
        <v>36</v>
      </c>
      <c r="BZ31" s="69" t="s">
        <v>102</v>
      </c>
    </row>
    <row r="32" spans="2:78" ht="18">
      <c r="B32" s="12" t="s">
        <v>103</v>
      </c>
      <c r="C32" s="15" t="s">
        <v>104</v>
      </c>
      <c r="S32" s="29" t="s">
        <v>105</v>
      </c>
      <c r="U32" s="35" t="s">
        <v>106</v>
      </c>
      <c r="Y32" s="40" t="s">
        <v>107</v>
      </c>
      <c r="AP32" s="42" t="s">
        <v>108</v>
      </c>
      <c r="AU32" s="49" t="s">
        <v>109</v>
      </c>
      <c r="BA32" s="52" t="s">
        <v>110</v>
      </c>
      <c r="BF32" s="53" t="s">
        <v>111</v>
      </c>
      <c r="BL32" s="37" t="s">
        <v>112</v>
      </c>
      <c r="BQ32" s="6" t="s">
        <v>113</v>
      </c>
      <c r="BV32" s="45" t="s">
        <v>114</v>
      </c>
      <c r="BZ32" s="70" t="s">
        <v>115</v>
      </c>
    </row>
    <row r="33" spans="10:78" ht="21.75" customHeight="1">
      <c r="J33" s="9" t="s">
        <v>116</v>
      </c>
      <c r="O33" s="29" t="s">
        <v>117</v>
      </c>
      <c r="S33" s="30" t="s">
        <v>118</v>
      </c>
      <c r="U33" s="36"/>
      <c r="Y33" s="40" t="s">
        <v>119</v>
      </c>
      <c r="AU33" s="47" t="s">
        <v>120</v>
      </c>
      <c r="BA33" s="51" t="s">
        <v>121</v>
      </c>
      <c r="BF33" s="37" t="s">
        <v>122</v>
      </c>
      <c r="BL33" s="37" t="s">
        <v>123</v>
      </c>
      <c r="BQ33" s="59" t="s">
        <v>124</v>
      </c>
      <c r="BV33" s="45" t="s">
        <v>36</v>
      </c>
      <c r="BZ33" s="69" t="s">
        <v>125</v>
      </c>
    </row>
    <row r="34" spans="10:78" ht="30.75" customHeight="1">
      <c r="O34" s="28" t="s">
        <v>126</v>
      </c>
      <c r="S34" s="30" t="s">
        <v>127</v>
      </c>
      <c r="AK34" s="65" t="s">
        <v>128</v>
      </c>
      <c r="AU34" s="47" t="s">
        <v>129</v>
      </c>
      <c r="BA34" s="52" t="s">
        <v>130</v>
      </c>
      <c r="BF34" s="53" t="s">
        <v>131</v>
      </c>
      <c r="BL34" s="37" t="s">
        <v>132</v>
      </c>
      <c r="BQ34" s="6" t="s">
        <v>133</v>
      </c>
      <c r="BV34" s="45" t="s">
        <v>134</v>
      </c>
      <c r="BZ34" s="69" t="s">
        <v>135</v>
      </c>
    </row>
    <row r="35" spans="10:78" ht="21" customHeight="1">
      <c r="S35" s="30" t="s">
        <v>136</v>
      </c>
      <c r="AK35" s="66" t="s">
        <v>137</v>
      </c>
      <c r="AU35" s="47" t="s">
        <v>138</v>
      </c>
      <c r="BA35" s="51" t="s">
        <v>139</v>
      </c>
      <c r="BF35" s="41" t="s">
        <v>140</v>
      </c>
      <c r="BL35" s="41" t="s">
        <v>92</v>
      </c>
      <c r="BQ35" s="6" t="s">
        <v>130</v>
      </c>
      <c r="BV35" s="45" t="s">
        <v>36</v>
      </c>
      <c r="BZ35" s="69" t="s">
        <v>141</v>
      </c>
    </row>
    <row r="36" spans="10:78" ht="28.5" customHeight="1">
      <c r="AK36" s="66" t="s">
        <v>142</v>
      </c>
      <c r="AU36" s="49" t="s">
        <v>143</v>
      </c>
      <c r="BL36" s="1" t="s">
        <v>144</v>
      </c>
      <c r="BQ36" s="6" t="s">
        <v>145</v>
      </c>
      <c r="BV36" s="45" t="s">
        <v>146</v>
      </c>
      <c r="BZ36" s="69" t="s">
        <v>147</v>
      </c>
    </row>
    <row r="37" spans="10:78" ht="18">
      <c r="S37" s="29" t="s">
        <v>148</v>
      </c>
      <c r="AK37" s="66" t="s">
        <v>149</v>
      </c>
      <c r="AU37" s="47" t="s">
        <v>150</v>
      </c>
      <c r="BL37" s="55" t="s">
        <v>151</v>
      </c>
      <c r="BQ37" s="59" t="s">
        <v>152</v>
      </c>
      <c r="BV37" s="45" t="s">
        <v>36</v>
      </c>
      <c r="BZ37" s="70" t="s">
        <v>153</v>
      </c>
    </row>
    <row r="38" spans="10:78" ht="25.5" customHeight="1">
      <c r="S38" s="27" t="s">
        <v>154</v>
      </c>
      <c r="U38" t="s">
        <v>155</v>
      </c>
      <c r="AK38" s="66" t="s">
        <v>156</v>
      </c>
      <c r="AU38" s="48" t="s">
        <v>157</v>
      </c>
      <c r="BL38" s="55" t="s">
        <v>158</v>
      </c>
      <c r="BQ38" s="6" t="s">
        <v>159</v>
      </c>
      <c r="BV38" s="45" t="s">
        <v>12</v>
      </c>
      <c r="BZ38" s="69" t="s">
        <v>160</v>
      </c>
    </row>
    <row r="39" spans="10:78" ht="30" customHeight="1">
      <c r="S39" s="27" t="s">
        <v>161</v>
      </c>
      <c r="AK39" s="66" t="s">
        <v>162</v>
      </c>
      <c r="BL39" s="55" t="s">
        <v>163</v>
      </c>
      <c r="BQ39" s="6" t="s">
        <v>164</v>
      </c>
      <c r="BV39" s="45" t="s">
        <v>36</v>
      </c>
      <c r="BZ39" s="69" t="s">
        <v>165</v>
      </c>
    </row>
    <row r="40" spans="10:78" ht="19.5" customHeight="1">
      <c r="S40" s="27" t="s">
        <v>166</v>
      </c>
      <c r="AK40" s="66" t="s">
        <v>167</v>
      </c>
      <c r="BL40" s="55" t="s">
        <v>168</v>
      </c>
      <c r="BQ40" s="6" t="s">
        <v>169</v>
      </c>
      <c r="BV40" s="45" t="s">
        <v>170</v>
      </c>
      <c r="BZ40" s="69" t="s">
        <v>171</v>
      </c>
    </row>
    <row r="41" spans="10:78" ht="37.5" customHeight="1">
      <c r="S41" s="27" t="s">
        <v>172</v>
      </c>
      <c r="AK41" s="66" t="s">
        <v>173</v>
      </c>
      <c r="BQ41" s="59" t="s">
        <v>174</v>
      </c>
      <c r="BV41" s="45" t="s">
        <v>36</v>
      </c>
      <c r="BZ41" s="71" t="s">
        <v>175</v>
      </c>
    </row>
    <row r="42" spans="10:78" ht="15.75">
      <c r="S42" s="28" t="s">
        <v>176</v>
      </c>
      <c r="AK42" s="67" t="s">
        <v>177</v>
      </c>
      <c r="BQ42" s="6" t="s">
        <v>104</v>
      </c>
      <c r="BV42" s="46" t="s">
        <v>178</v>
      </c>
      <c r="BZ42" s="64" t="s">
        <v>179</v>
      </c>
    </row>
    <row r="43" spans="10:78">
      <c r="BQ43" s="7" t="s">
        <v>180</v>
      </c>
    </row>
  </sheetData>
  <mergeCells count="2">
    <mergeCell ref="B29:C29"/>
    <mergeCell ref="B27:C28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6AC60-06F3-4AA6-9B60-2E1DF7E1C1AE}">
  <dimension ref="B2:AD23"/>
  <sheetViews>
    <sheetView topLeftCell="A3" workbookViewId="0">
      <selection activeCell="C7" sqref="C7"/>
    </sheetView>
  </sheetViews>
  <sheetFormatPr defaultRowHeight="15"/>
  <cols>
    <col min="2" max="2" width="72.42578125" customWidth="1"/>
    <col min="5" max="5" width="20.140625" bestFit="1" customWidth="1"/>
    <col min="6" max="6" width="69.85546875" customWidth="1"/>
    <col min="10" max="10" width="63.85546875" customWidth="1"/>
    <col min="15" max="15" width="58.140625" customWidth="1"/>
    <col min="18" max="18" width="73.7109375" customWidth="1"/>
    <col min="22" max="22" width="62.140625" customWidth="1"/>
    <col min="26" max="26" width="63.7109375" customWidth="1"/>
    <col min="30" max="30" width="73" customWidth="1"/>
  </cols>
  <sheetData>
    <row r="2" spans="2:30" ht="31.5">
      <c r="E2" s="280" t="s">
        <v>181</v>
      </c>
      <c r="F2" s="280"/>
      <c r="G2" s="280"/>
      <c r="H2" s="280"/>
      <c r="I2" s="280"/>
      <c r="J2" s="280"/>
    </row>
    <row r="5" spans="2:30" ht="39.75" customHeight="1">
      <c r="B5" s="62" t="s">
        <v>182</v>
      </c>
      <c r="F5" s="63" t="s">
        <v>183</v>
      </c>
      <c r="J5" s="63" t="s">
        <v>184</v>
      </c>
      <c r="O5" s="63" t="s">
        <v>185</v>
      </c>
      <c r="R5" s="63" t="s">
        <v>186</v>
      </c>
      <c r="V5" s="63" t="s">
        <v>187</v>
      </c>
      <c r="Z5" s="63" t="s">
        <v>188</v>
      </c>
      <c r="AD5" s="63" t="s">
        <v>189</v>
      </c>
    </row>
    <row r="6" spans="2:30" ht="23.25">
      <c r="B6" s="63" t="s">
        <v>190</v>
      </c>
      <c r="F6" s="72" t="s">
        <v>191</v>
      </c>
      <c r="J6" s="72" t="s">
        <v>191</v>
      </c>
      <c r="O6" s="72" t="s">
        <v>191</v>
      </c>
      <c r="R6" s="72" t="s">
        <v>191</v>
      </c>
      <c r="V6" s="72" t="s">
        <v>191</v>
      </c>
      <c r="Z6" s="72" t="s">
        <v>191</v>
      </c>
      <c r="AD6" s="72" t="s">
        <v>191</v>
      </c>
    </row>
    <row r="7" spans="2:30">
      <c r="B7" s="72" t="s">
        <v>191</v>
      </c>
      <c r="F7" s="73" t="s">
        <v>192</v>
      </c>
      <c r="J7" s="73" t="s">
        <v>193</v>
      </c>
      <c r="O7" s="73" t="s">
        <v>194</v>
      </c>
      <c r="R7" s="73" t="s">
        <v>195</v>
      </c>
      <c r="V7" s="73" t="s">
        <v>196</v>
      </c>
      <c r="Z7" s="73" t="s">
        <v>197</v>
      </c>
      <c r="AD7" s="73" t="s">
        <v>198</v>
      </c>
    </row>
    <row r="8" spans="2:30">
      <c r="B8" s="73" t="s">
        <v>199</v>
      </c>
      <c r="F8" s="74" t="s">
        <v>191</v>
      </c>
      <c r="J8" s="74" t="s">
        <v>191</v>
      </c>
      <c r="O8" s="74" t="s">
        <v>191</v>
      </c>
      <c r="R8" s="74" t="s">
        <v>191</v>
      </c>
      <c r="V8" s="74" t="s">
        <v>191</v>
      </c>
      <c r="Z8" s="74" t="s">
        <v>191</v>
      </c>
      <c r="AD8" s="74" t="s">
        <v>191</v>
      </c>
    </row>
    <row r="9" spans="2:30">
      <c r="B9" s="74" t="s">
        <v>191</v>
      </c>
      <c r="F9" s="73" t="s">
        <v>200</v>
      </c>
      <c r="J9" s="73" t="s">
        <v>201</v>
      </c>
      <c r="O9" s="73" t="s">
        <v>202</v>
      </c>
      <c r="R9" s="73" t="s">
        <v>203</v>
      </c>
      <c r="V9" s="73" t="s">
        <v>204</v>
      </c>
      <c r="Z9" s="73" t="s">
        <v>203</v>
      </c>
      <c r="AD9" s="75"/>
    </row>
    <row r="10" spans="2:30">
      <c r="B10" s="73" t="s">
        <v>205</v>
      </c>
      <c r="F10" s="73" t="s">
        <v>206</v>
      </c>
      <c r="J10" s="73" t="s">
        <v>207</v>
      </c>
      <c r="O10" s="75"/>
      <c r="R10" s="73" t="s">
        <v>208</v>
      </c>
      <c r="V10" s="75"/>
      <c r="Z10" s="73" t="s">
        <v>202</v>
      </c>
      <c r="AD10" s="73" t="s">
        <v>209</v>
      </c>
    </row>
    <row r="11" spans="2:30">
      <c r="B11" s="73" t="s">
        <v>210</v>
      </c>
      <c r="F11" s="73" t="s">
        <v>211</v>
      </c>
      <c r="J11" s="73" t="s">
        <v>212</v>
      </c>
      <c r="O11" s="73" t="s">
        <v>213</v>
      </c>
      <c r="R11" s="75"/>
      <c r="V11" s="73" t="s">
        <v>75</v>
      </c>
      <c r="Z11" s="75"/>
      <c r="AD11" s="73" t="s">
        <v>214</v>
      </c>
    </row>
    <row r="12" spans="2:30">
      <c r="B12" s="75"/>
      <c r="F12" s="75"/>
      <c r="J12" s="73" t="s">
        <v>215</v>
      </c>
      <c r="O12" s="74" t="s">
        <v>216</v>
      </c>
      <c r="R12" s="73" t="s">
        <v>217</v>
      </c>
      <c r="V12" s="73" t="s">
        <v>93</v>
      </c>
      <c r="Z12" s="73" t="s">
        <v>218</v>
      </c>
      <c r="AD12" s="73" t="s">
        <v>219</v>
      </c>
    </row>
    <row r="13" spans="2:30">
      <c r="B13" s="73"/>
      <c r="F13" s="74" t="s">
        <v>191</v>
      </c>
      <c r="J13" s="73" t="s">
        <v>220</v>
      </c>
      <c r="O13" s="73" t="s">
        <v>221</v>
      </c>
      <c r="R13" s="73" t="s">
        <v>222</v>
      </c>
      <c r="V13" s="73" t="s">
        <v>223</v>
      </c>
      <c r="Z13" s="73" t="s">
        <v>224</v>
      </c>
      <c r="AD13" s="73" t="s">
        <v>225</v>
      </c>
    </row>
    <row r="14" spans="2:30">
      <c r="B14" s="73"/>
      <c r="F14" s="73" t="s">
        <v>226</v>
      </c>
      <c r="J14" s="75"/>
      <c r="O14" s="74" t="s">
        <v>216</v>
      </c>
      <c r="R14" s="73" t="s">
        <v>227</v>
      </c>
      <c r="V14" s="73" t="s">
        <v>228</v>
      </c>
      <c r="Z14" s="73" t="s">
        <v>229</v>
      </c>
      <c r="AD14" s="75"/>
    </row>
    <row r="15" spans="2:30">
      <c r="B15" s="73"/>
      <c r="F15" s="74" t="s">
        <v>191</v>
      </c>
      <c r="J15" s="73" t="s">
        <v>230</v>
      </c>
      <c r="O15" s="73" t="s">
        <v>231</v>
      </c>
      <c r="R15" s="73" t="s">
        <v>76</v>
      </c>
      <c r="V15" s="75"/>
      <c r="Z15" s="75"/>
      <c r="AD15" s="74" t="s">
        <v>232</v>
      </c>
    </row>
    <row r="16" spans="2:30">
      <c r="B16" s="73"/>
      <c r="F16" s="73" t="s">
        <v>233</v>
      </c>
      <c r="J16" s="75"/>
      <c r="O16" s="73" t="s">
        <v>234</v>
      </c>
      <c r="R16" s="73" t="s">
        <v>235</v>
      </c>
      <c r="V16" s="76" t="s">
        <v>236</v>
      </c>
      <c r="Z16" s="73" t="s">
        <v>237</v>
      </c>
      <c r="AD16" s="73" t="s">
        <v>238</v>
      </c>
    </row>
    <row r="17" spans="2:30">
      <c r="B17" s="73"/>
      <c r="F17" s="73" t="s">
        <v>239</v>
      </c>
      <c r="J17" s="73" t="s">
        <v>240</v>
      </c>
      <c r="O17" s="75"/>
      <c r="R17" s="75"/>
      <c r="Z17" s="73" t="s">
        <v>241</v>
      </c>
      <c r="AD17" s="73" t="s">
        <v>242</v>
      </c>
    </row>
    <row r="18" spans="2:30">
      <c r="B18" s="73"/>
      <c r="F18" s="73" t="s">
        <v>243</v>
      </c>
      <c r="J18" s="74" t="s">
        <v>244</v>
      </c>
      <c r="O18" s="76" t="s">
        <v>245</v>
      </c>
      <c r="R18" s="76" t="s">
        <v>246</v>
      </c>
      <c r="Z18" s="73" t="s">
        <v>247</v>
      </c>
      <c r="AD18" s="73" t="s">
        <v>248</v>
      </c>
    </row>
    <row r="19" spans="2:30">
      <c r="B19" s="75"/>
      <c r="F19" s="74" t="s">
        <v>191</v>
      </c>
      <c r="J19" s="73" t="s">
        <v>249</v>
      </c>
      <c r="Z19" s="73" t="s">
        <v>250</v>
      </c>
      <c r="AD19" s="74" t="s">
        <v>232</v>
      </c>
    </row>
    <row r="20" spans="2:30">
      <c r="B20" s="76" t="s">
        <v>251</v>
      </c>
      <c r="F20" s="75"/>
      <c r="J20" s="74" t="s">
        <v>244</v>
      </c>
      <c r="Z20" s="76" t="s">
        <v>252</v>
      </c>
      <c r="AD20" s="75"/>
    </row>
    <row r="21" spans="2:30">
      <c r="F21" s="76" t="s">
        <v>253</v>
      </c>
      <c r="J21" s="73" t="s">
        <v>254</v>
      </c>
      <c r="AD21" s="73" t="s">
        <v>255</v>
      </c>
    </row>
    <row r="22" spans="2:30">
      <c r="J22" s="73" t="s">
        <v>256</v>
      </c>
      <c r="AD22" s="73" t="s">
        <v>257</v>
      </c>
    </row>
    <row r="23" spans="2:30">
      <c r="J23" s="77" t="s">
        <v>244</v>
      </c>
      <c r="AD23" s="76" t="s">
        <v>258</v>
      </c>
    </row>
  </sheetData>
  <mergeCells count="1">
    <mergeCell ref="E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6F28D-CC88-424B-BDC7-EFCDA75114BB}">
  <dimension ref="A3:H158"/>
  <sheetViews>
    <sheetView workbookViewId="0">
      <pane ySplit="5" topLeftCell="A14" activePane="bottomLeft" state="frozen"/>
      <selection pane="bottomLeft" activeCell="L13" sqref="L13"/>
    </sheetView>
  </sheetViews>
  <sheetFormatPr defaultRowHeight="15"/>
  <cols>
    <col min="1" max="1" width="17.42578125" customWidth="1"/>
    <col min="2" max="2" width="34.85546875" customWidth="1"/>
    <col min="3" max="3" width="44.140625" customWidth="1"/>
    <col min="4" max="4" width="15.7109375" customWidth="1"/>
    <col min="5" max="5" width="66" customWidth="1"/>
    <col min="6" max="6" width="13.42578125" customWidth="1"/>
    <col min="7" max="7" width="17.28515625" customWidth="1"/>
    <col min="8" max="8" width="10.85546875" customWidth="1"/>
    <col min="9" max="9" width="15.140625" customWidth="1"/>
  </cols>
  <sheetData>
    <row r="3" spans="1:8">
      <c r="B3" s="305" t="s">
        <v>259</v>
      </c>
      <c r="C3" s="305"/>
    </row>
    <row r="4" spans="1:8">
      <c r="G4" s="302" t="s">
        <v>260</v>
      </c>
      <c r="H4" s="302"/>
    </row>
    <row r="5" spans="1:8">
      <c r="A5" s="96" t="s">
        <v>261</v>
      </c>
      <c r="B5" s="97" t="s">
        <v>262</v>
      </c>
      <c r="C5" s="98" t="s">
        <v>263</v>
      </c>
      <c r="D5" s="99" t="s">
        <v>264</v>
      </c>
      <c r="E5" s="95" t="s">
        <v>265</v>
      </c>
    </row>
    <row r="6" spans="1:8">
      <c r="A6" s="253">
        <v>1</v>
      </c>
      <c r="B6" s="87" t="s">
        <v>266</v>
      </c>
      <c r="C6" s="253" t="s">
        <v>267</v>
      </c>
      <c r="D6" s="111">
        <v>11</v>
      </c>
      <c r="E6" s="105" t="s">
        <v>268</v>
      </c>
    </row>
    <row r="7" spans="1:8" ht="15.75" customHeight="1">
      <c r="A7" s="253">
        <v>2</v>
      </c>
      <c r="B7" s="88" t="s">
        <v>269</v>
      </c>
      <c r="C7" s="85" t="s">
        <v>270</v>
      </c>
      <c r="D7" s="111">
        <v>3</v>
      </c>
      <c r="E7" s="7" t="s">
        <v>268</v>
      </c>
    </row>
    <row r="8" spans="1:8">
      <c r="A8" s="253">
        <v>3</v>
      </c>
      <c r="B8" s="89" t="s">
        <v>271</v>
      </c>
      <c r="C8" s="253" t="s">
        <v>272</v>
      </c>
      <c r="D8" s="111">
        <v>1</v>
      </c>
      <c r="E8" s="7" t="s">
        <v>273</v>
      </c>
    </row>
    <row r="9" spans="1:8">
      <c r="A9" s="253">
        <v>4</v>
      </c>
      <c r="B9" s="89" t="s">
        <v>274</v>
      </c>
      <c r="C9" s="253" t="s">
        <v>275</v>
      </c>
      <c r="D9" s="111">
        <v>1</v>
      </c>
      <c r="E9" s="7" t="s">
        <v>276</v>
      </c>
    </row>
    <row r="10" spans="1:8">
      <c r="A10" s="253">
        <v>5</v>
      </c>
      <c r="B10" s="89" t="s">
        <v>274</v>
      </c>
      <c r="C10" s="83" t="s">
        <v>277</v>
      </c>
      <c r="D10" s="111">
        <v>2</v>
      </c>
      <c r="E10" s="7" t="s">
        <v>278</v>
      </c>
    </row>
    <row r="11" spans="1:8">
      <c r="A11" s="253">
        <v>6</v>
      </c>
      <c r="B11" s="89" t="s">
        <v>274</v>
      </c>
      <c r="C11" s="85" t="s">
        <v>279</v>
      </c>
      <c r="D11" s="111">
        <v>3</v>
      </c>
      <c r="E11" s="7" t="s">
        <v>280</v>
      </c>
    </row>
    <row r="12" spans="1:8">
      <c r="A12" s="253">
        <v>7</v>
      </c>
      <c r="B12" s="90" t="s">
        <v>281</v>
      </c>
      <c r="C12" s="84" t="s">
        <v>282</v>
      </c>
      <c r="D12" s="111">
        <v>1</v>
      </c>
      <c r="E12" s="7" t="s">
        <v>283</v>
      </c>
    </row>
    <row r="13" spans="1:8">
      <c r="A13" s="253">
        <v>8</v>
      </c>
      <c r="B13" s="91" t="s">
        <v>284</v>
      </c>
      <c r="C13" s="86" t="s">
        <v>285</v>
      </c>
      <c r="D13" s="110">
        <v>2</v>
      </c>
      <c r="E13" s="7" t="s">
        <v>286</v>
      </c>
    </row>
    <row r="14" spans="1:8">
      <c r="A14" s="281">
        <v>9</v>
      </c>
      <c r="B14" s="306" t="s">
        <v>287</v>
      </c>
      <c r="C14" s="308" t="s">
        <v>288</v>
      </c>
      <c r="D14" s="298">
        <v>5</v>
      </c>
      <c r="E14" s="107" t="s">
        <v>289</v>
      </c>
    </row>
    <row r="15" spans="1:8">
      <c r="A15" s="281"/>
      <c r="B15" s="307"/>
      <c r="C15" s="308"/>
      <c r="D15" s="298"/>
      <c r="E15" s="107" t="s">
        <v>290</v>
      </c>
    </row>
    <row r="16" spans="1:8">
      <c r="A16" s="281"/>
      <c r="B16" s="307"/>
      <c r="C16" s="308"/>
      <c r="D16" s="298"/>
      <c r="E16" s="108" t="s">
        <v>291</v>
      </c>
    </row>
    <row r="17" spans="1:7">
      <c r="A17" s="281"/>
      <c r="B17" s="307"/>
      <c r="C17" s="308"/>
      <c r="D17" s="298"/>
      <c r="E17" s="108" t="s">
        <v>292</v>
      </c>
    </row>
    <row r="18" spans="1:7">
      <c r="A18" s="281"/>
      <c r="B18" s="307"/>
      <c r="C18" s="309"/>
      <c r="D18" s="299"/>
      <c r="E18" s="109" t="s">
        <v>293</v>
      </c>
      <c r="F18" s="102"/>
      <c r="G18" s="94"/>
    </row>
    <row r="19" spans="1:7">
      <c r="A19" s="253">
        <v>10</v>
      </c>
      <c r="B19" s="89" t="s">
        <v>294</v>
      </c>
      <c r="C19" s="92" t="s">
        <v>295</v>
      </c>
      <c r="D19" s="250">
        <v>1</v>
      </c>
      <c r="E19" s="7" t="s">
        <v>296</v>
      </c>
      <c r="F19" s="102"/>
      <c r="G19" s="94"/>
    </row>
    <row r="20" spans="1:7">
      <c r="A20" s="253">
        <v>11</v>
      </c>
      <c r="B20" s="91" t="s">
        <v>297</v>
      </c>
      <c r="C20" s="84" t="s">
        <v>298</v>
      </c>
      <c r="D20" s="250">
        <v>1</v>
      </c>
      <c r="E20" s="106" t="s">
        <v>299</v>
      </c>
      <c r="F20" s="102"/>
      <c r="G20" s="94"/>
    </row>
    <row r="21" spans="1:7">
      <c r="A21" s="253">
        <v>12</v>
      </c>
      <c r="B21" s="86" t="s">
        <v>300</v>
      </c>
      <c r="C21" s="93" t="s">
        <v>301</v>
      </c>
      <c r="D21" s="103" t="s">
        <v>302</v>
      </c>
      <c r="E21" s="104" t="s">
        <v>268</v>
      </c>
      <c r="F21" s="102"/>
      <c r="G21" s="94"/>
    </row>
    <row r="22" spans="1:7" ht="15.75" customHeight="1">
      <c r="A22" s="281">
        <v>13</v>
      </c>
      <c r="B22" s="303" t="s">
        <v>287</v>
      </c>
      <c r="C22" s="283" t="s">
        <v>303</v>
      </c>
      <c r="D22" s="298">
        <v>72</v>
      </c>
      <c r="E22" s="81" t="s">
        <v>304</v>
      </c>
      <c r="F22" s="102"/>
      <c r="G22" s="94"/>
    </row>
    <row r="23" spans="1:7">
      <c r="A23" s="281"/>
      <c r="B23" s="303"/>
      <c r="C23" s="283"/>
      <c r="D23" s="298"/>
      <c r="E23" s="100" t="s">
        <v>305</v>
      </c>
    </row>
    <row r="24" spans="1:7">
      <c r="A24" s="281"/>
      <c r="B24" s="303"/>
      <c r="C24" s="283"/>
      <c r="D24" s="298"/>
      <c r="E24" s="100" t="s">
        <v>306</v>
      </c>
    </row>
    <row r="25" spans="1:7">
      <c r="A25" s="281"/>
      <c r="B25" s="303"/>
      <c r="C25" s="283"/>
      <c r="D25" s="298"/>
      <c r="E25" s="100" t="s">
        <v>307</v>
      </c>
    </row>
    <row r="26" spans="1:7">
      <c r="A26" s="281"/>
      <c r="B26" s="303"/>
      <c r="C26" s="283"/>
      <c r="D26" s="298"/>
      <c r="E26" s="100" t="s">
        <v>308</v>
      </c>
    </row>
    <row r="27" spans="1:7">
      <c r="A27" s="281"/>
      <c r="B27" s="303"/>
      <c r="C27" s="283"/>
      <c r="D27" s="298"/>
      <c r="E27" s="100" t="s">
        <v>309</v>
      </c>
    </row>
    <row r="28" spans="1:7">
      <c r="A28" s="281"/>
      <c r="B28" s="303"/>
      <c r="C28" s="283"/>
      <c r="D28" s="298"/>
      <c r="E28" s="100" t="s">
        <v>310</v>
      </c>
    </row>
    <row r="29" spans="1:7">
      <c r="A29" s="281"/>
      <c r="B29" s="303"/>
      <c r="C29" s="283"/>
      <c r="D29" s="298"/>
      <c r="E29" s="100" t="s">
        <v>311</v>
      </c>
    </row>
    <row r="30" spans="1:7">
      <c r="A30" s="281"/>
      <c r="B30" s="303"/>
      <c r="C30" s="283"/>
      <c r="D30" s="298"/>
      <c r="E30" s="100" t="s">
        <v>312</v>
      </c>
    </row>
    <row r="31" spans="1:7">
      <c r="A31" s="281"/>
      <c r="B31" s="303"/>
      <c r="C31" s="283"/>
      <c r="D31" s="298"/>
      <c r="E31" s="100" t="s">
        <v>313</v>
      </c>
    </row>
    <row r="32" spans="1:7">
      <c r="A32" s="294"/>
      <c r="B32" s="304"/>
      <c r="C32" s="295"/>
      <c r="D32" s="299"/>
      <c r="E32" s="112" t="s">
        <v>314</v>
      </c>
    </row>
    <row r="33" spans="1:5">
      <c r="A33" s="281">
        <v>14</v>
      </c>
      <c r="B33" s="283" t="s">
        <v>287</v>
      </c>
      <c r="C33" s="283" t="s">
        <v>315</v>
      </c>
      <c r="D33" s="298">
        <v>87</v>
      </c>
      <c r="E33" s="115" t="s">
        <v>316</v>
      </c>
    </row>
    <row r="34" spans="1:5">
      <c r="A34" s="281"/>
      <c r="B34" s="283"/>
      <c r="C34" s="283"/>
      <c r="D34" s="298"/>
      <c r="E34" s="100" t="s">
        <v>317</v>
      </c>
    </row>
    <row r="35" spans="1:5">
      <c r="A35" s="281"/>
      <c r="B35" s="283"/>
      <c r="C35" s="283"/>
      <c r="D35" s="298"/>
      <c r="E35" s="100" t="s">
        <v>318</v>
      </c>
    </row>
    <row r="36" spans="1:5">
      <c r="A36" s="281"/>
      <c r="B36" s="283"/>
      <c r="C36" s="283"/>
      <c r="D36" s="298"/>
      <c r="E36" s="100" t="s">
        <v>319</v>
      </c>
    </row>
    <row r="37" spans="1:5">
      <c r="A37" s="281"/>
      <c r="B37" s="283"/>
      <c r="C37" s="283"/>
      <c r="D37" s="298"/>
      <c r="E37" s="100" t="s">
        <v>320</v>
      </c>
    </row>
    <row r="38" spans="1:5">
      <c r="A38" s="281"/>
      <c r="B38" s="283"/>
      <c r="C38" s="283"/>
      <c r="D38" s="298"/>
      <c r="E38" s="100" t="s">
        <v>321</v>
      </c>
    </row>
    <row r="39" spans="1:5">
      <c r="A39" s="281"/>
      <c r="B39" s="283"/>
      <c r="C39" s="283"/>
      <c r="D39" s="298"/>
      <c r="E39" s="100" t="s">
        <v>322</v>
      </c>
    </row>
    <row r="40" spans="1:5">
      <c r="A40" s="281"/>
      <c r="B40" s="283"/>
      <c r="C40" s="283"/>
      <c r="D40" s="298"/>
      <c r="E40" s="100" t="s">
        <v>323</v>
      </c>
    </row>
    <row r="41" spans="1:5">
      <c r="A41" s="281"/>
      <c r="B41" s="283"/>
      <c r="C41" s="283"/>
      <c r="D41" s="298"/>
      <c r="E41" s="100" t="s">
        <v>324</v>
      </c>
    </row>
    <row r="42" spans="1:5">
      <c r="A42" s="281"/>
      <c r="B42" s="283"/>
      <c r="C42" s="283"/>
      <c r="D42" s="298"/>
      <c r="E42" s="100" t="s">
        <v>325</v>
      </c>
    </row>
    <row r="43" spans="1:5">
      <c r="A43" s="294"/>
      <c r="B43" s="295"/>
      <c r="C43" s="295"/>
      <c r="D43" s="299"/>
      <c r="E43" s="112" t="s">
        <v>326</v>
      </c>
    </row>
    <row r="44" spans="1:5">
      <c r="A44" s="281">
        <v>15</v>
      </c>
      <c r="B44" s="283" t="s">
        <v>327</v>
      </c>
      <c r="C44" s="283" t="s">
        <v>328</v>
      </c>
      <c r="D44" s="300">
        <v>10</v>
      </c>
      <c r="E44" s="115" t="s">
        <v>329</v>
      </c>
    </row>
    <row r="45" spans="1:5">
      <c r="A45" s="281"/>
      <c r="B45" s="283"/>
      <c r="C45" s="283"/>
      <c r="D45" s="300"/>
      <c r="E45" s="100" t="s">
        <v>330</v>
      </c>
    </row>
    <row r="46" spans="1:5">
      <c r="A46" s="281"/>
      <c r="B46" s="283"/>
      <c r="C46" s="283"/>
      <c r="D46" s="300"/>
      <c r="E46" s="100" t="s">
        <v>331</v>
      </c>
    </row>
    <row r="47" spans="1:5">
      <c r="A47" s="281"/>
      <c r="B47" s="283"/>
      <c r="C47" s="283"/>
      <c r="D47" s="300"/>
      <c r="E47" s="100" t="s">
        <v>332</v>
      </c>
    </row>
    <row r="48" spans="1:5">
      <c r="A48" s="294"/>
      <c r="B48" s="295"/>
      <c r="C48" s="295"/>
      <c r="D48" s="301"/>
      <c r="E48" s="112" t="s">
        <v>333</v>
      </c>
    </row>
    <row r="49" spans="1:6">
      <c r="A49" s="281">
        <v>16</v>
      </c>
      <c r="B49" s="283" t="s">
        <v>334</v>
      </c>
      <c r="C49" s="283" t="s">
        <v>335</v>
      </c>
      <c r="D49" s="298">
        <v>21</v>
      </c>
      <c r="E49" s="115" t="s">
        <v>336</v>
      </c>
    </row>
    <row r="50" spans="1:6">
      <c r="A50" s="281"/>
      <c r="B50" s="283"/>
      <c r="C50" s="283"/>
      <c r="D50" s="298"/>
      <c r="E50" s="100" t="s">
        <v>337</v>
      </c>
    </row>
    <row r="51" spans="1:6">
      <c r="A51" s="281"/>
      <c r="B51" s="283"/>
      <c r="C51" s="283"/>
      <c r="D51" s="298"/>
      <c r="E51" s="100" t="s">
        <v>338</v>
      </c>
    </row>
    <row r="52" spans="1:6">
      <c r="A52" s="281"/>
      <c r="B52" s="283"/>
      <c r="C52" s="283"/>
      <c r="D52" s="298"/>
      <c r="E52" s="100" t="s">
        <v>339</v>
      </c>
    </row>
    <row r="53" spans="1:6">
      <c r="A53" s="281"/>
      <c r="B53" s="283"/>
      <c r="C53" s="283"/>
      <c r="D53" s="298"/>
      <c r="E53" s="100" t="s">
        <v>340</v>
      </c>
    </row>
    <row r="54" spans="1:6">
      <c r="A54" s="281"/>
      <c r="B54" s="283"/>
      <c r="C54" s="283"/>
      <c r="D54" s="298"/>
      <c r="E54" s="100" t="s">
        <v>341</v>
      </c>
    </row>
    <row r="55" spans="1:6">
      <c r="A55" s="281"/>
      <c r="B55" s="283"/>
      <c r="C55" s="283"/>
      <c r="D55" s="298"/>
      <c r="E55" s="100" t="s">
        <v>342</v>
      </c>
    </row>
    <row r="56" spans="1:6">
      <c r="A56" s="281"/>
      <c r="B56" s="283"/>
      <c r="C56" s="283"/>
      <c r="D56" s="298"/>
      <c r="E56" s="100" t="s">
        <v>343</v>
      </c>
    </row>
    <row r="57" spans="1:6">
      <c r="A57" s="281"/>
      <c r="B57" s="283"/>
      <c r="C57" s="283"/>
      <c r="D57" s="298"/>
      <c r="E57" s="100" t="s">
        <v>344</v>
      </c>
    </row>
    <row r="58" spans="1:6">
      <c r="A58" s="281"/>
      <c r="B58" s="283"/>
      <c r="C58" s="283"/>
      <c r="D58" s="298"/>
      <c r="E58" s="100" t="s">
        <v>345</v>
      </c>
    </row>
    <row r="59" spans="1:6">
      <c r="A59" s="294"/>
      <c r="B59" s="295"/>
      <c r="C59" s="295"/>
      <c r="D59" s="299"/>
      <c r="E59" s="112" t="s">
        <v>346</v>
      </c>
    </row>
    <row r="60" spans="1:6">
      <c r="A60" s="281">
        <v>17</v>
      </c>
      <c r="B60" s="296" t="s">
        <v>274</v>
      </c>
      <c r="C60" s="296" t="s">
        <v>347</v>
      </c>
      <c r="D60" s="284">
        <v>11</v>
      </c>
      <c r="E60" s="115"/>
      <c r="F60" s="113"/>
    </row>
    <row r="61" spans="1:6">
      <c r="A61" s="281"/>
      <c r="B61" s="296"/>
      <c r="C61" s="296"/>
      <c r="D61" s="310"/>
      <c r="E61" s="100" t="s">
        <v>348</v>
      </c>
      <c r="F61" s="113"/>
    </row>
    <row r="62" spans="1:6">
      <c r="A62" s="281"/>
      <c r="B62" s="296"/>
      <c r="C62" s="296"/>
      <c r="D62" s="310"/>
      <c r="E62" s="116" t="s">
        <v>349</v>
      </c>
      <c r="F62" s="114"/>
    </row>
    <row r="63" spans="1:6">
      <c r="A63" s="281"/>
      <c r="B63" s="296"/>
      <c r="C63" s="296"/>
      <c r="D63" s="310"/>
      <c r="E63" s="116" t="s">
        <v>350</v>
      </c>
      <c r="F63" s="113"/>
    </row>
    <row r="64" spans="1:6">
      <c r="A64" s="281"/>
      <c r="B64" s="296"/>
      <c r="C64" s="296"/>
      <c r="D64" s="310"/>
      <c r="E64" s="117" t="s">
        <v>351</v>
      </c>
    </row>
    <row r="65" spans="1:5">
      <c r="A65" s="281"/>
      <c r="B65" s="296"/>
      <c r="C65" s="296"/>
      <c r="D65" s="310"/>
      <c r="E65" s="100" t="s">
        <v>352</v>
      </c>
    </row>
    <row r="66" spans="1:5">
      <c r="A66" s="281"/>
      <c r="B66" s="296"/>
      <c r="C66" s="296"/>
      <c r="D66" s="310"/>
      <c r="E66" s="100" t="s">
        <v>353</v>
      </c>
    </row>
    <row r="67" spans="1:5">
      <c r="A67" s="281"/>
      <c r="B67" s="296"/>
      <c r="C67" s="296"/>
      <c r="D67" s="310"/>
      <c r="E67" s="100" t="s">
        <v>354</v>
      </c>
    </row>
    <row r="68" spans="1:5">
      <c r="A68" s="281"/>
      <c r="B68" s="296"/>
      <c r="C68" s="296"/>
      <c r="D68" s="310"/>
      <c r="E68" s="100" t="s">
        <v>355</v>
      </c>
    </row>
    <row r="69" spans="1:5">
      <c r="A69" s="281"/>
      <c r="B69" s="296"/>
      <c r="C69" s="296"/>
      <c r="D69" s="310"/>
      <c r="E69" s="100" t="s">
        <v>356</v>
      </c>
    </row>
    <row r="70" spans="1:5">
      <c r="A70" s="281"/>
      <c r="B70" s="296"/>
      <c r="C70" s="296"/>
      <c r="D70" s="310"/>
      <c r="E70" s="100" t="s">
        <v>357</v>
      </c>
    </row>
    <row r="71" spans="1:5">
      <c r="A71" s="294"/>
      <c r="B71" s="297"/>
      <c r="C71" s="297"/>
      <c r="D71" s="310"/>
      <c r="E71" s="112" t="s">
        <v>358</v>
      </c>
    </row>
    <row r="72" spans="1:5">
      <c r="A72" s="281">
        <v>18</v>
      </c>
      <c r="B72" s="296" t="s">
        <v>274</v>
      </c>
      <c r="C72" s="296" t="s">
        <v>359</v>
      </c>
      <c r="D72" s="298">
        <v>4</v>
      </c>
      <c r="E72" s="115" t="s">
        <v>360</v>
      </c>
    </row>
    <row r="73" spans="1:5">
      <c r="A73" s="281"/>
      <c r="B73" s="296"/>
      <c r="C73" s="296"/>
      <c r="D73" s="298"/>
      <c r="E73" s="100" t="s">
        <v>361</v>
      </c>
    </row>
    <row r="74" spans="1:5">
      <c r="A74" s="281"/>
      <c r="B74" s="296"/>
      <c r="C74" s="296"/>
      <c r="D74" s="298"/>
      <c r="E74" s="100" t="s">
        <v>362</v>
      </c>
    </row>
    <row r="75" spans="1:5">
      <c r="A75" s="294"/>
      <c r="B75" s="296"/>
      <c r="C75" s="296"/>
      <c r="D75" s="299"/>
      <c r="E75" s="112" t="s">
        <v>363</v>
      </c>
    </row>
    <row r="76" spans="1:5">
      <c r="A76" s="254">
        <v>19</v>
      </c>
      <c r="B76" s="86" t="s">
        <v>364</v>
      </c>
      <c r="C76" s="118" t="s">
        <v>365</v>
      </c>
      <c r="D76" s="110">
        <v>2</v>
      </c>
      <c r="E76" s="105" t="s">
        <v>273</v>
      </c>
    </row>
    <row r="77" spans="1:5">
      <c r="A77" s="281">
        <v>20</v>
      </c>
      <c r="B77" s="283" t="s">
        <v>274</v>
      </c>
      <c r="C77" s="296" t="s">
        <v>366</v>
      </c>
      <c r="D77" s="298">
        <v>11</v>
      </c>
      <c r="E77" s="137" t="s">
        <v>367</v>
      </c>
    </row>
    <row r="78" spans="1:5">
      <c r="A78" s="281"/>
      <c r="B78" s="283"/>
      <c r="C78" s="296"/>
      <c r="D78" s="298"/>
      <c r="E78" s="116" t="s">
        <v>368</v>
      </c>
    </row>
    <row r="79" spans="1:5">
      <c r="A79" s="281"/>
      <c r="B79" s="283"/>
      <c r="C79" s="296"/>
      <c r="D79" s="298"/>
      <c r="E79" s="116" t="s">
        <v>369</v>
      </c>
    </row>
    <row r="80" spans="1:5">
      <c r="A80" s="281"/>
      <c r="B80" s="283"/>
      <c r="C80" s="296"/>
      <c r="D80" s="298"/>
      <c r="E80" s="116" t="s">
        <v>370</v>
      </c>
    </row>
    <row r="81" spans="1:5">
      <c r="A81" s="281"/>
      <c r="B81" s="283"/>
      <c r="C81" s="296"/>
      <c r="D81" s="298"/>
      <c r="E81" s="100" t="s">
        <v>371</v>
      </c>
    </row>
    <row r="82" spans="1:5">
      <c r="A82" s="281"/>
      <c r="B82" s="283"/>
      <c r="C82" s="296"/>
      <c r="D82" s="298"/>
      <c r="E82" s="100" t="s">
        <v>372</v>
      </c>
    </row>
    <row r="83" spans="1:5">
      <c r="A83" s="281"/>
      <c r="B83" s="283"/>
      <c r="C83" s="296"/>
      <c r="D83" s="298"/>
      <c r="E83" s="100" t="s">
        <v>354</v>
      </c>
    </row>
    <row r="84" spans="1:5">
      <c r="A84" s="281"/>
      <c r="B84" s="283"/>
      <c r="C84" s="296"/>
      <c r="D84" s="298"/>
      <c r="E84" s="100" t="s">
        <v>343</v>
      </c>
    </row>
    <row r="85" spans="1:5">
      <c r="A85" s="281"/>
      <c r="B85" s="283"/>
      <c r="C85" s="296"/>
      <c r="D85" s="298"/>
      <c r="E85" s="100" t="s">
        <v>373</v>
      </c>
    </row>
    <row r="86" spans="1:5">
      <c r="A86" s="281"/>
      <c r="B86" s="283"/>
      <c r="C86" s="296"/>
      <c r="D86" s="298"/>
      <c r="E86" s="100" t="s">
        <v>357</v>
      </c>
    </row>
    <row r="87" spans="1:5">
      <c r="A87" s="294"/>
      <c r="B87" s="295"/>
      <c r="C87" s="297"/>
      <c r="D87" s="299"/>
      <c r="E87" s="101" t="s">
        <v>358</v>
      </c>
    </row>
    <row r="88" spans="1:5">
      <c r="A88" s="281">
        <v>21</v>
      </c>
      <c r="B88" s="283" t="s">
        <v>374</v>
      </c>
      <c r="C88" s="296" t="s">
        <v>375</v>
      </c>
      <c r="D88" s="281">
        <v>10</v>
      </c>
      <c r="E88" s="48" t="s">
        <v>376</v>
      </c>
    </row>
    <row r="89" spans="1:5">
      <c r="A89" s="281"/>
      <c r="B89" s="283"/>
      <c r="C89" s="296"/>
      <c r="D89" s="281"/>
      <c r="E89" s="9" t="s">
        <v>377</v>
      </c>
    </row>
    <row r="90" spans="1:5">
      <c r="A90" s="281"/>
      <c r="B90" s="283"/>
      <c r="C90" s="296"/>
      <c r="D90" s="281"/>
      <c r="E90" s="9" t="s">
        <v>378</v>
      </c>
    </row>
    <row r="91" spans="1:5">
      <c r="A91" s="281"/>
      <c r="B91" s="283"/>
      <c r="C91" s="296"/>
      <c r="D91" s="281"/>
      <c r="E91" s="9" t="s">
        <v>379</v>
      </c>
    </row>
    <row r="92" spans="1:5">
      <c r="A92" s="294"/>
      <c r="B92" s="295"/>
      <c r="C92" s="297"/>
      <c r="D92" s="294"/>
      <c r="E92" s="119" t="s">
        <v>380</v>
      </c>
    </row>
    <row r="93" spans="1:5">
      <c r="A93" s="253">
        <v>22</v>
      </c>
      <c r="B93" s="253" t="s">
        <v>381</v>
      </c>
      <c r="C93" s="253" t="s">
        <v>382</v>
      </c>
      <c r="D93" s="253">
        <v>2</v>
      </c>
      <c r="E93" s="9" t="s">
        <v>273</v>
      </c>
    </row>
    <row r="94" spans="1:5">
      <c r="A94" s="253">
        <v>23</v>
      </c>
      <c r="B94" s="253" t="s">
        <v>383</v>
      </c>
      <c r="C94" s="253" t="s">
        <v>384</v>
      </c>
      <c r="D94" s="253">
        <v>2</v>
      </c>
      <c r="E94" s="9" t="s">
        <v>385</v>
      </c>
    </row>
    <row r="95" spans="1:5">
      <c r="A95" s="253">
        <v>24</v>
      </c>
      <c r="B95" s="83" t="s">
        <v>274</v>
      </c>
      <c r="C95" s="83" t="s">
        <v>386</v>
      </c>
      <c r="D95" s="253">
        <v>2</v>
      </c>
      <c r="E95" s="9" t="s">
        <v>387</v>
      </c>
    </row>
    <row r="96" spans="1:5" ht="127.5" customHeight="1">
      <c r="A96" s="251">
        <v>25</v>
      </c>
      <c r="B96" s="252" t="s">
        <v>287</v>
      </c>
      <c r="C96" s="138" t="s">
        <v>388</v>
      </c>
      <c r="D96" s="254">
        <v>41</v>
      </c>
      <c r="E96" s="136" t="s">
        <v>389</v>
      </c>
    </row>
    <row r="97" spans="1:5">
      <c r="A97" s="254">
        <v>26</v>
      </c>
      <c r="B97" s="120" t="s">
        <v>287</v>
      </c>
      <c r="C97" s="120" t="s">
        <v>390</v>
      </c>
      <c r="D97" s="254">
        <v>12</v>
      </c>
      <c r="E97" s="119" t="s">
        <v>391</v>
      </c>
    </row>
    <row r="98" spans="1:5">
      <c r="A98" s="111">
        <v>27</v>
      </c>
      <c r="B98" s="83" t="s">
        <v>364</v>
      </c>
      <c r="C98" s="92" t="s">
        <v>392</v>
      </c>
      <c r="D98" s="253">
        <v>2</v>
      </c>
      <c r="E98" s="9" t="s">
        <v>273</v>
      </c>
    </row>
    <row r="99" spans="1:5">
      <c r="A99" s="121">
        <v>28</v>
      </c>
      <c r="B99" s="83" t="s">
        <v>393</v>
      </c>
      <c r="C99" s="92" t="s">
        <v>394</v>
      </c>
      <c r="D99" s="253">
        <v>2</v>
      </c>
      <c r="E99" s="9" t="s">
        <v>395</v>
      </c>
    </row>
    <row r="100" spans="1:5">
      <c r="A100" s="111">
        <v>29</v>
      </c>
      <c r="B100" s="83" t="s">
        <v>281</v>
      </c>
      <c r="C100" s="120" t="s">
        <v>396</v>
      </c>
      <c r="D100" s="254">
        <v>19</v>
      </c>
      <c r="E100" s="119" t="s">
        <v>395</v>
      </c>
    </row>
    <row r="101" spans="1:5">
      <c r="A101" s="253">
        <v>30</v>
      </c>
      <c r="B101" s="123" t="s">
        <v>281</v>
      </c>
      <c r="C101" s="83" t="s">
        <v>397</v>
      </c>
      <c r="D101" s="253">
        <v>2</v>
      </c>
      <c r="E101" s="9" t="s">
        <v>395</v>
      </c>
    </row>
    <row r="102" spans="1:5">
      <c r="A102" s="253">
        <v>31</v>
      </c>
      <c r="B102" s="123" t="s">
        <v>398</v>
      </c>
      <c r="C102" s="122" t="s">
        <v>399</v>
      </c>
      <c r="D102" s="253">
        <v>2</v>
      </c>
      <c r="E102" s="9" t="s">
        <v>400</v>
      </c>
    </row>
    <row r="103" spans="1:5">
      <c r="A103" s="253">
        <v>32</v>
      </c>
      <c r="B103" s="123" t="s">
        <v>401</v>
      </c>
      <c r="C103" s="83" t="s">
        <v>402</v>
      </c>
      <c r="D103" s="253">
        <v>1</v>
      </c>
      <c r="E103" s="9" t="s">
        <v>403</v>
      </c>
    </row>
    <row r="104" spans="1:5">
      <c r="A104" s="253">
        <v>33</v>
      </c>
      <c r="B104" s="123" t="s">
        <v>287</v>
      </c>
      <c r="C104" s="83" t="s">
        <v>404</v>
      </c>
      <c r="D104" s="253">
        <v>30</v>
      </c>
      <c r="E104" s="9" t="s">
        <v>405</v>
      </c>
    </row>
    <row r="105" spans="1:5">
      <c r="A105" s="253">
        <v>34</v>
      </c>
      <c r="B105" s="124" t="s">
        <v>274</v>
      </c>
      <c r="C105" s="126" t="s">
        <v>406</v>
      </c>
      <c r="D105" s="254">
        <v>1</v>
      </c>
      <c r="E105" s="119" t="s">
        <v>403</v>
      </c>
    </row>
    <row r="106" spans="1:5">
      <c r="A106" s="253">
        <v>35</v>
      </c>
      <c r="B106" s="123" t="s">
        <v>407</v>
      </c>
      <c r="C106" s="92" t="s">
        <v>408</v>
      </c>
      <c r="D106" s="253">
        <v>2</v>
      </c>
      <c r="E106" s="9" t="s">
        <v>268</v>
      </c>
    </row>
    <row r="107" spans="1:5">
      <c r="A107" s="253">
        <v>36</v>
      </c>
      <c r="B107" s="123" t="s">
        <v>409</v>
      </c>
      <c r="C107" s="92" t="s">
        <v>410</v>
      </c>
      <c r="D107" s="253">
        <v>3</v>
      </c>
      <c r="E107" s="9" t="s">
        <v>268</v>
      </c>
    </row>
    <row r="108" spans="1:5">
      <c r="A108" s="253">
        <v>37</v>
      </c>
      <c r="B108" s="123" t="s">
        <v>274</v>
      </c>
      <c r="C108" s="83" t="s">
        <v>411</v>
      </c>
      <c r="D108" s="253">
        <v>4</v>
      </c>
      <c r="E108" s="9" t="s">
        <v>403</v>
      </c>
    </row>
    <row r="109" spans="1:5">
      <c r="A109" s="253">
        <v>38</v>
      </c>
      <c r="B109" s="123" t="s">
        <v>412</v>
      </c>
      <c r="C109" s="83" t="s">
        <v>413</v>
      </c>
      <c r="D109" s="253">
        <v>7</v>
      </c>
      <c r="E109" s="9" t="s">
        <v>395</v>
      </c>
    </row>
    <row r="110" spans="1:5">
      <c r="A110" s="253">
        <v>39</v>
      </c>
      <c r="B110" s="123" t="s">
        <v>414</v>
      </c>
      <c r="C110" s="83" t="s">
        <v>415</v>
      </c>
      <c r="D110" s="253">
        <v>5</v>
      </c>
      <c r="E110" s="9" t="s">
        <v>416</v>
      </c>
    </row>
    <row r="111" spans="1:5">
      <c r="A111" s="253">
        <v>40</v>
      </c>
      <c r="B111" s="123" t="s">
        <v>417</v>
      </c>
      <c r="C111" s="83" t="s">
        <v>418</v>
      </c>
      <c r="D111" s="253">
        <v>2</v>
      </c>
      <c r="E111" s="9" t="s">
        <v>395</v>
      </c>
    </row>
    <row r="112" spans="1:5">
      <c r="A112" s="253">
        <v>41</v>
      </c>
      <c r="B112" s="125" t="s">
        <v>419</v>
      </c>
      <c r="C112" s="92" t="s">
        <v>420</v>
      </c>
      <c r="D112" s="254">
        <v>2</v>
      </c>
      <c r="E112" s="9" t="s">
        <v>268</v>
      </c>
    </row>
    <row r="113" spans="1:5">
      <c r="A113" s="253">
        <v>42</v>
      </c>
      <c r="B113" s="123" t="s">
        <v>284</v>
      </c>
      <c r="C113" s="123" t="s">
        <v>421</v>
      </c>
      <c r="D113" s="253">
        <v>4</v>
      </c>
      <c r="E113" s="128" t="s">
        <v>395</v>
      </c>
    </row>
    <row r="114" spans="1:5">
      <c r="A114" s="253">
        <v>43</v>
      </c>
      <c r="B114" s="84" t="s">
        <v>383</v>
      </c>
      <c r="C114" s="127" t="s">
        <v>422</v>
      </c>
      <c r="D114" s="253">
        <v>1</v>
      </c>
      <c r="E114" s="128" t="s">
        <v>268</v>
      </c>
    </row>
    <row r="115" spans="1:5">
      <c r="A115" s="253">
        <v>44</v>
      </c>
      <c r="B115" s="120" t="s">
        <v>383</v>
      </c>
      <c r="C115" s="129" t="s">
        <v>423</v>
      </c>
      <c r="D115" s="254">
        <v>3</v>
      </c>
      <c r="E115" s="130" t="s">
        <v>268</v>
      </c>
    </row>
    <row r="116" spans="1:5">
      <c r="A116" s="111">
        <v>45</v>
      </c>
      <c r="B116" s="84" t="s">
        <v>424</v>
      </c>
      <c r="C116" s="84" t="s">
        <v>425</v>
      </c>
      <c r="D116" s="253">
        <v>123</v>
      </c>
      <c r="E116" s="9" t="s">
        <v>426</v>
      </c>
    </row>
    <row r="117" spans="1:5">
      <c r="A117" s="111">
        <v>46</v>
      </c>
      <c r="B117" s="254" t="s">
        <v>427</v>
      </c>
      <c r="C117" s="254" t="s">
        <v>428</v>
      </c>
      <c r="D117" s="254">
        <v>28</v>
      </c>
      <c r="E117" s="119" t="s">
        <v>395</v>
      </c>
    </row>
    <row r="118" spans="1:5">
      <c r="A118" s="111">
        <v>47</v>
      </c>
      <c r="B118" s="84" t="s">
        <v>429</v>
      </c>
      <c r="C118" s="84" t="s">
        <v>430</v>
      </c>
      <c r="D118" s="253">
        <v>1</v>
      </c>
      <c r="E118" s="9" t="s">
        <v>395</v>
      </c>
    </row>
    <row r="119" spans="1:5">
      <c r="A119" s="111">
        <v>48</v>
      </c>
      <c r="B119" s="83" t="s">
        <v>431</v>
      </c>
      <c r="C119" s="92" t="s">
        <v>432</v>
      </c>
      <c r="D119" s="253">
        <v>4</v>
      </c>
      <c r="E119" s="9" t="s">
        <v>268</v>
      </c>
    </row>
    <row r="120" spans="1:5">
      <c r="A120" s="111">
        <v>49</v>
      </c>
      <c r="B120" s="120" t="s">
        <v>433</v>
      </c>
      <c r="C120" s="120" t="s">
        <v>434</v>
      </c>
      <c r="D120" s="254">
        <v>6</v>
      </c>
      <c r="E120" s="119" t="s">
        <v>268</v>
      </c>
    </row>
    <row r="121" spans="1:5">
      <c r="A121" s="111">
        <v>50</v>
      </c>
      <c r="B121" s="83" t="s">
        <v>435</v>
      </c>
      <c r="C121" s="92" t="s">
        <v>436</v>
      </c>
      <c r="D121" s="253">
        <v>4</v>
      </c>
      <c r="E121" s="9" t="s">
        <v>437</v>
      </c>
    </row>
    <row r="122" spans="1:5">
      <c r="A122" s="111">
        <v>51</v>
      </c>
      <c r="B122" s="83" t="s">
        <v>433</v>
      </c>
      <c r="C122" s="83" t="s">
        <v>434</v>
      </c>
      <c r="D122" s="253">
        <v>6</v>
      </c>
      <c r="E122" s="9" t="s">
        <v>268</v>
      </c>
    </row>
    <row r="123" spans="1:5">
      <c r="A123" s="111">
        <v>52</v>
      </c>
      <c r="B123" s="83" t="s">
        <v>383</v>
      </c>
      <c r="C123" s="83" t="s">
        <v>438</v>
      </c>
      <c r="D123" s="254">
        <v>10</v>
      </c>
      <c r="E123" s="9" t="s">
        <v>395</v>
      </c>
    </row>
    <row r="124" spans="1:5">
      <c r="A124" s="111">
        <v>53</v>
      </c>
      <c r="B124" s="83" t="s">
        <v>439</v>
      </c>
      <c r="C124" s="123" t="s">
        <v>440</v>
      </c>
      <c r="D124" s="253">
        <v>78</v>
      </c>
      <c r="E124" s="128" t="s">
        <v>441</v>
      </c>
    </row>
    <row r="125" spans="1:5">
      <c r="A125" s="253">
        <v>54</v>
      </c>
      <c r="B125" s="83" t="s">
        <v>442</v>
      </c>
      <c r="C125" s="125" t="s">
        <v>443</v>
      </c>
      <c r="D125" s="253">
        <v>4</v>
      </c>
      <c r="E125" s="128" t="s">
        <v>268</v>
      </c>
    </row>
    <row r="126" spans="1:5">
      <c r="A126" s="253">
        <v>55</v>
      </c>
      <c r="B126" s="83" t="s">
        <v>444</v>
      </c>
      <c r="C126" s="123" t="s">
        <v>445</v>
      </c>
      <c r="D126" s="253">
        <v>25</v>
      </c>
      <c r="E126" s="128" t="s">
        <v>395</v>
      </c>
    </row>
    <row r="127" spans="1:5">
      <c r="A127" s="253">
        <v>56</v>
      </c>
      <c r="B127" s="83" t="s">
        <v>274</v>
      </c>
      <c r="C127" s="123" t="s">
        <v>446</v>
      </c>
      <c r="D127" s="253">
        <v>6</v>
      </c>
      <c r="E127" s="128" t="s">
        <v>395</v>
      </c>
    </row>
    <row r="128" spans="1:5" ht="17.25" customHeight="1">
      <c r="A128" s="253">
        <v>57</v>
      </c>
      <c r="B128" s="131" t="s">
        <v>447</v>
      </c>
      <c r="C128" s="118" t="s">
        <v>448</v>
      </c>
      <c r="D128" s="254">
        <v>11</v>
      </c>
      <c r="E128" s="130" t="s">
        <v>268</v>
      </c>
    </row>
    <row r="129" spans="1:5">
      <c r="A129" s="253">
        <v>58</v>
      </c>
      <c r="B129" s="123" t="s">
        <v>449</v>
      </c>
      <c r="C129" s="83" t="s">
        <v>450</v>
      </c>
      <c r="D129" s="253">
        <v>1</v>
      </c>
      <c r="E129" s="9" t="s">
        <v>268</v>
      </c>
    </row>
    <row r="130" spans="1:5">
      <c r="A130" s="253">
        <v>59</v>
      </c>
      <c r="B130" s="123" t="s">
        <v>274</v>
      </c>
      <c r="C130" s="83" t="s">
        <v>451</v>
      </c>
      <c r="D130" s="253">
        <v>13</v>
      </c>
      <c r="E130" s="9" t="s">
        <v>395</v>
      </c>
    </row>
    <row r="131" spans="1:5">
      <c r="A131" s="253">
        <v>60</v>
      </c>
      <c r="B131" s="123" t="s">
        <v>452</v>
      </c>
      <c r="C131" s="92" t="s">
        <v>453</v>
      </c>
      <c r="D131" s="253">
        <v>1</v>
      </c>
      <c r="E131" s="9" t="s">
        <v>268</v>
      </c>
    </row>
    <row r="132" spans="1:5">
      <c r="A132" s="253">
        <v>61</v>
      </c>
      <c r="B132" s="123" t="s">
        <v>274</v>
      </c>
      <c r="C132" s="83" t="s">
        <v>454</v>
      </c>
      <c r="D132" s="253">
        <v>10</v>
      </c>
      <c r="E132" s="9" t="s">
        <v>395</v>
      </c>
    </row>
    <row r="133" spans="1:5">
      <c r="A133" s="253">
        <v>62</v>
      </c>
      <c r="B133" s="123" t="s">
        <v>383</v>
      </c>
      <c r="C133" s="92" t="s">
        <v>455</v>
      </c>
      <c r="D133" s="253">
        <v>2</v>
      </c>
      <c r="E133" s="9" t="s">
        <v>268</v>
      </c>
    </row>
    <row r="134" spans="1:5">
      <c r="A134" s="253">
        <v>63</v>
      </c>
      <c r="B134" s="123" t="s">
        <v>456</v>
      </c>
      <c r="C134" s="92" t="s">
        <v>457</v>
      </c>
      <c r="D134" s="253">
        <v>3</v>
      </c>
      <c r="E134" s="9" t="s">
        <v>268</v>
      </c>
    </row>
    <row r="135" spans="1:5">
      <c r="A135" s="253">
        <v>64</v>
      </c>
      <c r="B135" s="123" t="s">
        <v>274</v>
      </c>
      <c r="C135" s="83" t="s">
        <v>458</v>
      </c>
      <c r="D135" s="253">
        <v>6</v>
      </c>
      <c r="E135" s="9" t="s">
        <v>395</v>
      </c>
    </row>
    <row r="136" spans="1:5">
      <c r="A136" s="253">
        <v>65</v>
      </c>
      <c r="B136" s="123" t="s">
        <v>459</v>
      </c>
      <c r="C136" s="120" t="s">
        <v>460</v>
      </c>
      <c r="D136" s="254">
        <v>2</v>
      </c>
      <c r="E136" s="119" t="s">
        <v>461</v>
      </c>
    </row>
    <row r="137" spans="1:5">
      <c r="A137" s="253">
        <v>66</v>
      </c>
      <c r="B137" s="129" t="s">
        <v>462</v>
      </c>
      <c r="C137" s="83" t="s">
        <v>463</v>
      </c>
      <c r="D137" s="253">
        <v>45</v>
      </c>
      <c r="E137" s="9" t="s">
        <v>464</v>
      </c>
    </row>
    <row r="138" spans="1:5">
      <c r="A138" s="284">
        <v>67</v>
      </c>
      <c r="B138" s="286" t="s">
        <v>465</v>
      </c>
      <c r="C138" s="288" t="s">
        <v>466</v>
      </c>
      <c r="D138" s="290">
        <v>818</v>
      </c>
      <c r="E138" s="292" t="s">
        <v>467</v>
      </c>
    </row>
    <row r="139" spans="1:5">
      <c r="A139" s="285"/>
      <c r="B139" s="287"/>
      <c r="C139" s="289"/>
      <c r="D139" s="291"/>
      <c r="E139" s="293"/>
    </row>
    <row r="140" spans="1:5">
      <c r="A140" s="253">
        <v>68</v>
      </c>
      <c r="B140" s="123" t="s">
        <v>274</v>
      </c>
      <c r="C140" s="83" t="s">
        <v>468</v>
      </c>
      <c r="D140" s="9">
        <v>2</v>
      </c>
      <c r="E140" s="9" t="s">
        <v>395</v>
      </c>
    </row>
    <row r="141" spans="1:5">
      <c r="A141" s="253">
        <v>69</v>
      </c>
      <c r="B141" s="123" t="s">
        <v>274</v>
      </c>
      <c r="C141" s="120" t="s">
        <v>468</v>
      </c>
      <c r="D141" s="119">
        <v>2</v>
      </c>
      <c r="E141" s="119" t="s">
        <v>395</v>
      </c>
    </row>
    <row r="142" spans="1:5">
      <c r="A142" s="253">
        <v>70</v>
      </c>
      <c r="B142" s="123" t="s">
        <v>294</v>
      </c>
      <c r="C142" s="92" t="s">
        <v>469</v>
      </c>
      <c r="D142" s="132">
        <v>1</v>
      </c>
      <c r="E142" s="132" t="s">
        <v>268</v>
      </c>
    </row>
    <row r="143" spans="1:5">
      <c r="A143" s="253">
        <v>71</v>
      </c>
      <c r="B143" s="123" t="s">
        <v>398</v>
      </c>
      <c r="C143" s="83" t="s">
        <v>470</v>
      </c>
      <c r="D143" s="133">
        <v>2</v>
      </c>
      <c r="E143" s="133" t="s">
        <v>471</v>
      </c>
    </row>
    <row r="144" spans="1:5">
      <c r="A144" s="253">
        <v>72</v>
      </c>
      <c r="B144" s="83" t="s">
        <v>281</v>
      </c>
      <c r="C144" s="129" t="s">
        <v>472</v>
      </c>
      <c r="D144" s="119">
        <v>21</v>
      </c>
      <c r="E144" s="119" t="s">
        <v>473</v>
      </c>
    </row>
    <row r="145" spans="1:5">
      <c r="A145" s="253">
        <v>73</v>
      </c>
      <c r="B145" s="123" t="s">
        <v>474</v>
      </c>
      <c r="C145" s="92" t="s">
        <v>475</v>
      </c>
      <c r="D145" s="9">
        <v>1</v>
      </c>
      <c r="E145" s="9" t="s">
        <v>476</v>
      </c>
    </row>
    <row r="146" spans="1:5">
      <c r="A146" s="253">
        <v>74</v>
      </c>
      <c r="B146" s="123" t="s">
        <v>477</v>
      </c>
      <c r="C146" s="84" t="s">
        <v>478</v>
      </c>
      <c r="D146" s="9">
        <v>10</v>
      </c>
      <c r="E146" s="9" t="s">
        <v>479</v>
      </c>
    </row>
    <row r="147" spans="1:5">
      <c r="A147" s="253">
        <v>75</v>
      </c>
      <c r="B147" s="127" t="s">
        <v>274</v>
      </c>
      <c r="C147" s="83" t="s">
        <v>480</v>
      </c>
      <c r="D147" s="9">
        <v>4</v>
      </c>
      <c r="E147" s="9" t="s">
        <v>395</v>
      </c>
    </row>
    <row r="148" spans="1:5">
      <c r="A148" s="253">
        <v>76</v>
      </c>
      <c r="B148" s="127" t="s">
        <v>274</v>
      </c>
      <c r="C148" s="84" t="s">
        <v>481</v>
      </c>
      <c r="D148" s="9">
        <v>1</v>
      </c>
      <c r="E148" s="9" t="s">
        <v>482</v>
      </c>
    </row>
    <row r="149" spans="1:5">
      <c r="A149" s="253">
        <v>77</v>
      </c>
      <c r="B149" s="123" t="s">
        <v>483</v>
      </c>
      <c r="C149" s="92" t="s">
        <v>484</v>
      </c>
      <c r="D149" s="9">
        <v>2</v>
      </c>
      <c r="E149" s="9" t="s">
        <v>268</v>
      </c>
    </row>
    <row r="150" spans="1:5">
      <c r="A150" s="253">
        <v>78</v>
      </c>
      <c r="B150" s="127" t="s">
        <v>287</v>
      </c>
      <c r="C150" s="84" t="s">
        <v>485</v>
      </c>
      <c r="D150" s="9">
        <v>1</v>
      </c>
      <c r="E150" s="9" t="s">
        <v>268</v>
      </c>
    </row>
    <row r="151" spans="1:5">
      <c r="A151" s="253">
        <v>79</v>
      </c>
      <c r="B151" s="123" t="s">
        <v>383</v>
      </c>
      <c r="C151" s="83" t="s">
        <v>486</v>
      </c>
      <c r="D151" s="9">
        <v>1</v>
      </c>
      <c r="E151" s="9" t="s">
        <v>476</v>
      </c>
    </row>
    <row r="152" spans="1:5">
      <c r="A152" s="253">
        <v>80</v>
      </c>
      <c r="B152" s="83" t="s">
        <v>487</v>
      </c>
      <c r="C152" s="83" t="s">
        <v>488</v>
      </c>
      <c r="D152" s="119">
        <v>1</v>
      </c>
      <c r="E152" s="119" t="s">
        <v>476</v>
      </c>
    </row>
    <row r="153" spans="1:5">
      <c r="A153" s="253">
        <v>81</v>
      </c>
      <c r="B153" s="83" t="s">
        <v>489</v>
      </c>
      <c r="C153" s="125" t="s">
        <v>490</v>
      </c>
      <c r="D153" s="9">
        <v>2</v>
      </c>
      <c r="E153" s="9" t="s">
        <v>476</v>
      </c>
    </row>
    <row r="154" spans="1:5">
      <c r="A154" s="254">
        <v>82</v>
      </c>
      <c r="B154" s="120" t="s">
        <v>491</v>
      </c>
      <c r="C154" s="129" t="s">
        <v>492</v>
      </c>
      <c r="D154" s="119">
        <v>15</v>
      </c>
      <c r="E154" s="119" t="s">
        <v>493</v>
      </c>
    </row>
    <row r="155" spans="1:5">
      <c r="A155" s="281">
        <v>83</v>
      </c>
      <c r="B155" s="283" t="s">
        <v>494</v>
      </c>
      <c r="C155" s="282" t="s">
        <v>495</v>
      </c>
      <c r="D155" s="281">
        <v>12</v>
      </c>
      <c r="E155" s="130" t="s">
        <v>496</v>
      </c>
    </row>
    <row r="156" spans="1:5">
      <c r="A156" s="281"/>
      <c r="B156" s="283"/>
      <c r="C156" s="282"/>
      <c r="D156" s="281"/>
      <c r="E156" s="134" t="s">
        <v>497</v>
      </c>
    </row>
    <row r="157" spans="1:5">
      <c r="A157" s="281"/>
      <c r="B157" s="283"/>
      <c r="C157" s="282"/>
      <c r="D157" s="281"/>
      <c r="E157" s="134" t="s">
        <v>498</v>
      </c>
    </row>
    <row r="158" spans="1:5">
      <c r="A158" s="281"/>
      <c r="B158" s="283"/>
      <c r="C158" s="282"/>
      <c r="D158" s="281"/>
      <c r="E158" s="135" t="s">
        <v>499</v>
      </c>
    </row>
  </sheetData>
  <mergeCells count="47">
    <mergeCell ref="D72:D75"/>
    <mergeCell ref="C72:C75"/>
    <mergeCell ref="B72:B75"/>
    <mergeCell ref="A72:A75"/>
    <mergeCell ref="D49:D59"/>
    <mergeCell ref="C49:C59"/>
    <mergeCell ref="B49:B59"/>
    <mergeCell ref="A49:A59"/>
    <mergeCell ref="A60:A71"/>
    <mergeCell ref="B60:B71"/>
    <mergeCell ref="C60:C71"/>
    <mergeCell ref="D60:D71"/>
    <mergeCell ref="B3:C3"/>
    <mergeCell ref="B14:B18"/>
    <mergeCell ref="C14:C18"/>
    <mergeCell ref="D14:D18"/>
    <mergeCell ref="A33:A43"/>
    <mergeCell ref="B33:B43"/>
    <mergeCell ref="C33:C43"/>
    <mergeCell ref="D33:D43"/>
    <mergeCell ref="A14:A18"/>
    <mergeCell ref="A44:A48"/>
    <mergeCell ref="B44:B48"/>
    <mergeCell ref="C44:C48"/>
    <mergeCell ref="D44:D48"/>
    <mergeCell ref="G4:H4"/>
    <mergeCell ref="B22:B32"/>
    <mergeCell ref="C22:C32"/>
    <mergeCell ref="D22:D32"/>
    <mergeCell ref="A22:A32"/>
    <mergeCell ref="E138:E139"/>
    <mergeCell ref="A77:A87"/>
    <mergeCell ref="B77:B87"/>
    <mergeCell ref="C77:C87"/>
    <mergeCell ref="D77:D87"/>
    <mergeCell ref="D88:D92"/>
    <mergeCell ref="C88:C92"/>
    <mergeCell ref="B88:B92"/>
    <mergeCell ref="A88:A92"/>
    <mergeCell ref="D155:D158"/>
    <mergeCell ref="C155:C158"/>
    <mergeCell ref="B155:B158"/>
    <mergeCell ref="A155:A158"/>
    <mergeCell ref="A138:A139"/>
    <mergeCell ref="B138:B139"/>
    <mergeCell ref="C138:C139"/>
    <mergeCell ref="D138:D13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94E9B-3059-4D9A-9CD4-49E4393F8401}">
  <dimension ref="C4:J62"/>
  <sheetViews>
    <sheetView tabSelected="1" topLeftCell="A7" workbookViewId="0">
      <selection activeCell="E13" sqref="E13:E19"/>
    </sheetView>
  </sheetViews>
  <sheetFormatPr defaultRowHeight="15"/>
  <cols>
    <col min="3" max="6" width="25.7109375" customWidth="1"/>
    <col min="7" max="8" width="37.140625" customWidth="1"/>
    <col min="9" max="11" width="25.7109375" customWidth="1"/>
  </cols>
  <sheetData>
    <row r="4" spans="3:10">
      <c r="H4" s="102"/>
    </row>
    <row r="5" spans="3:10">
      <c r="E5" s="311" t="s">
        <v>500</v>
      </c>
      <c r="F5" s="312"/>
      <c r="G5" s="313"/>
      <c r="H5" s="102"/>
    </row>
    <row r="6" spans="3:10">
      <c r="H6" s="102"/>
    </row>
    <row r="11" spans="3:10">
      <c r="C11" s="139" t="s">
        <v>501</v>
      </c>
      <c r="D11" s="140" t="s">
        <v>502</v>
      </c>
      <c r="E11" s="141" t="s">
        <v>503</v>
      </c>
      <c r="F11" s="142" t="s">
        <v>504</v>
      </c>
      <c r="G11" s="144" t="s">
        <v>505</v>
      </c>
      <c r="H11" s="144" t="s">
        <v>506</v>
      </c>
      <c r="I11" s="143" t="s">
        <v>507</v>
      </c>
      <c r="J11" s="143" t="s">
        <v>508</v>
      </c>
    </row>
    <row r="13" spans="3:10">
      <c r="C13" s="314" t="s">
        <v>509</v>
      </c>
      <c r="D13" s="317" t="s">
        <v>510</v>
      </c>
      <c r="E13" s="374" t="s">
        <v>511</v>
      </c>
      <c r="F13" s="154" t="s">
        <v>512</v>
      </c>
      <c r="G13" s="153" t="s">
        <v>513</v>
      </c>
      <c r="H13" s="187">
        <v>8</v>
      </c>
      <c r="I13" s="322">
        <f>SUM(H13:H19)</f>
        <v>19</v>
      </c>
      <c r="J13" s="317">
        <v>156</v>
      </c>
    </row>
    <row r="14" spans="3:10">
      <c r="C14" s="315"/>
      <c r="D14" s="318"/>
      <c r="E14" s="375"/>
      <c r="F14" s="116" t="s">
        <v>287</v>
      </c>
      <c r="G14" s="155" t="s">
        <v>514</v>
      </c>
      <c r="H14" s="188">
        <v>3</v>
      </c>
      <c r="I14" s="323"/>
      <c r="J14" s="318"/>
    </row>
    <row r="15" spans="3:10">
      <c r="C15" s="315"/>
      <c r="D15" s="318"/>
      <c r="E15" s="375"/>
      <c r="F15" s="116" t="s">
        <v>274</v>
      </c>
      <c r="G15" s="244" t="s">
        <v>515</v>
      </c>
      <c r="H15" s="189">
        <v>3</v>
      </c>
      <c r="I15" s="323"/>
      <c r="J15" s="318"/>
    </row>
    <row r="16" spans="3:10">
      <c r="C16" s="315"/>
      <c r="D16" s="318"/>
      <c r="E16" s="375"/>
      <c r="F16" s="157" t="s">
        <v>274</v>
      </c>
      <c r="G16" s="155" t="s">
        <v>516</v>
      </c>
      <c r="H16" s="188">
        <v>1</v>
      </c>
      <c r="I16" s="323"/>
      <c r="J16" s="318"/>
    </row>
    <row r="17" spans="3:10">
      <c r="C17" s="315"/>
      <c r="D17" s="318"/>
      <c r="E17" s="375"/>
      <c r="F17" s="116" t="s">
        <v>398</v>
      </c>
      <c r="G17" s="155" t="s">
        <v>517</v>
      </c>
      <c r="H17" s="188">
        <v>2</v>
      </c>
      <c r="I17" s="323"/>
      <c r="J17" s="318"/>
    </row>
    <row r="18" spans="3:10">
      <c r="C18" s="315"/>
      <c r="D18" s="318"/>
      <c r="E18" s="375"/>
      <c r="F18" s="116" t="s">
        <v>518</v>
      </c>
      <c r="G18" s="155" t="s">
        <v>445</v>
      </c>
      <c r="H18" s="188">
        <v>1</v>
      </c>
      <c r="I18" s="323"/>
      <c r="J18" s="318"/>
    </row>
    <row r="19" spans="3:10">
      <c r="C19" s="315"/>
      <c r="D19" s="318"/>
      <c r="E19" s="376"/>
      <c r="F19" s="162" t="s">
        <v>519</v>
      </c>
      <c r="G19" s="155" t="s">
        <v>463</v>
      </c>
      <c r="H19" s="188">
        <v>1</v>
      </c>
      <c r="I19" s="324"/>
      <c r="J19" s="318"/>
    </row>
    <row r="20" spans="3:10">
      <c r="C20" s="315"/>
      <c r="D20" s="318"/>
      <c r="E20" s="209"/>
      <c r="F20" s="209"/>
      <c r="G20" s="209"/>
      <c r="H20" s="168"/>
      <c r="I20" s="168"/>
      <c r="J20" s="331"/>
    </row>
    <row r="21" spans="3:10">
      <c r="C21" s="315"/>
      <c r="D21" s="318"/>
      <c r="E21" s="319" t="s">
        <v>520</v>
      </c>
      <c r="F21" s="180" t="s">
        <v>521</v>
      </c>
      <c r="G21" s="158" t="s">
        <v>522</v>
      </c>
      <c r="H21" s="188">
        <v>2</v>
      </c>
      <c r="I21" s="328">
        <f>SUM(H21:H25)</f>
        <v>10</v>
      </c>
      <c r="J21" s="318"/>
    </row>
    <row r="22" spans="3:10">
      <c r="C22" s="315"/>
      <c r="D22" s="318"/>
      <c r="E22" s="320"/>
      <c r="F22" s="180" t="s">
        <v>287</v>
      </c>
      <c r="G22" s="158" t="s">
        <v>523</v>
      </c>
      <c r="H22" s="188">
        <v>3</v>
      </c>
      <c r="I22" s="329"/>
      <c r="J22" s="318"/>
    </row>
    <row r="23" spans="3:10">
      <c r="C23" s="315"/>
      <c r="D23" s="318"/>
      <c r="E23" s="320"/>
      <c r="F23" s="180" t="s">
        <v>524</v>
      </c>
      <c r="G23" s="158" t="s">
        <v>525</v>
      </c>
      <c r="H23" s="188">
        <v>2</v>
      </c>
      <c r="I23" s="329"/>
      <c r="J23" s="318"/>
    </row>
    <row r="24" spans="3:10">
      <c r="C24" s="315"/>
      <c r="D24" s="318"/>
      <c r="E24" s="320"/>
      <c r="F24" s="181" t="s">
        <v>398</v>
      </c>
      <c r="G24" s="182" t="s">
        <v>517</v>
      </c>
      <c r="H24" s="190">
        <v>2</v>
      </c>
      <c r="I24" s="329"/>
      <c r="J24" s="318"/>
    </row>
    <row r="25" spans="3:10">
      <c r="C25" s="315"/>
      <c r="D25" s="318"/>
      <c r="E25" s="321"/>
      <c r="F25" s="180" t="s">
        <v>287</v>
      </c>
      <c r="G25" s="158" t="s">
        <v>463</v>
      </c>
      <c r="H25" s="188">
        <v>1</v>
      </c>
      <c r="I25" s="330"/>
      <c r="J25" s="318"/>
    </row>
    <row r="26" spans="3:10">
      <c r="C26" s="315"/>
      <c r="D26" s="318"/>
      <c r="E26" s="209"/>
      <c r="F26" s="209"/>
      <c r="G26" s="209"/>
      <c r="H26" s="168"/>
      <c r="I26" s="168"/>
      <c r="J26" s="331"/>
    </row>
    <row r="27" spans="3:10">
      <c r="C27" s="315"/>
      <c r="D27" s="318"/>
      <c r="E27" s="325" t="s">
        <v>526</v>
      </c>
      <c r="F27" s="155" t="s">
        <v>527</v>
      </c>
      <c r="G27" s="158" t="s">
        <v>522</v>
      </c>
      <c r="H27" s="188">
        <v>2</v>
      </c>
      <c r="I27" s="328">
        <f>SUM(H27:H33)</f>
        <v>17</v>
      </c>
      <c r="J27" s="318"/>
    </row>
    <row r="28" spans="3:10">
      <c r="C28" s="315"/>
      <c r="D28" s="318"/>
      <c r="E28" s="326"/>
      <c r="F28" s="155" t="s">
        <v>287</v>
      </c>
      <c r="G28" s="158" t="s">
        <v>523</v>
      </c>
      <c r="H28" s="188">
        <v>8</v>
      </c>
      <c r="I28" s="329"/>
      <c r="J28" s="318"/>
    </row>
    <row r="29" spans="3:10">
      <c r="C29" s="315"/>
      <c r="D29" s="318"/>
      <c r="E29" s="326"/>
      <c r="F29" s="155" t="s">
        <v>287</v>
      </c>
      <c r="G29" s="158" t="s">
        <v>514</v>
      </c>
      <c r="H29" s="188">
        <v>2</v>
      </c>
      <c r="I29" s="329"/>
      <c r="J29" s="318"/>
    </row>
    <row r="30" spans="3:10">
      <c r="C30" s="315"/>
      <c r="D30" s="318"/>
      <c r="E30" s="326"/>
      <c r="F30" s="155" t="s">
        <v>274</v>
      </c>
      <c r="G30" s="158" t="s">
        <v>279</v>
      </c>
      <c r="H30" s="188">
        <v>1</v>
      </c>
      <c r="I30" s="329"/>
      <c r="J30" s="318"/>
    </row>
    <row r="31" spans="3:10">
      <c r="C31" s="315"/>
      <c r="D31" s="318"/>
      <c r="E31" s="326"/>
      <c r="F31" s="155" t="s">
        <v>274</v>
      </c>
      <c r="G31" s="158" t="s">
        <v>451</v>
      </c>
      <c r="H31" s="188">
        <v>1</v>
      </c>
      <c r="I31" s="329"/>
      <c r="J31" s="318"/>
    </row>
    <row r="32" spans="3:10">
      <c r="C32" s="315"/>
      <c r="D32" s="318"/>
      <c r="E32" s="326"/>
      <c r="F32" s="155" t="s">
        <v>398</v>
      </c>
      <c r="G32" s="158" t="s">
        <v>528</v>
      </c>
      <c r="H32" s="188">
        <v>2</v>
      </c>
      <c r="I32" s="329"/>
      <c r="J32" s="318"/>
    </row>
    <row r="33" spans="3:10">
      <c r="C33" s="315"/>
      <c r="D33" s="318"/>
      <c r="E33" s="327"/>
      <c r="F33" s="155" t="s">
        <v>519</v>
      </c>
      <c r="G33" s="158" t="s">
        <v>463</v>
      </c>
      <c r="H33" s="188">
        <v>1</v>
      </c>
      <c r="I33" s="330"/>
      <c r="J33" s="318"/>
    </row>
    <row r="34" spans="3:10">
      <c r="C34" s="315"/>
      <c r="D34" s="318"/>
      <c r="E34" s="209"/>
      <c r="F34" s="209"/>
      <c r="G34" s="209"/>
      <c r="H34" s="168"/>
      <c r="I34" s="168"/>
      <c r="J34" s="331"/>
    </row>
    <row r="35" spans="3:10">
      <c r="C35" s="315"/>
      <c r="D35" s="318"/>
      <c r="E35" s="194" t="s">
        <v>529</v>
      </c>
      <c r="F35" s="180" t="s">
        <v>287</v>
      </c>
      <c r="G35" s="158" t="s">
        <v>303</v>
      </c>
      <c r="H35" s="188">
        <v>1</v>
      </c>
      <c r="I35" s="202">
        <v>1</v>
      </c>
      <c r="J35" s="318"/>
    </row>
    <row r="36" spans="3:10">
      <c r="C36" s="315"/>
      <c r="D36" s="318"/>
      <c r="E36" s="209"/>
      <c r="F36" s="209"/>
      <c r="G36" s="209"/>
      <c r="H36" s="168"/>
      <c r="I36" s="168"/>
      <c r="J36" s="331"/>
    </row>
    <row r="37" spans="3:10">
      <c r="C37" s="315"/>
      <c r="D37" s="318"/>
      <c r="E37" s="325" t="s">
        <v>530</v>
      </c>
      <c r="F37" s="180" t="s">
        <v>521</v>
      </c>
      <c r="G37" s="158" t="s">
        <v>522</v>
      </c>
      <c r="H37" s="188">
        <v>7</v>
      </c>
      <c r="I37" s="328">
        <f>SUM(H37:H40)</f>
        <v>10</v>
      </c>
      <c r="J37" s="318"/>
    </row>
    <row r="38" spans="3:10">
      <c r="C38" s="315"/>
      <c r="D38" s="318"/>
      <c r="E38" s="326"/>
      <c r="F38" s="180" t="s">
        <v>287</v>
      </c>
      <c r="G38" s="158" t="s">
        <v>303</v>
      </c>
      <c r="H38" s="188">
        <v>1</v>
      </c>
      <c r="I38" s="329"/>
      <c r="J38" s="318"/>
    </row>
    <row r="39" spans="3:10">
      <c r="C39" s="315"/>
      <c r="D39" s="318"/>
      <c r="E39" s="326"/>
      <c r="F39" s="180" t="s">
        <v>518</v>
      </c>
      <c r="G39" s="158" t="s">
        <v>445</v>
      </c>
      <c r="H39" s="188">
        <v>1</v>
      </c>
      <c r="I39" s="329"/>
      <c r="J39" s="318"/>
    </row>
    <row r="40" spans="3:10">
      <c r="C40" s="315"/>
      <c r="D40" s="318"/>
      <c r="E40" s="327"/>
      <c r="F40" s="180" t="s">
        <v>287</v>
      </c>
      <c r="G40" s="156" t="s">
        <v>440</v>
      </c>
      <c r="H40" s="189">
        <v>1</v>
      </c>
      <c r="I40" s="330"/>
      <c r="J40" s="318"/>
    </row>
    <row r="41" spans="3:10">
      <c r="C41" s="315"/>
      <c r="D41" s="318"/>
      <c r="E41" s="209"/>
      <c r="F41" s="209"/>
      <c r="G41" s="209"/>
      <c r="H41" s="168"/>
      <c r="I41" s="168"/>
      <c r="J41" s="331"/>
    </row>
    <row r="42" spans="3:10">
      <c r="C42" s="315"/>
      <c r="D42" s="318"/>
      <c r="E42" s="325" t="s">
        <v>531</v>
      </c>
      <c r="F42" s="155" t="s">
        <v>521</v>
      </c>
      <c r="G42" s="158" t="s">
        <v>522</v>
      </c>
      <c r="H42" s="188">
        <v>4</v>
      </c>
      <c r="I42" s="328">
        <f>SUM(H42:H47)</f>
        <v>11</v>
      </c>
      <c r="J42" s="318"/>
    </row>
    <row r="43" spans="3:10">
      <c r="C43" s="315"/>
      <c r="D43" s="318"/>
      <c r="E43" s="326"/>
      <c r="F43" s="180" t="s">
        <v>287</v>
      </c>
      <c r="G43" s="183" t="s">
        <v>523</v>
      </c>
      <c r="H43" s="191">
        <v>3</v>
      </c>
      <c r="I43" s="329"/>
      <c r="J43" s="318"/>
    </row>
    <row r="44" spans="3:10">
      <c r="C44" s="315"/>
      <c r="D44" s="318"/>
      <c r="E44" s="326"/>
      <c r="F44" s="180" t="s">
        <v>287</v>
      </c>
      <c r="G44" s="158" t="s">
        <v>303</v>
      </c>
      <c r="H44" s="188">
        <v>1</v>
      </c>
      <c r="I44" s="329"/>
      <c r="J44" s="318"/>
    </row>
    <row r="45" spans="3:10">
      <c r="C45" s="315"/>
      <c r="D45" s="318"/>
      <c r="E45" s="326"/>
      <c r="F45" s="180" t="s">
        <v>274</v>
      </c>
      <c r="G45" s="158" t="s">
        <v>454</v>
      </c>
      <c r="H45" s="188">
        <v>1</v>
      </c>
      <c r="I45" s="329"/>
      <c r="J45" s="318"/>
    </row>
    <row r="46" spans="3:10">
      <c r="C46" s="315"/>
      <c r="D46" s="318"/>
      <c r="E46" s="326"/>
      <c r="F46" s="180" t="s">
        <v>274</v>
      </c>
      <c r="G46" s="158" t="s">
        <v>279</v>
      </c>
      <c r="H46" s="188">
        <v>1</v>
      </c>
      <c r="I46" s="329"/>
      <c r="J46" s="318"/>
    </row>
    <row r="47" spans="3:10">
      <c r="C47" s="315"/>
      <c r="D47" s="318"/>
      <c r="E47" s="327"/>
      <c r="F47" s="180" t="s">
        <v>518</v>
      </c>
      <c r="G47" s="158" t="s">
        <v>445</v>
      </c>
      <c r="H47" s="188">
        <v>1</v>
      </c>
      <c r="I47" s="330"/>
      <c r="J47" s="318"/>
    </row>
    <row r="48" spans="3:10">
      <c r="C48" s="315"/>
      <c r="D48" s="318"/>
      <c r="E48" s="209"/>
      <c r="F48" s="209"/>
      <c r="G48" s="209"/>
      <c r="H48" s="168"/>
      <c r="I48" s="168"/>
      <c r="J48" s="331"/>
    </row>
    <row r="49" spans="3:10">
      <c r="C49" s="315"/>
      <c r="D49" s="318"/>
      <c r="E49" s="194" t="s">
        <v>532</v>
      </c>
      <c r="F49" s="173" t="s">
        <v>287</v>
      </c>
      <c r="G49" s="156" t="s">
        <v>533</v>
      </c>
      <c r="H49" s="189">
        <v>3</v>
      </c>
      <c r="I49" s="202">
        <v>3</v>
      </c>
      <c r="J49" s="318"/>
    </row>
    <row r="50" spans="3:10">
      <c r="C50" s="315"/>
      <c r="D50" s="318"/>
      <c r="E50" s="209"/>
      <c r="F50" s="209"/>
      <c r="G50" s="209"/>
      <c r="H50" s="168"/>
      <c r="I50" s="168"/>
      <c r="J50" s="331"/>
    </row>
    <row r="51" spans="3:10">
      <c r="C51" s="315"/>
      <c r="D51" s="318"/>
      <c r="E51" s="325" t="s">
        <v>534</v>
      </c>
      <c r="F51" s="155" t="s">
        <v>535</v>
      </c>
      <c r="G51" s="158" t="s">
        <v>522</v>
      </c>
      <c r="H51" s="188">
        <v>21</v>
      </c>
      <c r="I51" s="328">
        <f>SUM(H51:H61)</f>
        <v>39</v>
      </c>
      <c r="J51" s="318"/>
    </row>
    <row r="52" spans="3:10">
      <c r="C52" s="315"/>
      <c r="D52" s="318"/>
      <c r="E52" s="326"/>
      <c r="F52" s="180" t="s">
        <v>287</v>
      </c>
      <c r="G52" s="158" t="s">
        <v>523</v>
      </c>
      <c r="H52" s="188">
        <v>4</v>
      </c>
      <c r="I52" s="329"/>
      <c r="J52" s="318"/>
    </row>
    <row r="53" spans="3:10">
      <c r="C53" s="315"/>
      <c r="D53" s="318"/>
      <c r="E53" s="326"/>
      <c r="F53" s="180" t="s">
        <v>524</v>
      </c>
      <c r="G53" s="158" t="s">
        <v>525</v>
      </c>
      <c r="H53" s="188">
        <v>2</v>
      </c>
      <c r="I53" s="329"/>
      <c r="J53" s="318"/>
    </row>
    <row r="54" spans="3:10">
      <c r="C54" s="315"/>
      <c r="D54" s="318"/>
      <c r="E54" s="326"/>
      <c r="F54" s="176" t="s">
        <v>284</v>
      </c>
      <c r="G54" s="156" t="s">
        <v>536</v>
      </c>
      <c r="H54" s="189">
        <v>2</v>
      </c>
      <c r="I54" s="329"/>
      <c r="J54" s="318"/>
    </row>
    <row r="55" spans="3:10">
      <c r="C55" s="315"/>
      <c r="D55" s="318"/>
      <c r="E55" s="326"/>
      <c r="F55" s="176" t="s">
        <v>284</v>
      </c>
      <c r="G55" s="158" t="s">
        <v>285</v>
      </c>
      <c r="H55" s="188">
        <v>1</v>
      </c>
      <c r="I55" s="329"/>
      <c r="J55" s="318"/>
    </row>
    <row r="56" spans="3:10">
      <c r="C56" s="315"/>
      <c r="D56" s="318"/>
      <c r="E56" s="326"/>
      <c r="F56" s="180" t="s">
        <v>537</v>
      </c>
      <c r="G56" s="158" t="s">
        <v>415</v>
      </c>
      <c r="H56" s="188">
        <v>1</v>
      </c>
      <c r="I56" s="329"/>
      <c r="J56" s="318"/>
    </row>
    <row r="57" spans="3:10">
      <c r="C57" s="315"/>
      <c r="D57" s="318"/>
      <c r="E57" s="326"/>
      <c r="F57" s="180" t="s">
        <v>281</v>
      </c>
      <c r="G57" s="158" t="s">
        <v>396</v>
      </c>
      <c r="H57" s="188">
        <v>1</v>
      </c>
      <c r="I57" s="329"/>
      <c r="J57" s="318"/>
    </row>
    <row r="58" spans="3:10">
      <c r="C58" s="315"/>
      <c r="D58" s="318"/>
      <c r="E58" s="326"/>
      <c r="F58" s="180" t="s">
        <v>274</v>
      </c>
      <c r="G58" s="158" t="s">
        <v>279</v>
      </c>
      <c r="H58" s="188">
        <v>1</v>
      </c>
      <c r="I58" s="329"/>
      <c r="J58" s="318"/>
    </row>
    <row r="59" spans="3:10">
      <c r="C59" s="315"/>
      <c r="D59" s="318"/>
      <c r="E59" s="326"/>
      <c r="F59" s="180" t="s">
        <v>287</v>
      </c>
      <c r="G59" s="156" t="s">
        <v>538</v>
      </c>
      <c r="H59" s="189">
        <v>4</v>
      </c>
      <c r="I59" s="329"/>
      <c r="J59" s="318"/>
    </row>
    <row r="60" spans="3:10">
      <c r="C60" s="315"/>
      <c r="D60" s="318"/>
      <c r="E60" s="326"/>
      <c r="F60" s="180" t="s">
        <v>287</v>
      </c>
      <c r="G60" s="156" t="s">
        <v>404</v>
      </c>
      <c r="H60" s="189">
        <v>1</v>
      </c>
      <c r="I60" s="329"/>
      <c r="J60" s="318"/>
    </row>
    <row r="61" spans="3:10">
      <c r="C61" s="315"/>
      <c r="D61" s="318"/>
      <c r="E61" s="327"/>
      <c r="F61" s="184" t="s">
        <v>539</v>
      </c>
      <c r="G61" s="159" t="s">
        <v>440</v>
      </c>
      <c r="H61" s="192">
        <v>1</v>
      </c>
      <c r="I61" s="329"/>
      <c r="J61" s="332"/>
    </row>
    <row r="62" spans="3:10">
      <c r="C62" s="316"/>
      <c r="D62" s="151" t="s">
        <v>540</v>
      </c>
      <c r="E62" s="195" t="s">
        <v>534</v>
      </c>
      <c r="F62" s="185" t="s">
        <v>539</v>
      </c>
      <c r="G62" s="186" t="s">
        <v>440</v>
      </c>
      <c r="H62" s="193">
        <v>1</v>
      </c>
      <c r="I62" s="202">
        <v>1</v>
      </c>
      <c r="J62" s="151">
        <v>1</v>
      </c>
    </row>
  </sheetData>
  <mergeCells count="16">
    <mergeCell ref="J13:J61"/>
    <mergeCell ref="E21:E25"/>
    <mergeCell ref="I21:I25"/>
    <mergeCell ref="E27:E33"/>
    <mergeCell ref="I27:I33"/>
    <mergeCell ref="E5:G5"/>
    <mergeCell ref="C13:C62"/>
    <mergeCell ref="D13:D61"/>
    <mergeCell ref="E13:E19"/>
    <mergeCell ref="I13:I19"/>
    <mergeCell ref="E37:E40"/>
    <mergeCell ref="I37:I40"/>
    <mergeCell ref="E42:E47"/>
    <mergeCell ref="I42:I47"/>
    <mergeCell ref="E51:E61"/>
    <mergeCell ref="I51:I6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A68D9-A7EC-4BC9-93F8-AE6365851455}">
  <dimension ref="B3:I52"/>
  <sheetViews>
    <sheetView showGridLines="0" topLeftCell="C4" workbookViewId="0">
      <selection activeCell="H52" sqref="H52"/>
    </sheetView>
  </sheetViews>
  <sheetFormatPr defaultRowHeight="15"/>
  <cols>
    <col min="2" max="2" width="15.7109375" customWidth="1"/>
    <col min="3" max="3" width="14.85546875" customWidth="1"/>
    <col min="4" max="4" width="19.7109375" customWidth="1"/>
    <col min="5" max="5" width="24.140625" customWidth="1"/>
    <col min="6" max="6" width="37" customWidth="1"/>
    <col min="7" max="7" width="28.140625" customWidth="1"/>
    <col min="8" max="8" width="38" customWidth="1"/>
    <col min="9" max="9" width="26.7109375" customWidth="1"/>
  </cols>
  <sheetData>
    <row r="3" spans="2:9">
      <c r="E3" s="311" t="s">
        <v>500</v>
      </c>
      <c r="F3" s="312"/>
      <c r="G3" s="313"/>
    </row>
    <row r="7" spans="2:9">
      <c r="B7" s="139" t="s">
        <v>501</v>
      </c>
      <c r="C7" s="140" t="s">
        <v>502</v>
      </c>
      <c r="D7" s="141" t="s">
        <v>503</v>
      </c>
      <c r="E7" s="142" t="s">
        <v>504</v>
      </c>
      <c r="F7" s="144" t="s">
        <v>505</v>
      </c>
      <c r="G7" s="144" t="s">
        <v>541</v>
      </c>
      <c r="H7" s="143" t="s">
        <v>542</v>
      </c>
      <c r="I7" s="143" t="s">
        <v>543</v>
      </c>
    </row>
    <row r="9" spans="2:9" ht="15" customHeight="1">
      <c r="B9" s="314" t="s">
        <v>544</v>
      </c>
      <c r="C9" s="317" t="s">
        <v>510</v>
      </c>
      <c r="D9" s="319" t="s">
        <v>511</v>
      </c>
      <c r="E9" s="178" t="s">
        <v>512</v>
      </c>
      <c r="F9" s="179" t="s">
        <v>545</v>
      </c>
      <c r="G9" s="187">
        <v>9</v>
      </c>
      <c r="H9" s="337">
        <f>SUM(G9:G14)</f>
        <v>19</v>
      </c>
      <c r="I9" s="333">
        <v>125</v>
      </c>
    </row>
    <row r="10" spans="2:9" ht="15" customHeight="1">
      <c r="B10" s="315"/>
      <c r="C10" s="318"/>
      <c r="D10" s="320"/>
      <c r="E10" s="180" t="s">
        <v>287</v>
      </c>
      <c r="F10" s="158" t="s">
        <v>546</v>
      </c>
      <c r="G10" s="188">
        <v>2</v>
      </c>
      <c r="H10" s="334"/>
      <c r="I10" s="331"/>
    </row>
    <row r="11" spans="2:9" ht="15" customHeight="1">
      <c r="B11" s="315"/>
      <c r="C11" s="318"/>
      <c r="D11" s="320"/>
      <c r="E11" s="180" t="s">
        <v>274</v>
      </c>
      <c r="F11" s="156" t="s">
        <v>547</v>
      </c>
      <c r="G11" s="189">
        <v>2</v>
      </c>
      <c r="H11" s="334"/>
      <c r="I11" s="331"/>
    </row>
    <row r="12" spans="2:9" ht="15" customHeight="1">
      <c r="B12" s="315"/>
      <c r="C12" s="318"/>
      <c r="D12" s="320"/>
      <c r="E12" s="176" t="s">
        <v>274</v>
      </c>
      <c r="F12" s="158" t="s">
        <v>548</v>
      </c>
      <c r="G12" s="188">
        <v>1</v>
      </c>
      <c r="H12" s="334"/>
      <c r="I12" s="331"/>
    </row>
    <row r="13" spans="2:9" ht="15" customHeight="1">
      <c r="B13" s="315"/>
      <c r="C13" s="318"/>
      <c r="D13" s="320"/>
      <c r="E13" s="180" t="s">
        <v>398</v>
      </c>
      <c r="F13" s="158" t="s">
        <v>549</v>
      </c>
      <c r="G13" s="188">
        <v>4</v>
      </c>
      <c r="H13" s="334"/>
      <c r="I13" s="331"/>
    </row>
    <row r="14" spans="2:9" ht="15" customHeight="1">
      <c r="B14" s="315"/>
      <c r="C14" s="318"/>
      <c r="D14" s="321"/>
      <c r="E14" s="180" t="s">
        <v>519</v>
      </c>
      <c r="F14" s="158" t="s">
        <v>463</v>
      </c>
      <c r="G14" s="188">
        <v>1</v>
      </c>
      <c r="H14" s="334"/>
      <c r="I14" s="331"/>
    </row>
    <row r="15" spans="2:9" ht="15" customHeight="1">
      <c r="B15" s="315"/>
      <c r="C15" s="318"/>
      <c r="D15" s="209"/>
      <c r="E15" s="209"/>
      <c r="F15" s="209"/>
      <c r="G15" s="168"/>
      <c r="H15" s="168"/>
      <c r="I15" s="331"/>
    </row>
    <row r="16" spans="2:9" ht="15" customHeight="1">
      <c r="B16" s="315"/>
      <c r="C16" s="318"/>
      <c r="D16" s="319" t="s">
        <v>520</v>
      </c>
      <c r="E16" s="180" t="s">
        <v>512</v>
      </c>
      <c r="F16" s="158" t="s">
        <v>550</v>
      </c>
      <c r="G16" s="188">
        <v>2</v>
      </c>
      <c r="H16" s="334">
        <f>SUM(G16:G20)</f>
        <v>8</v>
      </c>
      <c r="I16" s="331"/>
    </row>
    <row r="17" spans="2:9" ht="15" customHeight="1">
      <c r="B17" s="315"/>
      <c r="C17" s="318"/>
      <c r="D17" s="320"/>
      <c r="E17" s="180" t="s">
        <v>287</v>
      </c>
      <c r="F17" s="158" t="s">
        <v>551</v>
      </c>
      <c r="G17" s="188">
        <v>1</v>
      </c>
      <c r="H17" s="334"/>
      <c r="I17" s="331"/>
    </row>
    <row r="18" spans="2:9" ht="15" customHeight="1">
      <c r="B18" s="315"/>
      <c r="C18" s="318"/>
      <c r="D18" s="320"/>
      <c r="E18" s="177" t="s">
        <v>274</v>
      </c>
      <c r="F18" s="173" t="s">
        <v>480</v>
      </c>
      <c r="G18" s="188">
        <v>1</v>
      </c>
      <c r="H18" s="334"/>
      <c r="I18" s="331"/>
    </row>
    <row r="19" spans="2:9" ht="15" customHeight="1">
      <c r="B19" s="315"/>
      <c r="C19" s="318"/>
      <c r="D19" s="320"/>
      <c r="E19" s="181" t="s">
        <v>398</v>
      </c>
      <c r="F19" s="182" t="s">
        <v>528</v>
      </c>
      <c r="G19" s="190">
        <v>2</v>
      </c>
      <c r="H19" s="334"/>
      <c r="I19" s="331"/>
    </row>
    <row r="20" spans="2:9" ht="15" customHeight="1">
      <c r="B20" s="315"/>
      <c r="C20" s="318"/>
      <c r="D20" s="321"/>
      <c r="E20" s="180" t="s">
        <v>287</v>
      </c>
      <c r="F20" s="158" t="s">
        <v>552</v>
      </c>
      <c r="G20" s="188">
        <v>2</v>
      </c>
      <c r="H20" s="334"/>
      <c r="I20" s="331"/>
    </row>
    <row r="21" spans="2:9" ht="15" customHeight="1">
      <c r="B21" s="315"/>
      <c r="C21" s="318"/>
      <c r="D21" s="209"/>
      <c r="E21" s="209"/>
      <c r="F21" s="209"/>
      <c r="G21" s="168"/>
      <c r="H21" s="168"/>
      <c r="I21" s="331"/>
    </row>
    <row r="22" spans="2:9" ht="15" customHeight="1">
      <c r="B22" s="315"/>
      <c r="C22" s="318"/>
      <c r="D22" s="325" t="s">
        <v>526</v>
      </c>
      <c r="E22" s="155" t="s">
        <v>527</v>
      </c>
      <c r="F22" s="158" t="s">
        <v>553</v>
      </c>
      <c r="G22" s="188">
        <v>1</v>
      </c>
      <c r="H22" s="334">
        <f>SUM(G22:G27)</f>
        <v>10</v>
      </c>
      <c r="I22" s="331"/>
    </row>
    <row r="23" spans="2:9" ht="15" customHeight="1">
      <c r="B23" s="315"/>
      <c r="C23" s="318"/>
      <c r="D23" s="326"/>
      <c r="E23" s="155" t="s">
        <v>287</v>
      </c>
      <c r="F23" s="158" t="s">
        <v>554</v>
      </c>
      <c r="G23" s="188">
        <v>4</v>
      </c>
      <c r="H23" s="334"/>
      <c r="I23" s="331"/>
    </row>
    <row r="24" spans="2:9" ht="15" customHeight="1">
      <c r="B24" s="315"/>
      <c r="C24" s="318"/>
      <c r="D24" s="326"/>
      <c r="E24" s="155" t="s">
        <v>287</v>
      </c>
      <c r="F24" s="158" t="s">
        <v>546</v>
      </c>
      <c r="G24" s="188">
        <v>2</v>
      </c>
      <c r="H24" s="334"/>
      <c r="I24" s="331"/>
    </row>
    <row r="25" spans="2:9" ht="15" customHeight="1">
      <c r="B25" s="315"/>
      <c r="C25" s="318"/>
      <c r="D25" s="326"/>
      <c r="E25" s="180" t="s">
        <v>284</v>
      </c>
      <c r="F25" s="173" t="s">
        <v>421</v>
      </c>
      <c r="G25" s="188">
        <v>1</v>
      </c>
      <c r="H25" s="334"/>
      <c r="I25" s="331"/>
    </row>
    <row r="26" spans="2:9" ht="15" customHeight="1">
      <c r="B26" s="315"/>
      <c r="C26" s="318"/>
      <c r="D26" s="326"/>
      <c r="E26" s="180" t="s">
        <v>274</v>
      </c>
      <c r="F26" s="173" t="s">
        <v>451</v>
      </c>
      <c r="G26" s="188">
        <v>1</v>
      </c>
      <c r="H26" s="334"/>
      <c r="I26" s="331"/>
    </row>
    <row r="27" spans="2:9" ht="15" customHeight="1">
      <c r="B27" s="315"/>
      <c r="C27" s="318"/>
      <c r="D27" s="327"/>
      <c r="E27" s="176" t="s">
        <v>429</v>
      </c>
      <c r="F27" s="177" t="s">
        <v>430</v>
      </c>
      <c r="G27" s="189">
        <v>1</v>
      </c>
      <c r="H27" s="334"/>
      <c r="I27" s="331"/>
    </row>
    <row r="28" spans="2:9" ht="15" customHeight="1">
      <c r="B28" s="315"/>
      <c r="C28" s="318"/>
      <c r="D28" s="209"/>
      <c r="E28" s="209"/>
      <c r="F28" s="209"/>
      <c r="G28" s="168"/>
      <c r="H28" s="168"/>
      <c r="I28" s="331"/>
    </row>
    <row r="29" spans="2:9" ht="15" customHeight="1">
      <c r="B29" s="315"/>
      <c r="C29" s="318"/>
      <c r="D29" s="194" t="s">
        <v>529</v>
      </c>
      <c r="E29" s="173" t="s">
        <v>287</v>
      </c>
      <c r="F29" s="173" t="s">
        <v>513</v>
      </c>
      <c r="G29" s="188">
        <v>1</v>
      </c>
      <c r="H29" s="175">
        <v>1</v>
      </c>
      <c r="I29" s="331"/>
    </row>
    <row r="30" spans="2:9" ht="15" customHeight="1">
      <c r="B30" s="315"/>
      <c r="C30" s="318"/>
      <c r="D30" s="209"/>
      <c r="E30" s="209"/>
      <c r="F30" s="209"/>
      <c r="G30" s="168"/>
      <c r="H30" s="168"/>
      <c r="I30" s="331"/>
    </row>
    <row r="31" spans="2:9" ht="15" customHeight="1">
      <c r="B31" s="315"/>
      <c r="C31" s="318"/>
      <c r="D31" s="325" t="s">
        <v>530</v>
      </c>
      <c r="E31" s="180" t="s">
        <v>521</v>
      </c>
      <c r="F31" s="158" t="s">
        <v>555</v>
      </c>
      <c r="G31" s="197">
        <v>3</v>
      </c>
      <c r="H31" s="335">
        <f>SUM(G31:G35)</f>
        <v>9</v>
      </c>
      <c r="I31" s="331"/>
    </row>
    <row r="32" spans="2:9" ht="15" customHeight="1">
      <c r="B32" s="315"/>
      <c r="C32" s="318"/>
      <c r="D32" s="326"/>
      <c r="E32" s="176" t="s">
        <v>281</v>
      </c>
      <c r="F32" s="156" t="s">
        <v>556</v>
      </c>
      <c r="G32" s="198">
        <v>2</v>
      </c>
      <c r="H32" s="336"/>
      <c r="I32" s="331"/>
    </row>
    <row r="33" spans="2:9" ht="15" customHeight="1">
      <c r="B33" s="315"/>
      <c r="C33" s="318"/>
      <c r="D33" s="326"/>
      <c r="E33" s="180" t="s">
        <v>274</v>
      </c>
      <c r="F33" s="158" t="s">
        <v>557</v>
      </c>
      <c r="G33" s="197">
        <v>2</v>
      </c>
      <c r="H33" s="336"/>
      <c r="I33" s="331"/>
    </row>
    <row r="34" spans="2:9" ht="15" customHeight="1">
      <c r="B34" s="315"/>
      <c r="C34" s="318"/>
      <c r="D34" s="326"/>
      <c r="E34" s="180" t="s">
        <v>398</v>
      </c>
      <c r="F34" s="158" t="s">
        <v>425</v>
      </c>
      <c r="G34" s="197">
        <v>1</v>
      </c>
      <c r="H34" s="336"/>
      <c r="I34" s="331"/>
    </row>
    <row r="35" spans="2:9" ht="15" customHeight="1">
      <c r="B35" s="315"/>
      <c r="C35" s="318"/>
      <c r="D35" s="327"/>
      <c r="E35" s="180" t="s">
        <v>417</v>
      </c>
      <c r="F35" s="158" t="s">
        <v>418</v>
      </c>
      <c r="G35" s="197">
        <v>1</v>
      </c>
      <c r="H35" s="336"/>
      <c r="I35" s="331"/>
    </row>
    <row r="36" spans="2:9" ht="15" customHeight="1">
      <c r="B36" s="315"/>
      <c r="C36" s="318"/>
      <c r="D36" s="209"/>
      <c r="E36" s="209"/>
      <c r="F36" s="209"/>
      <c r="G36" s="168"/>
      <c r="H36" s="175"/>
      <c r="I36" s="331"/>
    </row>
    <row r="37" spans="2:9" ht="15" customHeight="1">
      <c r="B37" s="315"/>
      <c r="C37" s="318"/>
      <c r="D37" s="325" t="s">
        <v>531</v>
      </c>
      <c r="E37" s="155" t="s">
        <v>512</v>
      </c>
      <c r="F37" s="158" t="s">
        <v>553</v>
      </c>
      <c r="G37" s="188">
        <v>1</v>
      </c>
      <c r="H37" s="334">
        <f>SUM(G37:G41)</f>
        <v>6</v>
      </c>
      <c r="I37" s="331"/>
    </row>
    <row r="38" spans="2:9" ht="15" customHeight="1">
      <c r="B38" s="315"/>
      <c r="C38" s="318"/>
      <c r="D38" s="326"/>
      <c r="E38" s="180" t="s">
        <v>287</v>
      </c>
      <c r="F38" s="158" t="s">
        <v>303</v>
      </c>
      <c r="G38" s="188">
        <v>1</v>
      </c>
      <c r="H38" s="334"/>
      <c r="I38" s="331"/>
    </row>
    <row r="39" spans="2:9" ht="15" customHeight="1">
      <c r="B39" s="315"/>
      <c r="C39" s="318"/>
      <c r="D39" s="326"/>
      <c r="E39" s="180" t="s">
        <v>274</v>
      </c>
      <c r="F39" s="158" t="s">
        <v>454</v>
      </c>
      <c r="G39" s="188">
        <v>1</v>
      </c>
      <c r="H39" s="334"/>
      <c r="I39" s="331"/>
    </row>
    <row r="40" spans="2:9" ht="15" customHeight="1">
      <c r="B40" s="315"/>
      <c r="C40" s="318"/>
      <c r="D40" s="326"/>
      <c r="E40" s="180" t="s">
        <v>274</v>
      </c>
      <c r="F40" s="158" t="s">
        <v>557</v>
      </c>
      <c r="G40" s="188">
        <v>2</v>
      </c>
      <c r="H40" s="334"/>
      <c r="I40" s="331"/>
    </row>
    <row r="41" spans="2:9" ht="15" customHeight="1">
      <c r="B41" s="315"/>
      <c r="C41" s="318"/>
      <c r="D41" s="327"/>
      <c r="E41" s="180" t="s">
        <v>518</v>
      </c>
      <c r="F41" s="158" t="s">
        <v>445</v>
      </c>
      <c r="G41" s="188">
        <v>1</v>
      </c>
      <c r="H41" s="334"/>
      <c r="I41" s="331"/>
    </row>
    <row r="42" spans="2:9" ht="15" customHeight="1">
      <c r="B42" s="315"/>
      <c r="C42" s="318"/>
      <c r="D42" s="209"/>
      <c r="E42" s="209"/>
      <c r="F42" s="209"/>
      <c r="G42" s="168"/>
      <c r="H42" s="175"/>
      <c r="I42" s="331"/>
    </row>
    <row r="43" spans="2:9" ht="15" customHeight="1">
      <c r="B43" s="315"/>
      <c r="C43" s="318"/>
      <c r="D43" s="194" t="s">
        <v>532</v>
      </c>
      <c r="E43" s="173" t="s">
        <v>287</v>
      </c>
      <c r="F43" s="156" t="s">
        <v>558</v>
      </c>
      <c r="G43" s="198">
        <v>3</v>
      </c>
      <c r="H43" s="199">
        <v>3</v>
      </c>
      <c r="I43" s="331"/>
    </row>
    <row r="44" spans="2:9" ht="15" customHeight="1">
      <c r="B44" s="315"/>
      <c r="C44" s="318"/>
      <c r="D44" s="209"/>
      <c r="E44" s="209"/>
      <c r="F44" s="209"/>
      <c r="G44" s="168"/>
      <c r="H44" s="168"/>
      <c r="I44" s="331"/>
    </row>
    <row r="45" spans="2:9" ht="15" customHeight="1">
      <c r="B45" s="315"/>
      <c r="C45" s="338"/>
      <c r="D45" s="339" t="s">
        <v>534</v>
      </c>
      <c r="E45" s="155" t="s">
        <v>559</v>
      </c>
      <c r="F45" s="158" t="s">
        <v>560</v>
      </c>
      <c r="G45" s="197">
        <v>12</v>
      </c>
      <c r="H45" s="342">
        <f>SUM(G45:G51)</f>
        <v>21</v>
      </c>
      <c r="I45" s="331"/>
    </row>
    <row r="46" spans="2:9" ht="15" customHeight="1">
      <c r="B46" s="315"/>
      <c r="C46" s="338"/>
      <c r="D46" s="340"/>
      <c r="E46" s="180" t="s">
        <v>287</v>
      </c>
      <c r="F46" s="158" t="s">
        <v>551</v>
      </c>
      <c r="G46" s="197">
        <v>1</v>
      </c>
      <c r="H46" s="342"/>
      <c r="I46" s="331"/>
    </row>
    <row r="47" spans="2:9" ht="15" customHeight="1">
      <c r="B47" s="315"/>
      <c r="C47" s="338"/>
      <c r="D47" s="340"/>
      <c r="E47" s="180" t="s">
        <v>287</v>
      </c>
      <c r="F47" s="158" t="s">
        <v>561</v>
      </c>
      <c r="G47" s="197">
        <v>3</v>
      </c>
      <c r="H47" s="342"/>
      <c r="I47" s="331"/>
    </row>
    <row r="48" spans="2:9" ht="15" customHeight="1">
      <c r="B48" s="315"/>
      <c r="C48" s="338"/>
      <c r="D48" s="340"/>
      <c r="E48" s="176" t="s">
        <v>274</v>
      </c>
      <c r="F48" s="156" t="s">
        <v>562</v>
      </c>
      <c r="G48" s="198">
        <v>2</v>
      </c>
      <c r="H48" s="342"/>
      <c r="I48" s="331"/>
    </row>
    <row r="49" spans="2:9" ht="15" customHeight="1">
      <c r="B49" s="315"/>
      <c r="C49" s="338"/>
      <c r="D49" s="340"/>
      <c r="E49" s="176" t="s">
        <v>398</v>
      </c>
      <c r="F49" s="156" t="s">
        <v>425</v>
      </c>
      <c r="G49" s="198">
        <v>1</v>
      </c>
      <c r="H49" s="342"/>
      <c r="I49" s="331"/>
    </row>
    <row r="50" spans="2:9" ht="15" customHeight="1">
      <c r="B50" s="315"/>
      <c r="C50" s="338"/>
      <c r="D50" s="340"/>
      <c r="E50" s="176" t="s">
        <v>287</v>
      </c>
      <c r="F50" s="156" t="s">
        <v>388</v>
      </c>
      <c r="G50" s="198">
        <v>1</v>
      </c>
      <c r="H50" s="342"/>
      <c r="I50" s="331"/>
    </row>
    <row r="51" spans="2:9" ht="15" customHeight="1">
      <c r="B51" s="315"/>
      <c r="C51" s="338"/>
      <c r="D51" s="341"/>
      <c r="E51" s="196" t="s">
        <v>287</v>
      </c>
      <c r="F51" s="159" t="s">
        <v>440</v>
      </c>
      <c r="G51" s="200">
        <v>1</v>
      </c>
      <c r="H51" s="335"/>
      <c r="I51" s="331"/>
    </row>
    <row r="52" spans="2:9">
      <c r="B52" s="316"/>
      <c r="C52" s="332"/>
      <c r="D52" s="256" t="s">
        <v>540</v>
      </c>
      <c r="E52" s="171" t="s">
        <v>563</v>
      </c>
      <c r="F52" s="163" t="s">
        <v>495</v>
      </c>
      <c r="G52" s="201">
        <v>1</v>
      </c>
      <c r="H52" s="202">
        <v>1</v>
      </c>
      <c r="I52" s="332"/>
    </row>
  </sheetData>
  <autoFilter ref="B7:H7" xr:uid="{852A68D9-A7EC-4BC9-93F8-AE6365851455}"/>
  <mergeCells count="16">
    <mergeCell ref="E3:G3"/>
    <mergeCell ref="D9:D14"/>
    <mergeCell ref="H9:H14"/>
    <mergeCell ref="C9:C52"/>
    <mergeCell ref="B9:B52"/>
    <mergeCell ref="D37:D41"/>
    <mergeCell ref="H37:H41"/>
    <mergeCell ref="D45:D51"/>
    <mergeCell ref="H45:H51"/>
    <mergeCell ref="I9:I52"/>
    <mergeCell ref="D16:D20"/>
    <mergeCell ref="H16:H20"/>
    <mergeCell ref="D22:D27"/>
    <mergeCell ref="H22:H27"/>
    <mergeCell ref="D31:D35"/>
    <mergeCell ref="H31:H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ADB53-954B-4AC4-B007-CFA8D0A489E0}">
  <dimension ref="B3:I52"/>
  <sheetViews>
    <sheetView showGridLines="0" topLeftCell="A36" workbookViewId="0">
      <selection activeCell="H53" sqref="H53"/>
    </sheetView>
  </sheetViews>
  <sheetFormatPr defaultRowHeight="15"/>
  <cols>
    <col min="2" max="2" width="14.42578125" customWidth="1"/>
    <col min="3" max="3" width="16.7109375" customWidth="1"/>
    <col min="4" max="4" width="20" customWidth="1"/>
    <col min="5" max="5" width="20.28515625" customWidth="1"/>
    <col min="6" max="6" width="36.42578125" customWidth="1"/>
    <col min="7" max="7" width="29.42578125" customWidth="1"/>
    <col min="8" max="8" width="39.7109375" customWidth="1"/>
    <col min="9" max="9" width="24.7109375" customWidth="1"/>
  </cols>
  <sheetData>
    <row r="3" spans="2:9">
      <c r="E3" s="311" t="s">
        <v>500</v>
      </c>
      <c r="F3" s="312"/>
      <c r="G3" s="313"/>
    </row>
    <row r="7" spans="2:9">
      <c r="B7" s="145" t="s">
        <v>501</v>
      </c>
      <c r="C7" s="146" t="s">
        <v>502</v>
      </c>
      <c r="D7" s="147" t="s">
        <v>503</v>
      </c>
      <c r="E7" s="148" t="s">
        <v>504</v>
      </c>
      <c r="F7" s="149" t="s">
        <v>505</v>
      </c>
      <c r="G7" s="149" t="s">
        <v>541</v>
      </c>
      <c r="H7" s="150" t="s">
        <v>542</v>
      </c>
      <c r="I7" s="150" t="s">
        <v>543</v>
      </c>
    </row>
    <row r="9" spans="2:9" ht="15" customHeight="1">
      <c r="B9" s="314" t="s">
        <v>564</v>
      </c>
      <c r="C9" s="317" t="s">
        <v>510</v>
      </c>
      <c r="D9" s="325" t="s">
        <v>511</v>
      </c>
      <c r="E9" s="155" t="s">
        <v>527</v>
      </c>
      <c r="F9" s="179" t="s">
        <v>565</v>
      </c>
      <c r="G9" s="197">
        <v>5</v>
      </c>
      <c r="H9" s="342">
        <f>SUM(G9:G17)</f>
        <v>19</v>
      </c>
      <c r="I9" s="343">
        <v>133</v>
      </c>
    </row>
    <row r="10" spans="2:9" ht="15" customHeight="1">
      <c r="B10" s="315"/>
      <c r="C10" s="318"/>
      <c r="D10" s="326"/>
      <c r="E10" s="180" t="s">
        <v>287</v>
      </c>
      <c r="F10" s="158" t="s">
        <v>561</v>
      </c>
      <c r="G10" s="191">
        <v>3</v>
      </c>
      <c r="H10" s="334"/>
      <c r="I10" s="343"/>
    </row>
    <row r="11" spans="2:9" ht="15" customHeight="1">
      <c r="B11" s="315"/>
      <c r="C11" s="318"/>
      <c r="D11" s="326"/>
      <c r="E11" s="180" t="s">
        <v>524</v>
      </c>
      <c r="F11" s="156" t="s">
        <v>566</v>
      </c>
      <c r="G11" s="189">
        <v>1</v>
      </c>
      <c r="H11" s="334"/>
      <c r="I11" s="343"/>
    </row>
    <row r="12" spans="2:9" ht="15" customHeight="1">
      <c r="B12" s="315"/>
      <c r="C12" s="318"/>
      <c r="D12" s="326"/>
      <c r="E12" s="176" t="s">
        <v>274</v>
      </c>
      <c r="F12" s="158" t="s">
        <v>548</v>
      </c>
      <c r="G12" s="188">
        <v>1</v>
      </c>
      <c r="H12" s="334"/>
      <c r="I12" s="343"/>
    </row>
    <row r="13" spans="2:9" ht="15" customHeight="1">
      <c r="B13" s="315"/>
      <c r="C13" s="318"/>
      <c r="D13" s="326"/>
      <c r="E13" s="176" t="s">
        <v>274</v>
      </c>
      <c r="F13" s="158" t="s">
        <v>567</v>
      </c>
      <c r="G13" s="188">
        <v>1</v>
      </c>
      <c r="H13" s="334"/>
      <c r="I13" s="343"/>
    </row>
    <row r="14" spans="2:9" ht="15" customHeight="1">
      <c r="B14" s="315"/>
      <c r="C14" s="318"/>
      <c r="D14" s="326"/>
      <c r="E14" s="180" t="s">
        <v>568</v>
      </c>
      <c r="F14" s="158" t="s">
        <v>463</v>
      </c>
      <c r="G14" s="188">
        <v>1</v>
      </c>
      <c r="H14" s="334"/>
      <c r="I14" s="343"/>
    </row>
    <row r="15" spans="2:9" ht="15" customHeight="1">
      <c r="B15" s="315"/>
      <c r="C15" s="318"/>
      <c r="D15" s="326"/>
      <c r="E15" s="180" t="s">
        <v>287</v>
      </c>
      <c r="F15" s="158" t="s">
        <v>569</v>
      </c>
      <c r="G15" s="188">
        <v>3</v>
      </c>
      <c r="H15" s="334"/>
      <c r="I15" s="343"/>
    </row>
    <row r="16" spans="2:9" ht="15" customHeight="1">
      <c r="B16" s="315"/>
      <c r="C16" s="318"/>
      <c r="D16" s="326"/>
      <c r="E16" s="180" t="s">
        <v>398</v>
      </c>
      <c r="F16" s="158" t="s">
        <v>570</v>
      </c>
      <c r="G16" s="188">
        <v>3</v>
      </c>
      <c r="H16" s="334"/>
      <c r="I16" s="343"/>
    </row>
    <row r="17" spans="2:9" ht="15" customHeight="1">
      <c r="B17" s="315"/>
      <c r="C17" s="318"/>
      <c r="D17" s="327"/>
      <c r="E17" s="180" t="s">
        <v>287</v>
      </c>
      <c r="F17" s="156" t="s">
        <v>388</v>
      </c>
      <c r="G17" s="189">
        <v>1</v>
      </c>
      <c r="H17" s="334"/>
      <c r="I17" s="343"/>
    </row>
    <row r="18" spans="2:9" ht="15" customHeight="1">
      <c r="B18" s="315"/>
      <c r="C18" s="318"/>
      <c r="D18" s="209"/>
      <c r="E18" s="209"/>
      <c r="F18" s="209"/>
      <c r="G18" s="168"/>
      <c r="H18" s="168"/>
      <c r="I18" s="343"/>
    </row>
    <row r="19" spans="2:9" ht="15" customHeight="1">
      <c r="B19" s="315"/>
      <c r="C19" s="318"/>
      <c r="D19" s="319" t="s">
        <v>520</v>
      </c>
      <c r="E19" s="180" t="s">
        <v>512</v>
      </c>
      <c r="F19" s="158" t="s">
        <v>553</v>
      </c>
      <c r="G19" s="188">
        <v>1</v>
      </c>
      <c r="H19" s="334">
        <f>SUM(G19:G23)</f>
        <v>9</v>
      </c>
      <c r="I19" s="343"/>
    </row>
    <row r="20" spans="2:9" ht="15" customHeight="1">
      <c r="B20" s="315"/>
      <c r="C20" s="318"/>
      <c r="D20" s="320"/>
      <c r="E20" s="180" t="s">
        <v>287</v>
      </c>
      <c r="F20" s="158" t="s">
        <v>571</v>
      </c>
      <c r="G20" s="188">
        <v>5</v>
      </c>
      <c r="H20" s="334"/>
      <c r="I20" s="343"/>
    </row>
    <row r="21" spans="2:9" ht="15" customHeight="1">
      <c r="B21" s="315"/>
      <c r="C21" s="318"/>
      <c r="D21" s="320"/>
      <c r="E21" s="173" t="s">
        <v>287</v>
      </c>
      <c r="F21" s="173" t="s">
        <v>303</v>
      </c>
      <c r="G21" s="188">
        <v>1</v>
      </c>
      <c r="H21" s="334"/>
      <c r="I21" s="343"/>
    </row>
    <row r="22" spans="2:9" ht="15" customHeight="1">
      <c r="B22" s="315"/>
      <c r="C22" s="318"/>
      <c r="D22" s="320"/>
      <c r="E22" s="173" t="s">
        <v>274</v>
      </c>
      <c r="F22" s="177" t="s">
        <v>335</v>
      </c>
      <c r="G22" s="189">
        <v>1</v>
      </c>
      <c r="H22" s="334"/>
      <c r="I22" s="343"/>
    </row>
    <row r="23" spans="2:9" ht="15" customHeight="1">
      <c r="B23" s="315"/>
      <c r="C23" s="318"/>
      <c r="D23" s="321"/>
      <c r="E23" s="173" t="s">
        <v>398</v>
      </c>
      <c r="F23" s="173" t="s">
        <v>425</v>
      </c>
      <c r="G23" s="188">
        <v>1</v>
      </c>
      <c r="H23" s="334"/>
      <c r="I23" s="343"/>
    </row>
    <row r="24" spans="2:9" ht="15" customHeight="1">
      <c r="B24" s="315"/>
      <c r="C24" s="318"/>
      <c r="D24" s="209"/>
      <c r="E24" s="209"/>
      <c r="F24" s="209"/>
      <c r="G24" s="168"/>
      <c r="H24" s="168"/>
      <c r="I24" s="343"/>
    </row>
    <row r="25" spans="2:9" ht="15" customHeight="1">
      <c r="B25" s="315"/>
      <c r="C25" s="318"/>
      <c r="D25" s="319" t="s">
        <v>526</v>
      </c>
      <c r="E25" s="155" t="s">
        <v>512</v>
      </c>
      <c r="F25" s="158" t="s">
        <v>550</v>
      </c>
      <c r="G25" s="188">
        <v>2</v>
      </c>
      <c r="H25" s="334">
        <f>SUM(G25:G29)</f>
        <v>7</v>
      </c>
      <c r="I25" s="343"/>
    </row>
    <row r="26" spans="2:9" ht="15" customHeight="1">
      <c r="B26" s="315"/>
      <c r="C26" s="318"/>
      <c r="D26" s="320"/>
      <c r="E26" s="155" t="s">
        <v>287</v>
      </c>
      <c r="F26" s="158" t="s">
        <v>551</v>
      </c>
      <c r="G26" s="188">
        <v>1</v>
      </c>
      <c r="H26" s="334"/>
      <c r="I26" s="343"/>
    </row>
    <row r="27" spans="2:9" ht="15" customHeight="1">
      <c r="B27" s="315"/>
      <c r="C27" s="318"/>
      <c r="D27" s="320"/>
      <c r="E27" s="155" t="s">
        <v>287</v>
      </c>
      <c r="F27" s="158" t="s">
        <v>546</v>
      </c>
      <c r="G27" s="188">
        <v>2</v>
      </c>
      <c r="H27" s="334"/>
      <c r="I27" s="343"/>
    </row>
    <row r="28" spans="2:9" ht="15" customHeight="1">
      <c r="B28" s="315"/>
      <c r="C28" s="318"/>
      <c r="D28" s="320"/>
      <c r="E28" s="180" t="s">
        <v>274</v>
      </c>
      <c r="F28" s="173" t="s">
        <v>406</v>
      </c>
      <c r="G28" s="188">
        <v>1</v>
      </c>
      <c r="H28" s="334"/>
      <c r="I28" s="343"/>
    </row>
    <row r="29" spans="2:9" ht="15" customHeight="1">
      <c r="B29" s="315"/>
      <c r="C29" s="318"/>
      <c r="D29" s="321"/>
      <c r="E29" s="180" t="s">
        <v>398</v>
      </c>
      <c r="F29" s="173" t="s">
        <v>425</v>
      </c>
      <c r="G29" s="188">
        <v>1</v>
      </c>
      <c r="H29" s="334"/>
      <c r="I29" s="343"/>
    </row>
    <row r="30" spans="2:9" ht="15" customHeight="1">
      <c r="B30" s="315"/>
      <c r="C30" s="318"/>
      <c r="D30" s="209"/>
      <c r="E30" s="209"/>
      <c r="F30" s="209"/>
      <c r="G30" s="168"/>
      <c r="H30" s="168"/>
      <c r="I30" s="343"/>
    </row>
    <row r="31" spans="2:9" ht="15" customHeight="1">
      <c r="B31" s="315"/>
      <c r="C31" s="318"/>
      <c r="D31" s="325" t="s">
        <v>530</v>
      </c>
      <c r="E31" s="180" t="s">
        <v>572</v>
      </c>
      <c r="F31" s="158" t="s">
        <v>573</v>
      </c>
      <c r="G31" s="188">
        <v>10</v>
      </c>
      <c r="H31" s="334">
        <f>SUM(G31:G36)</f>
        <v>18</v>
      </c>
      <c r="I31" s="343"/>
    </row>
    <row r="32" spans="2:9" ht="15" customHeight="1">
      <c r="B32" s="315"/>
      <c r="C32" s="318"/>
      <c r="D32" s="326"/>
      <c r="E32" s="180" t="s">
        <v>274</v>
      </c>
      <c r="F32" s="158" t="s">
        <v>413</v>
      </c>
      <c r="G32" s="188">
        <v>1</v>
      </c>
      <c r="H32" s="334"/>
      <c r="I32" s="343"/>
    </row>
    <row r="33" spans="2:9" ht="15" customHeight="1">
      <c r="B33" s="315"/>
      <c r="C33" s="318"/>
      <c r="D33" s="326"/>
      <c r="E33" s="180" t="s">
        <v>274</v>
      </c>
      <c r="F33" s="158" t="s">
        <v>279</v>
      </c>
      <c r="G33" s="188">
        <v>1</v>
      </c>
      <c r="H33" s="334"/>
      <c r="I33" s="343"/>
    </row>
    <row r="34" spans="2:9" ht="15" customHeight="1">
      <c r="B34" s="315"/>
      <c r="C34" s="318"/>
      <c r="D34" s="326"/>
      <c r="E34" s="180" t="s">
        <v>518</v>
      </c>
      <c r="F34" s="158" t="s">
        <v>574</v>
      </c>
      <c r="G34" s="188">
        <v>4</v>
      </c>
      <c r="H34" s="334"/>
      <c r="I34" s="343"/>
    </row>
    <row r="35" spans="2:9" ht="15" customHeight="1">
      <c r="B35" s="315"/>
      <c r="C35" s="318"/>
      <c r="D35" s="326"/>
      <c r="E35" s="180" t="s">
        <v>287</v>
      </c>
      <c r="F35" s="203" t="s">
        <v>388</v>
      </c>
      <c r="G35" s="205">
        <v>1</v>
      </c>
      <c r="H35" s="334"/>
      <c r="I35" s="343"/>
    </row>
    <row r="36" spans="2:9" ht="15" customHeight="1">
      <c r="B36" s="315"/>
      <c r="C36" s="318"/>
      <c r="D36" s="327"/>
      <c r="E36" s="155" t="s">
        <v>287</v>
      </c>
      <c r="F36" s="177" t="s">
        <v>440</v>
      </c>
      <c r="G36" s="206">
        <v>1</v>
      </c>
      <c r="H36" s="342"/>
      <c r="I36" s="343"/>
    </row>
    <row r="37" spans="2:9" ht="15" customHeight="1">
      <c r="B37" s="315"/>
      <c r="C37" s="318"/>
      <c r="D37" s="209"/>
      <c r="E37" s="209"/>
      <c r="F37" s="209"/>
      <c r="G37" s="168"/>
      <c r="H37" s="168"/>
      <c r="I37" s="343"/>
    </row>
    <row r="38" spans="2:9" ht="15" customHeight="1">
      <c r="B38" s="315"/>
      <c r="C38" s="318"/>
      <c r="D38" s="325" t="s">
        <v>531</v>
      </c>
      <c r="E38" s="155" t="s">
        <v>512</v>
      </c>
      <c r="F38" s="173" t="s">
        <v>553</v>
      </c>
      <c r="G38" s="207">
        <v>1</v>
      </c>
      <c r="H38" s="342">
        <f>SUM(G38:G42)</f>
        <v>6</v>
      </c>
      <c r="I38" s="343"/>
    </row>
    <row r="39" spans="2:9" ht="15" customHeight="1">
      <c r="B39" s="315"/>
      <c r="C39" s="318"/>
      <c r="D39" s="326"/>
      <c r="E39" s="180" t="s">
        <v>287</v>
      </c>
      <c r="F39" s="183" t="s">
        <v>303</v>
      </c>
      <c r="G39" s="191">
        <v>1</v>
      </c>
      <c r="H39" s="334"/>
      <c r="I39" s="343"/>
    </row>
    <row r="40" spans="2:9" ht="15" customHeight="1">
      <c r="B40" s="315"/>
      <c r="C40" s="318"/>
      <c r="D40" s="326"/>
      <c r="E40" s="180" t="s">
        <v>274</v>
      </c>
      <c r="F40" s="158" t="s">
        <v>454</v>
      </c>
      <c r="G40" s="188">
        <v>1</v>
      </c>
      <c r="H40" s="334"/>
      <c r="I40" s="343"/>
    </row>
    <row r="41" spans="2:9" ht="15" customHeight="1">
      <c r="B41" s="315"/>
      <c r="C41" s="318"/>
      <c r="D41" s="326"/>
      <c r="E41" s="180" t="s">
        <v>274</v>
      </c>
      <c r="F41" s="158" t="s">
        <v>557</v>
      </c>
      <c r="G41" s="188">
        <v>2</v>
      </c>
      <c r="H41" s="334"/>
      <c r="I41" s="343"/>
    </row>
    <row r="42" spans="2:9" ht="15" customHeight="1">
      <c r="B42" s="315"/>
      <c r="C42" s="318"/>
      <c r="D42" s="327"/>
      <c r="E42" s="180" t="s">
        <v>518</v>
      </c>
      <c r="F42" s="158" t="s">
        <v>445</v>
      </c>
      <c r="G42" s="188">
        <v>1</v>
      </c>
      <c r="H42" s="334"/>
      <c r="I42" s="343"/>
    </row>
    <row r="43" spans="2:9" ht="15" customHeight="1">
      <c r="B43" s="315"/>
      <c r="C43" s="318"/>
      <c r="D43" s="209"/>
      <c r="E43" s="209"/>
      <c r="F43" s="209"/>
      <c r="G43" s="168"/>
      <c r="H43" s="208"/>
      <c r="I43" s="343"/>
    </row>
    <row r="44" spans="2:9" ht="15" customHeight="1">
      <c r="B44" s="315"/>
      <c r="C44" s="318"/>
      <c r="D44" s="194" t="s">
        <v>532</v>
      </c>
      <c r="E44" s="173" t="s">
        <v>287</v>
      </c>
      <c r="F44" s="156" t="s">
        <v>558</v>
      </c>
      <c r="G44" s="198">
        <v>3</v>
      </c>
      <c r="H44" s="199">
        <v>3</v>
      </c>
      <c r="I44" s="343"/>
    </row>
    <row r="45" spans="2:9" ht="15" customHeight="1">
      <c r="B45" s="315"/>
      <c r="C45" s="318"/>
      <c r="D45" s="209"/>
      <c r="E45" s="209"/>
      <c r="F45" s="209"/>
      <c r="G45" s="168"/>
      <c r="H45" s="168"/>
      <c r="I45" s="343"/>
    </row>
    <row r="46" spans="2:9" ht="15" customHeight="1">
      <c r="B46" s="315"/>
      <c r="C46" s="318"/>
      <c r="D46" s="325" t="s">
        <v>534</v>
      </c>
      <c r="E46" s="155" t="s">
        <v>559</v>
      </c>
      <c r="F46" s="158" t="s">
        <v>560</v>
      </c>
      <c r="G46" s="188">
        <v>12</v>
      </c>
      <c r="H46" s="334">
        <f>SUM(G46:G52)</f>
        <v>21</v>
      </c>
      <c r="I46" s="343"/>
    </row>
    <row r="47" spans="2:9" ht="15" customHeight="1">
      <c r="B47" s="315"/>
      <c r="C47" s="318"/>
      <c r="D47" s="326"/>
      <c r="E47" s="180" t="s">
        <v>287</v>
      </c>
      <c r="F47" s="158" t="s">
        <v>551</v>
      </c>
      <c r="G47" s="188">
        <v>1</v>
      </c>
      <c r="H47" s="334"/>
      <c r="I47" s="343"/>
    </row>
    <row r="48" spans="2:9" ht="15" customHeight="1">
      <c r="B48" s="315"/>
      <c r="C48" s="318"/>
      <c r="D48" s="326"/>
      <c r="E48" s="180" t="s">
        <v>287</v>
      </c>
      <c r="F48" s="158" t="s">
        <v>561</v>
      </c>
      <c r="G48" s="188">
        <v>3</v>
      </c>
      <c r="H48" s="334"/>
      <c r="I48" s="343"/>
    </row>
    <row r="49" spans="2:9" ht="15" customHeight="1">
      <c r="B49" s="315"/>
      <c r="C49" s="318"/>
      <c r="D49" s="326"/>
      <c r="E49" s="176" t="s">
        <v>274</v>
      </c>
      <c r="F49" s="156" t="s">
        <v>562</v>
      </c>
      <c r="G49" s="189">
        <v>2</v>
      </c>
      <c r="H49" s="334"/>
      <c r="I49" s="343"/>
    </row>
    <row r="50" spans="2:9">
      <c r="B50" s="315"/>
      <c r="C50" s="318"/>
      <c r="D50" s="326"/>
      <c r="E50" s="176" t="s">
        <v>398</v>
      </c>
      <c r="F50" s="156" t="s">
        <v>425</v>
      </c>
      <c r="G50" s="189">
        <v>1</v>
      </c>
      <c r="H50" s="334"/>
      <c r="I50" s="343"/>
    </row>
    <row r="51" spans="2:9">
      <c r="B51" s="315"/>
      <c r="C51" s="318"/>
      <c r="D51" s="326"/>
      <c r="E51" s="176" t="s">
        <v>287</v>
      </c>
      <c r="F51" s="156" t="s">
        <v>388</v>
      </c>
      <c r="G51" s="205">
        <v>1</v>
      </c>
      <c r="H51" s="334"/>
      <c r="I51" s="343"/>
    </row>
    <row r="52" spans="2:9">
      <c r="B52" s="316"/>
      <c r="C52" s="332"/>
      <c r="D52" s="327"/>
      <c r="E52" s="204" t="s">
        <v>287</v>
      </c>
      <c r="F52" s="159" t="s">
        <v>440</v>
      </c>
      <c r="G52" s="189">
        <v>1</v>
      </c>
      <c r="H52" s="334"/>
      <c r="I52" s="343"/>
    </row>
  </sheetData>
  <autoFilter ref="B7:H7" xr:uid="{F6EADB53-954B-4AC4-B007-CFA8D0A489E0}"/>
  <mergeCells count="16">
    <mergeCell ref="E3:G3"/>
    <mergeCell ref="D38:D42"/>
    <mergeCell ref="H38:H42"/>
    <mergeCell ref="D46:D52"/>
    <mergeCell ref="H46:H52"/>
    <mergeCell ref="D19:D23"/>
    <mergeCell ref="H19:H23"/>
    <mergeCell ref="D25:D29"/>
    <mergeCell ref="H25:H29"/>
    <mergeCell ref="I9:I52"/>
    <mergeCell ref="C9:C52"/>
    <mergeCell ref="B9:B52"/>
    <mergeCell ref="D9:D17"/>
    <mergeCell ref="H9:H17"/>
    <mergeCell ref="H31:H36"/>
    <mergeCell ref="D31:D3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C5A53-ED2C-40FC-AD3B-870C215674E4}">
  <dimension ref="C4:J57"/>
  <sheetViews>
    <sheetView topLeftCell="A40" workbookViewId="0">
      <selection activeCell="I58" sqref="I58"/>
    </sheetView>
  </sheetViews>
  <sheetFormatPr defaultRowHeight="15"/>
  <cols>
    <col min="2" max="2" width="0" hidden="1" customWidth="1"/>
    <col min="3" max="3" width="14.85546875" customWidth="1"/>
    <col min="4" max="4" width="24" customWidth="1"/>
    <col min="5" max="5" width="20.5703125" style="152" customWidth="1"/>
    <col min="6" max="6" width="22.140625" style="152" customWidth="1"/>
    <col min="7" max="7" width="36.42578125" style="152" customWidth="1"/>
    <col min="8" max="8" width="24" style="164" customWidth="1"/>
    <col min="9" max="9" width="25.7109375" style="164" customWidth="1"/>
    <col min="10" max="10" width="23" customWidth="1"/>
  </cols>
  <sheetData>
    <row r="4" spans="3:10">
      <c r="F4" s="311" t="s">
        <v>500</v>
      </c>
      <c r="G4" s="312"/>
      <c r="H4" s="313"/>
    </row>
    <row r="8" spans="3:10" s="172" customFormat="1">
      <c r="C8" s="139" t="s">
        <v>501</v>
      </c>
      <c r="D8" s="140" t="s">
        <v>502</v>
      </c>
      <c r="E8" s="141" t="s">
        <v>503</v>
      </c>
      <c r="F8" s="142" t="s">
        <v>504</v>
      </c>
      <c r="G8" s="144" t="s">
        <v>505</v>
      </c>
      <c r="H8" s="144" t="s">
        <v>541</v>
      </c>
      <c r="I8" s="143" t="s">
        <v>542</v>
      </c>
      <c r="J8" s="143" t="s">
        <v>543</v>
      </c>
    </row>
    <row r="10" spans="3:10" ht="15" customHeight="1">
      <c r="C10" s="314" t="s">
        <v>575</v>
      </c>
      <c r="D10" s="317" t="s">
        <v>510</v>
      </c>
      <c r="E10" s="325" t="s">
        <v>511</v>
      </c>
      <c r="F10" s="153" t="s">
        <v>512</v>
      </c>
      <c r="G10" s="154" t="s">
        <v>522</v>
      </c>
      <c r="H10" s="165">
        <v>15</v>
      </c>
      <c r="I10" s="355">
        <f>SUM(H10:H18)</f>
        <v>27</v>
      </c>
      <c r="J10" s="333">
        <v>133</v>
      </c>
    </row>
    <row r="11" spans="3:10" ht="15" customHeight="1">
      <c r="C11" s="315"/>
      <c r="D11" s="318"/>
      <c r="E11" s="326"/>
      <c r="F11" s="155" t="s">
        <v>287</v>
      </c>
      <c r="G11" s="116" t="s">
        <v>514</v>
      </c>
      <c r="H11" s="166">
        <v>2</v>
      </c>
      <c r="I11" s="356"/>
      <c r="J11" s="331"/>
    </row>
    <row r="12" spans="3:10" ht="15" customHeight="1">
      <c r="C12" s="315"/>
      <c r="D12" s="318"/>
      <c r="E12" s="326"/>
      <c r="F12" s="156" t="s">
        <v>274</v>
      </c>
      <c r="G12" s="157" t="s">
        <v>335</v>
      </c>
      <c r="H12" s="257">
        <v>1</v>
      </c>
      <c r="I12" s="356"/>
      <c r="J12" s="331"/>
    </row>
    <row r="13" spans="3:10" ht="15" customHeight="1">
      <c r="C13" s="315"/>
      <c r="D13" s="318"/>
      <c r="E13" s="326"/>
      <c r="F13" s="156" t="s">
        <v>274</v>
      </c>
      <c r="G13" s="157" t="s">
        <v>451</v>
      </c>
      <c r="H13" s="167">
        <v>3</v>
      </c>
      <c r="I13" s="356"/>
      <c r="J13" s="331"/>
    </row>
    <row r="14" spans="3:10" ht="15" customHeight="1">
      <c r="C14" s="315"/>
      <c r="D14" s="318"/>
      <c r="E14" s="326"/>
      <c r="F14" s="156" t="s">
        <v>274</v>
      </c>
      <c r="G14" s="116" t="s">
        <v>347</v>
      </c>
      <c r="H14" s="167">
        <v>1</v>
      </c>
      <c r="I14" s="356"/>
      <c r="J14" s="331"/>
    </row>
    <row r="15" spans="3:10" ht="15" customHeight="1">
      <c r="C15" s="315"/>
      <c r="D15" s="318"/>
      <c r="E15" s="326"/>
      <c r="F15" s="158" t="s">
        <v>398</v>
      </c>
      <c r="G15" s="116" t="s">
        <v>425</v>
      </c>
      <c r="H15" s="167">
        <v>1</v>
      </c>
      <c r="I15" s="356"/>
      <c r="J15" s="331"/>
    </row>
    <row r="16" spans="3:10" ht="15" customHeight="1">
      <c r="C16" s="315"/>
      <c r="D16" s="318"/>
      <c r="E16" s="326"/>
      <c r="F16" s="158" t="s">
        <v>518</v>
      </c>
      <c r="G16" s="116" t="s">
        <v>445</v>
      </c>
      <c r="H16" s="167">
        <v>2</v>
      </c>
      <c r="I16" s="356"/>
      <c r="J16" s="331"/>
    </row>
    <row r="17" spans="3:10" ht="15" customHeight="1">
      <c r="C17" s="315"/>
      <c r="D17" s="318"/>
      <c r="E17" s="326"/>
      <c r="F17" s="156" t="s">
        <v>274</v>
      </c>
      <c r="G17" s="157" t="s">
        <v>366</v>
      </c>
      <c r="H17" s="167">
        <v>1</v>
      </c>
      <c r="I17" s="356"/>
      <c r="J17" s="331"/>
    </row>
    <row r="18" spans="3:10" ht="15" customHeight="1">
      <c r="C18" s="315"/>
      <c r="D18" s="318"/>
      <c r="E18" s="327"/>
      <c r="F18" s="159" t="s">
        <v>563</v>
      </c>
      <c r="G18" s="160" t="s">
        <v>495</v>
      </c>
      <c r="H18" s="258">
        <v>1</v>
      </c>
      <c r="I18" s="357"/>
      <c r="J18" s="331"/>
    </row>
    <row r="19" spans="3:10" ht="15" customHeight="1">
      <c r="C19" s="315"/>
      <c r="D19" s="318"/>
      <c r="E19" s="209"/>
      <c r="F19" s="209"/>
      <c r="G19" s="209"/>
      <c r="H19" s="168"/>
      <c r="I19" s="168"/>
      <c r="J19" s="331"/>
    </row>
    <row r="20" spans="3:10" ht="15" customHeight="1">
      <c r="C20" s="315"/>
      <c r="D20" s="318"/>
      <c r="E20" s="319" t="s">
        <v>520</v>
      </c>
      <c r="F20" s="153" t="s">
        <v>576</v>
      </c>
      <c r="G20" s="154" t="s">
        <v>522</v>
      </c>
      <c r="H20" s="165">
        <v>9</v>
      </c>
      <c r="I20" s="344">
        <f>SUM(H20:H25)</f>
        <v>13</v>
      </c>
      <c r="J20" s="331"/>
    </row>
    <row r="21" spans="3:10" ht="15" customHeight="1">
      <c r="C21" s="315"/>
      <c r="D21" s="318"/>
      <c r="E21" s="320"/>
      <c r="F21" s="158" t="s">
        <v>287</v>
      </c>
      <c r="G21" s="116" t="s">
        <v>463</v>
      </c>
      <c r="H21" s="167">
        <v>1</v>
      </c>
      <c r="I21" s="345"/>
      <c r="J21" s="331"/>
    </row>
    <row r="22" spans="3:10" ht="15" customHeight="1">
      <c r="C22" s="315"/>
      <c r="D22" s="318"/>
      <c r="E22" s="320"/>
      <c r="F22" s="158" t="s">
        <v>524</v>
      </c>
      <c r="G22" s="116" t="s">
        <v>375</v>
      </c>
      <c r="H22" s="167">
        <v>1</v>
      </c>
      <c r="I22" s="345"/>
      <c r="J22" s="331"/>
    </row>
    <row r="23" spans="3:10" ht="15" customHeight="1">
      <c r="C23" s="315"/>
      <c r="D23" s="318"/>
      <c r="E23" s="320"/>
      <c r="F23" s="158" t="s">
        <v>398</v>
      </c>
      <c r="G23" s="116" t="s">
        <v>425</v>
      </c>
      <c r="H23" s="257">
        <v>1</v>
      </c>
      <c r="I23" s="345"/>
      <c r="J23" s="331"/>
    </row>
    <row r="24" spans="3:10" ht="15" customHeight="1">
      <c r="C24" s="315"/>
      <c r="D24" s="318"/>
      <c r="E24" s="321"/>
      <c r="F24" s="161" t="s">
        <v>427</v>
      </c>
      <c r="G24" s="162" t="s">
        <v>427</v>
      </c>
      <c r="H24" s="169">
        <v>1</v>
      </c>
      <c r="I24" s="346"/>
      <c r="J24" s="331"/>
    </row>
    <row r="25" spans="3:10" ht="15" customHeight="1">
      <c r="C25" s="315"/>
      <c r="D25" s="318"/>
      <c r="E25" s="209"/>
      <c r="F25" s="209"/>
      <c r="G25" s="209"/>
      <c r="H25" s="168"/>
      <c r="I25" s="168"/>
      <c r="J25" s="331"/>
    </row>
    <row r="26" spans="3:10" ht="15" customHeight="1">
      <c r="C26" s="315"/>
      <c r="D26" s="318"/>
      <c r="E26" s="319" t="s">
        <v>526</v>
      </c>
      <c r="F26" s="153" t="s">
        <v>521</v>
      </c>
      <c r="G26" s="154" t="s">
        <v>522</v>
      </c>
      <c r="H26" s="165">
        <v>2</v>
      </c>
      <c r="I26" s="344">
        <f>SUM(H26:H31)</f>
        <v>10</v>
      </c>
      <c r="J26" s="331"/>
    </row>
    <row r="27" spans="3:10" ht="15" customHeight="1">
      <c r="C27" s="315"/>
      <c r="D27" s="318"/>
      <c r="E27" s="320"/>
      <c r="F27" s="155" t="s">
        <v>287</v>
      </c>
      <c r="G27" s="116" t="s">
        <v>523</v>
      </c>
      <c r="H27" s="167">
        <v>4</v>
      </c>
      <c r="I27" s="345"/>
      <c r="J27" s="331"/>
    </row>
    <row r="28" spans="3:10" ht="15" customHeight="1">
      <c r="C28" s="315"/>
      <c r="D28" s="318"/>
      <c r="E28" s="320"/>
      <c r="F28" s="155" t="s">
        <v>287</v>
      </c>
      <c r="G28" s="116" t="s">
        <v>514</v>
      </c>
      <c r="H28" s="167">
        <v>2</v>
      </c>
      <c r="I28" s="345"/>
      <c r="J28" s="331"/>
    </row>
    <row r="29" spans="3:10" ht="15" customHeight="1">
      <c r="C29" s="315"/>
      <c r="D29" s="318"/>
      <c r="E29" s="320"/>
      <c r="F29" s="158" t="s">
        <v>427</v>
      </c>
      <c r="G29" s="116" t="s">
        <v>427</v>
      </c>
      <c r="H29" s="167">
        <v>1</v>
      </c>
      <c r="I29" s="345"/>
      <c r="J29" s="331"/>
    </row>
    <row r="30" spans="3:10" ht="15" customHeight="1">
      <c r="C30" s="315"/>
      <c r="D30" s="318"/>
      <c r="E30" s="321"/>
      <c r="F30" s="161" t="s">
        <v>563</v>
      </c>
      <c r="G30" s="162" t="s">
        <v>495</v>
      </c>
      <c r="H30" s="169">
        <v>1</v>
      </c>
      <c r="I30" s="346"/>
      <c r="J30" s="331"/>
    </row>
    <row r="31" spans="3:10" ht="15" customHeight="1">
      <c r="C31" s="315"/>
      <c r="D31" s="318"/>
      <c r="E31" s="209"/>
      <c r="F31" s="209"/>
      <c r="G31" s="209"/>
      <c r="H31" s="168"/>
      <c r="I31" s="255"/>
      <c r="J31" s="331"/>
    </row>
    <row r="32" spans="3:10" ht="15" customHeight="1">
      <c r="C32" s="315"/>
      <c r="D32" s="318"/>
      <c r="E32" s="325" t="s">
        <v>530</v>
      </c>
      <c r="F32" s="153" t="s">
        <v>512</v>
      </c>
      <c r="G32" s="154" t="s">
        <v>522</v>
      </c>
      <c r="H32" s="165">
        <v>3</v>
      </c>
      <c r="I32" s="355">
        <f>SUM(H32:H37)</f>
        <v>13</v>
      </c>
      <c r="J32" s="331"/>
    </row>
    <row r="33" spans="3:10" ht="15" customHeight="1">
      <c r="C33" s="315"/>
      <c r="D33" s="318"/>
      <c r="E33" s="326"/>
      <c r="F33" s="156" t="s">
        <v>577</v>
      </c>
      <c r="G33" s="116" t="s">
        <v>415</v>
      </c>
      <c r="H33" s="166">
        <v>1</v>
      </c>
      <c r="I33" s="356"/>
      <c r="J33" s="331"/>
    </row>
    <row r="34" spans="3:10" ht="15" customHeight="1">
      <c r="C34" s="315"/>
      <c r="D34" s="318"/>
      <c r="E34" s="326"/>
      <c r="F34" s="156" t="s">
        <v>274</v>
      </c>
      <c r="G34" s="157" t="s">
        <v>328</v>
      </c>
      <c r="H34" s="167">
        <v>3</v>
      </c>
      <c r="I34" s="356"/>
      <c r="J34" s="331"/>
    </row>
    <row r="35" spans="3:10" ht="15" customHeight="1">
      <c r="C35" s="315"/>
      <c r="D35" s="318"/>
      <c r="E35" s="326"/>
      <c r="F35" s="158" t="s">
        <v>398</v>
      </c>
      <c r="G35" s="157" t="s">
        <v>425</v>
      </c>
      <c r="H35" s="167">
        <v>1</v>
      </c>
      <c r="I35" s="356"/>
      <c r="J35" s="331"/>
    </row>
    <row r="36" spans="3:10" ht="15" customHeight="1">
      <c r="C36" s="315"/>
      <c r="D36" s="318"/>
      <c r="E36" s="326"/>
      <c r="F36" s="158" t="s">
        <v>518</v>
      </c>
      <c r="G36" s="157" t="s">
        <v>445</v>
      </c>
      <c r="H36" s="170">
        <v>3</v>
      </c>
      <c r="I36" s="356"/>
      <c r="J36" s="331"/>
    </row>
    <row r="37" spans="3:10" ht="15" customHeight="1">
      <c r="C37" s="315"/>
      <c r="D37" s="318"/>
      <c r="E37" s="327"/>
      <c r="F37" s="161" t="s">
        <v>519</v>
      </c>
      <c r="G37" s="162" t="s">
        <v>463</v>
      </c>
      <c r="H37" s="258">
        <v>2</v>
      </c>
      <c r="I37" s="357"/>
      <c r="J37" s="331"/>
    </row>
    <row r="38" spans="3:10" ht="15" customHeight="1">
      <c r="C38" s="315"/>
      <c r="D38" s="318"/>
      <c r="E38" s="209"/>
      <c r="F38" s="209"/>
      <c r="G38" s="209"/>
      <c r="H38" s="168"/>
      <c r="I38" s="168"/>
      <c r="J38" s="331"/>
    </row>
    <row r="39" spans="3:10" ht="15" customHeight="1">
      <c r="C39" s="315"/>
      <c r="D39" s="338"/>
      <c r="E39" s="339" t="s">
        <v>531</v>
      </c>
      <c r="F39" s="153" t="s">
        <v>512</v>
      </c>
      <c r="G39" s="154" t="s">
        <v>522</v>
      </c>
      <c r="H39" s="165">
        <v>10</v>
      </c>
      <c r="I39" s="328">
        <f>SUM(H39:H41)</f>
        <v>12</v>
      </c>
      <c r="J39" s="318"/>
    </row>
    <row r="40" spans="3:10" ht="15" customHeight="1">
      <c r="C40" s="315"/>
      <c r="D40" s="338"/>
      <c r="E40" s="341"/>
      <c r="F40" s="210" t="s">
        <v>577</v>
      </c>
      <c r="G40" s="162" t="s">
        <v>415</v>
      </c>
      <c r="H40" s="211">
        <v>2</v>
      </c>
      <c r="I40" s="330"/>
      <c r="J40" s="318"/>
    </row>
    <row r="41" spans="3:10" ht="15" customHeight="1">
      <c r="C41" s="315"/>
      <c r="D41" s="318"/>
      <c r="E41" s="209"/>
      <c r="F41" s="209"/>
      <c r="G41" s="209"/>
      <c r="H41" s="168"/>
      <c r="I41" s="168"/>
      <c r="J41" s="331"/>
    </row>
    <row r="42" spans="3:10" ht="15" customHeight="1">
      <c r="C42" s="315"/>
      <c r="D42" s="338"/>
      <c r="E42" s="219" t="s">
        <v>529</v>
      </c>
      <c r="F42" s="171" t="s">
        <v>287</v>
      </c>
      <c r="G42" s="235" t="s">
        <v>513</v>
      </c>
      <c r="H42" s="234">
        <v>3</v>
      </c>
      <c r="I42" s="212">
        <v>3</v>
      </c>
      <c r="J42" s="331"/>
    </row>
    <row r="43" spans="3:10" ht="15" customHeight="1">
      <c r="C43" s="315"/>
      <c r="D43" s="318"/>
      <c r="E43" s="114"/>
      <c r="F43" s="114"/>
      <c r="G43" s="114"/>
      <c r="H43" s="174"/>
      <c r="I43" s="168"/>
      <c r="J43" s="331"/>
    </row>
    <row r="44" spans="3:10" ht="15" customHeight="1">
      <c r="C44" s="315"/>
      <c r="D44" s="338"/>
      <c r="E44" s="347" t="s">
        <v>532</v>
      </c>
      <c r="F44" s="221" t="s">
        <v>297</v>
      </c>
      <c r="G44" s="220" t="s">
        <v>298</v>
      </c>
      <c r="H44" s="224">
        <v>1</v>
      </c>
      <c r="I44" s="350">
        <f>SUM(H44:H46)</f>
        <v>3</v>
      </c>
      <c r="J44" s="331"/>
    </row>
    <row r="45" spans="3:10" ht="15" customHeight="1">
      <c r="C45" s="315"/>
      <c r="D45" s="338"/>
      <c r="E45" s="348"/>
      <c r="F45" s="222" t="s">
        <v>398</v>
      </c>
      <c r="G45" s="157" t="s">
        <v>478</v>
      </c>
      <c r="H45" s="225">
        <v>1</v>
      </c>
      <c r="I45" s="351"/>
      <c r="J45" s="331"/>
    </row>
    <row r="46" spans="3:10" ht="15" customHeight="1">
      <c r="C46" s="315"/>
      <c r="D46" s="338"/>
      <c r="E46" s="349"/>
      <c r="F46" s="223" t="s">
        <v>287</v>
      </c>
      <c r="G46" s="160" t="s">
        <v>388</v>
      </c>
      <c r="H46" s="226">
        <v>1</v>
      </c>
      <c r="I46" s="352"/>
      <c r="J46" s="331"/>
    </row>
    <row r="47" spans="3:10" ht="15" customHeight="1">
      <c r="C47" s="315"/>
      <c r="D47" s="318"/>
      <c r="E47" s="209"/>
      <c r="F47" s="209"/>
      <c r="G47" s="209"/>
      <c r="H47" s="168"/>
      <c r="I47" s="168"/>
      <c r="J47" s="331"/>
    </row>
    <row r="48" spans="3:10" ht="15" customHeight="1">
      <c r="C48" s="315"/>
      <c r="D48" s="318"/>
      <c r="E48" s="360" t="s">
        <v>534</v>
      </c>
      <c r="F48" s="213" t="s">
        <v>578</v>
      </c>
      <c r="G48" s="154" t="s">
        <v>522</v>
      </c>
      <c r="H48" s="214">
        <v>33</v>
      </c>
      <c r="I48" s="363">
        <f>SUM(H48:H54)</f>
        <v>40</v>
      </c>
      <c r="J48" s="331"/>
    </row>
    <row r="49" spans="3:10" ht="15" customHeight="1">
      <c r="C49" s="315"/>
      <c r="D49" s="318"/>
      <c r="E49" s="361"/>
      <c r="F49" s="222" t="s">
        <v>524</v>
      </c>
      <c r="G49" s="157" t="s">
        <v>375</v>
      </c>
      <c r="H49" s="215">
        <v>1</v>
      </c>
      <c r="I49" s="342"/>
      <c r="J49" s="331"/>
    </row>
    <row r="50" spans="3:10" ht="15" customHeight="1">
      <c r="C50" s="315"/>
      <c r="D50" s="318"/>
      <c r="E50" s="361"/>
      <c r="F50" s="222" t="s">
        <v>287</v>
      </c>
      <c r="G50" s="157" t="s">
        <v>445</v>
      </c>
      <c r="H50" s="215">
        <v>1</v>
      </c>
      <c r="I50" s="342"/>
      <c r="J50" s="331"/>
    </row>
    <row r="51" spans="3:10" ht="15" customHeight="1">
      <c r="C51" s="315"/>
      <c r="D51" s="318"/>
      <c r="E51" s="361"/>
      <c r="F51" s="222" t="s">
        <v>274</v>
      </c>
      <c r="G51" s="157" t="s">
        <v>446</v>
      </c>
      <c r="H51" s="216">
        <v>1</v>
      </c>
      <c r="I51" s="342"/>
      <c r="J51" s="331"/>
    </row>
    <row r="52" spans="3:10" ht="15" customHeight="1">
      <c r="C52" s="315"/>
      <c r="D52" s="318"/>
      <c r="E52" s="361"/>
      <c r="F52" s="222" t="s">
        <v>287</v>
      </c>
      <c r="G52" s="157" t="s">
        <v>440</v>
      </c>
      <c r="H52" s="216">
        <v>2</v>
      </c>
      <c r="I52" s="342"/>
      <c r="J52" s="331"/>
    </row>
    <row r="53" spans="3:10" ht="15" customHeight="1">
      <c r="C53" s="315"/>
      <c r="D53" s="318"/>
      <c r="E53" s="361"/>
      <c r="F53" s="227" t="s">
        <v>287</v>
      </c>
      <c r="G53" s="116" t="s">
        <v>390</v>
      </c>
      <c r="H53" s="217">
        <v>1</v>
      </c>
      <c r="I53" s="342"/>
      <c r="J53" s="331"/>
    </row>
    <row r="54" spans="3:10" ht="15" customHeight="1">
      <c r="C54" s="315"/>
      <c r="D54" s="318"/>
      <c r="E54" s="362"/>
      <c r="F54" s="228" t="s">
        <v>563</v>
      </c>
      <c r="G54" s="162" t="s">
        <v>495</v>
      </c>
      <c r="H54" s="218">
        <v>1</v>
      </c>
      <c r="I54" s="364"/>
      <c r="J54" s="331"/>
    </row>
    <row r="55" spans="3:10" ht="15" customHeight="1">
      <c r="C55" s="315"/>
      <c r="D55" s="318"/>
      <c r="E55" s="209"/>
      <c r="F55" s="209"/>
      <c r="G55" s="209"/>
      <c r="H55" s="168"/>
      <c r="I55" s="168"/>
      <c r="J55" s="331"/>
    </row>
    <row r="56" spans="3:10" ht="15" customHeight="1">
      <c r="C56" s="315"/>
      <c r="D56" s="318"/>
      <c r="E56" s="358" t="s">
        <v>540</v>
      </c>
      <c r="F56" s="229" t="s">
        <v>440</v>
      </c>
      <c r="G56" s="229" t="s">
        <v>579</v>
      </c>
      <c r="H56" s="231">
        <v>2</v>
      </c>
      <c r="I56" s="353">
        <f>SUM(H56:H57)</f>
        <v>9</v>
      </c>
      <c r="J56" s="318"/>
    </row>
    <row r="57" spans="3:10">
      <c r="C57" s="316"/>
      <c r="D57" s="332"/>
      <c r="E57" s="359"/>
      <c r="F57" s="230" t="s">
        <v>404</v>
      </c>
      <c r="G57" s="233" t="s">
        <v>579</v>
      </c>
      <c r="H57" s="232">
        <v>7</v>
      </c>
      <c r="I57" s="354"/>
      <c r="J57" s="332"/>
    </row>
  </sheetData>
  <autoFilter ref="C8:J8" xr:uid="{0ADC5A53-ED2C-40FC-AD3B-870C215674E4}"/>
  <mergeCells count="20">
    <mergeCell ref="D10:D57"/>
    <mergeCell ref="C10:C57"/>
    <mergeCell ref="I56:I57"/>
    <mergeCell ref="F4:H4"/>
    <mergeCell ref="E10:E18"/>
    <mergeCell ref="I10:I18"/>
    <mergeCell ref="E56:E57"/>
    <mergeCell ref="E32:E37"/>
    <mergeCell ref="I32:I37"/>
    <mergeCell ref="E39:E40"/>
    <mergeCell ref="I39:I40"/>
    <mergeCell ref="E48:E54"/>
    <mergeCell ref="I48:I54"/>
    <mergeCell ref="J10:J57"/>
    <mergeCell ref="E20:E24"/>
    <mergeCell ref="I20:I24"/>
    <mergeCell ref="E26:E30"/>
    <mergeCell ref="I26:I30"/>
    <mergeCell ref="E44:E46"/>
    <mergeCell ref="I44:I4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83A98-15D8-4617-9A4A-61F10ADEE2DA}">
  <dimension ref="A1:K64"/>
  <sheetViews>
    <sheetView topLeftCell="D23" workbookViewId="0">
      <selection activeCell="I66" sqref="I66"/>
    </sheetView>
  </sheetViews>
  <sheetFormatPr defaultRowHeight="15"/>
  <cols>
    <col min="1" max="6" width="27.7109375" customWidth="1"/>
    <col min="7" max="7" width="37.7109375" customWidth="1"/>
    <col min="8" max="8" width="21.85546875" customWidth="1"/>
    <col min="9" max="11" width="27.7109375" customWidth="1"/>
  </cols>
  <sheetData>
    <row r="1" spans="1:11">
      <c r="E1" s="152"/>
      <c r="F1" s="152"/>
      <c r="G1" s="152"/>
      <c r="H1" s="164"/>
      <c r="I1" s="164"/>
    </row>
    <row r="2" spans="1:11">
      <c r="E2" s="152"/>
      <c r="F2" s="152"/>
      <c r="G2" s="152"/>
      <c r="H2" s="164"/>
      <c r="I2" s="164"/>
    </row>
    <row r="3" spans="1:11">
      <c r="E3" s="152"/>
      <c r="F3" s="152"/>
      <c r="G3" s="152"/>
      <c r="H3" s="164"/>
      <c r="I3" s="164"/>
    </row>
    <row r="4" spans="1:11">
      <c r="E4" s="152"/>
      <c r="F4" s="311" t="s">
        <v>500</v>
      </c>
      <c r="G4" s="312"/>
      <c r="H4" s="313"/>
      <c r="I4" s="164"/>
    </row>
    <row r="5" spans="1:11">
      <c r="E5" s="152"/>
      <c r="F5" s="152"/>
      <c r="G5" s="152"/>
      <c r="H5" s="164"/>
      <c r="I5" s="164"/>
    </row>
    <row r="6" spans="1:11">
      <c r="E6" s="152"/>
      <c r="F6" s="152"/>
      <c r="G6" s="152"/>
      <c r="H6" s="164"/>
      <c r="I6" s="164"/>
    </row>
    <row r="7" spans="1:11">
      <c r="E7" s="152"/>
      <c r="F7" s="152"/>
      <c r="G7" s="152"/>
      <c r="H7" s="164"/>
      <c r="I7" s="164"/>
    </row>
    <row r="8" spans="1:11">
      <c r="A8" s="172"/>
      <c r="B8" s="172"/>
      <c r="C8" s="145" t="s">
        <v>501</v>
      </c>
      <c r="D8" s="146" t="s">
        <v>502</v>
      </c>
      <c r="E8" s="147" t="s">
        <v>503</v>
      </c>
      <c r="F8" s="148" t="s">
        <v>504</v>
      </c>
      <c r="G8" s="149" t="s">
        <v>505</v>
      </c>
      <c r="H8" s="149" t="s">
        <v>541</v>
      </c>
      <c r="I8" s="150" t="s">
        <v>542</v>
      </c>
      <c r="J8" s="150" t="s">
        <v>543</v>
      </c>
      <c r="K8" s="172"/>
    </row>
    <row r="9" spans="1:11">
      <c r="E9" s="152"/>
      <c r="F9" s="152"/>
      <c r="G9" s="152"/>
      <c r="H9" s="164"/>
      <c r="I9" s="164"/>
    </row>
    <row r="10" spans="1:11" ht="15" customHeight="1">
      <c r="C10" s="314" t="s">
        <v>580</v>
      </c>
      <c r="D10" s="317" t="s">
        <v>510</v>
      </c>
      <c r="E10" s="360" t="s">
        <v>511</v>
      </c>
      <c r="F10" s="237" t="s">
        <v>581</v>
      </c>
      <c r="G10" s="236" t="s">
        <v>522</v>
      </c>
      <c r="H10" s="238">
        <v>8</v>
      </c>
      <c r="I10" s="355">
        <f>SUM(H10:H15)</f>
        <v>18</v>
      </c>
      <c r="J10" s="333">
        <v>159</v>
      </c>
    </row>
    <row r="11" spans="1:11" ht="15" customHeight="1">
      <c r="C11" s="315"/>
      <c r="D11" s="318"/>
      <c r="E11" s="361"/>
      <c r="F11" s="116" t="s">
        <v>287</v>
      </c>
      <c r="G11" s="235" t="s">
        <v>315</v>
      </c>
      <c r="H11" s="239">
        <v>2</v>
      </c>
      <c r="I11" s="356"/>
      <c r="J11" s="331"/>
    </row>
    <row r="12" spans="1:11" ht="15" customHeight="1">
      <c r="C12" s="315"/>
      <c r="D12" s="318"/>
      <c r="E12" s="361"/>
      <c r="F12" s="117" t="s">
        <v>287</v>
      </c>
      <c r="G12" s="155" t="s">
        <v>303</v>
      </c>
      <c r="H12" s="272">
        <v>3</v>
      </c>
      <c r="I12" s="356"/>
      <c r="J12" s="331"/>
    </row>
    <row r="13" spans="1:11" ht="15" customHeight="1">
      <c r="C13" s="315"/>
      <c r="D13" s="318"/>
      <c r="E13" s="361"/>
      <c r="F13" s="116" t="s">
        <v>274</v>
      </c>
      <c r="G13" s="155" t="s">
        <v>406</v>
      </c>
      <c r="H13" s="240">
        <v>2</v>
      </c>
      <c r="I13" s="356"/>
      <c r="J13" s="331"/>
    </row>
    <row r="14" spans="1:11" ht="15" customHeight="1">
      <c r="C14" s="315"/>
      <c r="D14" s="318"/>
      <c r="E14" s="361"/>
      <c r="F14" s="157" t="s">
        <v>274</v>
      </c>
      <c r="G14" s="155" t="s">
        <v>480</v>
      </c>
      <c r="H14" s="240">
        <v>2</v>
      </c>
      <c r="I14" s="356"/>
      <c r="J14" s="331"/>
    </row>
    <row r="15" spans="1:11" ht="15" customHeight="1">
      <c r="C15" s="315"/>
      <c r="D15" s="318"/>
      <c r="E15" s="362"/>
      <c r="F15" s="162" t="s">
        <v>274</v>
      </c>
      <c r="G15" s="163" t="s">
        <v>446</v>
      </c>
      <c r="H15" s="241">
        <v>1</v>
      </c>
      <c r="I15" s="357"/>
      <c r="J15" s="331"/>
    </row>
    <row r="16" spans="1:11" ht="15" customHeight="1">
      <c r="C16" s="315"/>
      <c r="D16" s="318"/>
      <c r="E16" s="209"/>
      <c r="F16" s="209"/>
      <c r="G16" s="209"/>
      <c r="H16" s="168"/>
      <c r="I16" s="168"/>
      <c r="J16" s="331"/>
    </row>
    <row r="17" spans="3:10" ht="15" customHeight="1">
      <c r="C17" s="315"/>
      <c r="D17" s="318"/>
      <c r="E17" s="360" t="s">
        <v>520</v>
      </c>
      <c r="F17" s="213" t="s">
        <v>512</v>
      </c>
      <c r="G17" s="154" t="s">
        <v>522</v>
      </c>
      <c r="H17" s="165">
        <v>12</v>
      </c>
      <c r="I17" s="344">
        <f>SUM(H17:H26)</f>
        <v>22</v>
      </c>
      <c r="J17" s="331"/>
    </row>
    <row r="18" spans="3:10" ht="15" customHeight="1">
      <c r="C18" s="315"/>
      <c r="D18" s="318"/>
      <c r="E18" s="361"/>
      <c r="F18" s="227" t="s">
        <v>287</v>
      </c>
      <c r="G18" s="116" t="s">
        <v>463</v>
      </c>
      <c r="H18" s="167">
        <v>1</v>
      </c>
      <c r="I18" s="345"/>
      <c r="J18" s="331"/>
    </row>
    <row r="19" spans="3:10" ht="15" customHeight="1">
      <c r="C19" s="315"/>
      <c r="D19" s="318"/>
      <c r="E19" s="361"/>
      <c r="F19" s="222" t="s">
        <v>274</v>
      </c>
      <c r="G19" s="157" t="s">
        <v>406</v>
      </c>
      <c r="H19" s="167">
        <v>2</v>
      </c>
      <c r="I19" s="345"/>
      <c r="J19" s="331"/>
    </row>
    <row r="20" spans="3:10" ht="15" customHeight="1">
      <c r="C20" s="315"/>
      <c r="D20" s="318"/>
      <c r="E20" s="361"/>
      <c r="F20" s="222" t="s">
        <v>524</v>
      </c>
      <c r="G20" s="157" t="s">
        <v>335</v>
      </c>
      <c r="H20" s="257">
        <v>1</v>
      </c>
      <c r="I20" s="345"/>
      <c r="J20" s="331"/>
    </row>
    <row r="21" spans="3:10" ht="15" customHeight="1">
      <c r="C21" s="315"/>
      <c r="D21" s="318"/>
      <c r="E21" s="361"/>
      <c r="F21" s="222" t="s">
        <v>274</v>
      </c>
      <c r="G21" s="157" t="s">
        <v>454</v>
      </c>
      <c r="H21" s="167">
        <v>1</v>
      </c>
      <c r="I21" s="345"/>
      <c r="J21" s="331"/>
    </row>
    <row r="22" spans="3:10" ht="15" customHeight="1">
      <c r="C22" s="315"/>
      <c r="D22" s="318"/>
      <c r="E22" s="361"/>
      <c r="F22" s="222" t="s">
        <v>274</v>
      </c>
      <c r="G22" s="157" t="s">
        <v>451</v>
      </c>
      <c r="H22" s="245">
        <v>1</v>
      </c>
      <c r="I22" s="345"/>
      <c r="J22" s="331"/>
    </row>
    <row r="23" spans="3:10" ht="15" customHeight="1">
      <c r="C23" s="315"/>
      <c r="D23" s="318"/>
      <c r="E23" s="361"/>
      <c r="F23" s="222" t="s">
        <v>274</v>
      </c>
      <c r="G23" s="157" t="s">
        <v>347</v>
      </c>
      <c r="H23" s="245">
        <v>1</v>
      </c>
      <c r="I23" s="345"/>
      <c r="J23" s="331"/>
    </row>
    <row r="24" spans="3:10" ht="15" customHeight="1">
      <c r="C24" s="315"/>
      <c r="D24" s="318"/>
      <c r="E24" s="361"/>
      <c r="F24" s="222" t="s">
        <v>274</v>
      </c>
      <c r="G24" s="157" t="s">
        <v>446</v>
      </c>
      <c r="H24" s="245">
        <v>1</v>
      </c>
      <c r="I24" s="345"/>
      <c r="J24" s="331"/>
    </row>
    <row r="25" spans="3:10" ht="15" customHeight="1">
      <c r="C25" s="315"/>
      <c r="D25" s="318"/>
      <c r="E25" s="361"/>
      <c r="F25" s="227" t="s">
        <v>287</v>
      </c>
      <c r="G25" s="116" t="s">
        <v>315</v>
      </c>
      <c r="H25" s="245">
        <v>1</v>
      </c>
      <c r="I25" s="345"/>
      <c r="J25" s="331"/>
    </row>
    <row r="26" spans="3:10" ht="15" customHeight="1">
      <c r="C26" s="315"/>
      <c r="D26" s="318"/>
      <c r="E26" s="362"/>
      <c r="F26" s="228" t="s">
        <v>287</v>
      </c>
      <c r="G26" s="162" t="s">
        <v>303</v>
      </c>
      <c r="H26" s="246">
        <v>1</v>
      </c>
      <c r="I26" s="346"/>
      <c r="J26" s="331"/>
    </row>
    <row r="27" spans="3:10" ht="15" customHeight="1">
      <c r="C27" s="315"/>
      <c r="D27" s="318"/>
      <c r="E27" s="209"/>
      <c r="F27" s="209"/>
      <c r="G27" s="209"/>
      <c r="H27" s="168"/>
      <c r="I27" s="168"/>
      <c r="J27" s="331"/>
    </row>
    <row r="28" spans="3:10" ht="15" customHeight="1">
      <c r="C28" s="315"/>
      <c r="D28" s="318"/>
      <c r="E28" s="360" t="s">
        <v>526</v>
      </c>
      <c r="F28" s="154" t="s">
        <v>521</v>
      </c>
      <c r="G28" s="153" t="s">
        <v>522</v>
      </c>
      <c r="H28" s="238">
        <v>2</v>
      </c>
      <c r="I28" s="355">
        <f>SUM(H28:H35)</f>
        <v>15</v>
      </c>
      <c r="J28" s="331"/>
    </row>
    <row r="29" spans="3:10" ht="15" customHeight="1">
      <c r="C29" s="315"/>
      <c r="D29" s="318"/>
      <c r="E29" s="361"/>
      <c r="F29" s="116" t="s">
        <v>287</v>
      </c>
      <c r="G29" s="155" t="s">
        <v>523</v>
      </c>
      <c r="H29" s="240">
        <v>2</v>
      </c>
      <c r="I29" s="356"/>
      <c r="J29" s="331"/>
    </row>
    <row r="30" spans="3:10" ht="15" customHeight="1">
      <c r="C30" s="315"/>
      <c r="D30" s="318"/>
      <c r="E30" s="361"/>
      <c r="F30" s="116" t="s">
        <v>287</v>
      </c>
      <c r="G30" s="155" t="s">
        <v>514</v>
      </c>
      <c r="H30" s="240">
        <v>2</v>
      </c>
      <c r="I30" s="356"/>
      <c r="J30" s="331"/>
    </row>
    <row r="31" spans="3:10" ht="15" customHeight="1">
      <c r="C31" s="315"/>
      <c r="D31" s="318"/>
      <c r="E31" s="361"/>
      <c r="F31" s="116" t="s">
        <v>427</v>
      </c>
      <c r="G31" s="155" t="s">
        <v>427</v>
      </c>
      <c r="H31" s="247">
        <v>3</v>
      </c>
      <c r="I31" s="356"/>
      <c r="J31" s="331"/>
    </row>
    <row r="32" spans="3:10" ht="15" customHeight="1">
      <c r="C32" s="315"/>
      <c r="D32" s="318"/>
      <c r="E32" s="361"/>
      <c r="F32" s="116" t="s">
        <v>563</v>
      </c>
      <c r="G32" s="155" t="s">
        <v>495</v>
      </c>
      <c r="H32" s="240">
        <v>1</v>
      </c>
      <c r="I32" s="356"/>
      <c r="J32" s="331"/>
    </row>
    <row r="33" spans="3:10" ht="15" customHeight="1">
      <c r="C33" s="315"/>
      <c r="D33" s="318"/>
      <c r="E33" s="361"/>
      <c r="F33" s="116" t="s">
        <v>274</v>
      </c>
      <c r="G33" s="155" t="s">
        <v>406</v>
      </c>
      <c r="H33" s="242">
        <v>3</v>
      </c>
      <c r="I33" s="356"/>
      <c r="J33" s="331"/>
    </row>
    <row r="34" spans="3:10" ht="15" customHeight="1">
      <c r="C34" s="315"/>
      <c r="D34" s="318"/>
      <c r="E34" s="361"/>
      <c r="F34" s="157" t="s">
        <v>274</v>
      </c>
      <c r="G34" s="244" t="s">
        <v>359</v>
      </c>
      <c r="H34" s="242">
        <v>1</v>
      </c>
      <c r="I34" s="356"/>
      <c r="J34" s="331"/>
    </row>
    <row r="35" spans="3:10" ht="15" customHeight="1">
      <c r="C35" s="315"/>
      <c r="D35" s="318"/>
      <c r="E35" s="362"/>
      <c r="F35" s="248" t="s">
        <v>287</v>
      </c>
      <c r="G35" s="249" t="s">
        <v>440</v>
      </c>
      <c r="H35" s="243">
        <v>1</v>
      </c>
      <c r="I35" s="357"/>
      <c r="J35" s="331"/>
    </row>
    <row r="36" spans="3:10" ht="15" customHeight="1">
      <c r="C36" s="315"/>
      <c r="D36" s="318"/>
      <c r="E36" s="209"/>
      <c r="F36" s="209"/>
      <c r="G36" s="209"/>
      <c r="H36" s="168"/>
      <c r="I36" s="255"/>
      <c r="J36" s="331"/>
    </row>
    <row r="37" spans="3:10" ht="15" customHeight="1">
      <c r="C37" s="315"/>
      <c r="D37" s="318"/>
      <c r="E37" s="360" t="s">
        <v>530</v>
      </c>
      <c r="F37" s="213" t="s">
        <v>512</v>
      </c>
      <c r="G37" s="154" t="s">
        <v>522</v>
      </c>
      <c r="H37" s="214">
        <v>4</v>
      </c>
      <c r="I37" s="363">
        <f>SUM(H37:H40)</f>
        <v>13</v>
      </c>
      <c r="J37" s="331"/>
    </row>
    <row r="38" spans="3:10" ht="15" customHeight="1">
      <c r="C38" s="315"/>
      <c r="D38" s="318"/>
      <c r="E38" s="361"/>
      <c r="F38" s="227" t="s">
        <v>274</v>
      </c>
      <c r="G38" s="116" t="s">
        <v>279</v>
      </c>
      <c r="H38" s="261">
        <v>2</v>
      </c>
      <c r="I38" s="342"/>
      <c r="J38" s="331"/>
    </row>
    <row r="39" spans="3:10" ht="15" customHeight="1">
      <c r="C39" s="315"/>
      <c r="D39" s="318"/>
      <c r="E39" s="361"/>
      <c r="F39" s="227" t="s">
        <v>398</v>
      </c>
      <c r="G39" s="116" t="s">
        <v>470</v>
      </c>
      <c r="H39" s="215">
        <v>1</v>
      </c>
      <c r="I39" s="342"/>
      <c r="J39" s="331"/>
    </row>
    <row r="40" spans="3:10" ht="15" customHeight="1">
      <c r="C40" s="315"/>
      <c r="D40" s="318"/>
      <c r="E40" s="362"/>
      <c r="F40" s="228" t="s">
        <v>398</v>
      </c>
      <c r="G40" s="162" t="s">
        <v>425</v>
      </c>
      <c r="H40" s="262">
        <v>6</v>
      </c>
      <c r="I40" s="364"/>
      <c r="J40" s="331"/>
    </row>
    <row r="41" spans="3:10" ht="15" customHeight="1">
      <c r="C41" s="315"/>
      <c r="D41" s="318"/>
      <c r="E41" s="209"/>
      <c r="F41" s="209"/>
      <c r="G41" s="209"/>
      <c r="H41" s="168"/>
      <c r="I41" s="168"/>
      <c r="J41" s="331"/>
    </row>
    <row r="42" spans="3:10" ht="15" customHeight="1">
      <c r="C42" s="315"/>
      <c r="D42" s="318"/>
      <c r="E42" s="325" t="s">
        <v>531</v>
      </c>
      <c r="F42" s="153" t="s">
        <v>512</v>
      </c>
      <c r="G42" s="213" t="s">
        <v>522</v>
      </c>
      <c r="H42" s="259">
        <v>10</v>
      </c>
      <c r="I42" s="365">
        <f>SUM(H42:H48)</f>
        <v>19</v>
      </c>
      <c r="J42" s="331"/>
    </row>
    <row r="43" spans="3:10" ht="15" customHeight="1">
      <c r="C43" s="315"/>
      <c r="D43" s="318"/>
      <c r="E43" s="326"/>
      <c r="F43" s="244" t="s">
        <v>577</v>
      </c>
      <c r="G43" s="227" t="s">
        <v>415</v>
      </c>
      <c r="H43" s="260">
        <v>2</v>
      </c>
      <c r="I43" s="336"/>
      <c r="J43" s="331"/>
    </row>
    <row r="44" spans="3:10" ht="15" customHeight="1">
      <c r="C44" s="315"/>
      <c r="D44" s="318"/>
      <c r="E44" s="326"/>
      <c r="F44" s="155" t="s">
        <v>519</v>
      </c>
      <c r="G44" s="227" t="s">
        <v>513</v>
      </c>
      <c r="H44" s="263">
        <v>1</v>
      </c>
      <c r="I44" s="336"/>
      <c r="J44" s="331"/>
    </row>
    <row r="45" spans="3:10" ht="15" customHeight="1">
      <c r="C45" s="315"/>
      <c r="D45" s="318"/>
      <c r="E45" s="326"/>
      <c r="F45" s="155" t="s">
        <v>274</v>
      </c>
      <c r="G45" s="227" t="s">
        <v>279</v>
      </c>
      <c r="H45" s="263">
        <v>1</v>
      </c>
      <c r="I45" s="336"/>
      <c r="J45" s="331"/>
    </row>
    <row r="46" spans="3:10" ht="15" customHeight="1">
      <c r="C46" s="315"/>
      <c r="D46" s="318"/>
      <c r="E46" s="326"/>
      <c r="F46" s="155" t="s">
        <v>398</v>
      </c>
      <c r="G46" s="227" t="s">
        <v>425</v>
      </c>
      <c r="H46" s="263">
        <v>2</v>
      </c>
      <c r="I46" s="336"/>
      <c r="J46" s="331"/>
    </row>
    <row r="47" spans="3:10" ht="15" customHeight="1">
      <c r="C47" s="315"/>
      <c r="D47" s="318"/>
      <c r="E47" s="326"/>
      <c r="F47" s="155" t="s">
        <v>427</v>
      </c>
      <c r="G47" s="227" t="s">
        <v>427</v>
      </c>
      <c r="H47" s="263">
        <v>2</v>
      </c>
      <c r="I47" s="336"/>
      <c r="J47" s="331"/>
    </row>
    <row r="48" spans="3:10" ht="15" customHeight="1">
      <c r="C48" s="315"/>
      <c r="D48" s="318"/>
      <c r="E48" s="327"/>
      <c r="F48" s="163" t="s">
        <v>287</v>
      </c>
      <c r="G48" s="228" t="s">
        <v>463</v>
      </c>
      <c r="H48" s="232">
        <v>1</v>
      </c>
      <c r="I48" s="366"/>
      <c r="J48" s="331"/>
    </row>
    <row r="49" spans="3:10" ht="15" customHeight="1">
      <c r="C49" s="315"/>
      <c r="D49" s="318"/>
      <c r="E49" s="209"/>
      <c r="F49" s="114"/>
      <c r="G49" s="114"/>
      <c r="H49" s="168"/>
      <c r="I49" s="168"/>
      <c r="J49" s="331"/>
    </row>
    <row r="50" spans="3:10" ht="15" customHeight="1">
      <c r="C50" s="315"/>
      <c r="D50" s="318"/>
      <c r="E50" s="368" t="s">
        <v>532</v>
      </c>
      <c r="F50" s="220" t="s">
        <v>297</v>
      </c>
      <c r="G50" s="264" t="s">
        <v>298</v>
      </c>
      <c r="H50" s="271">
        <v>1</v>
      </c>
      <c r="I50" s="371">
        <f>SUM(H50:H52)</f>
        <v>3</v>
      </c>
      <c r="J50" s="331"/>
    </row>
    <row r="51" spans="3:10">
      <c r="C51" s="315"/>
      <c r="D51" s="318"/>
      <c r="E51" s="369"/>
      <c r="F51" s="157" t="s">
        <v>398</v>
      </c>
      <c r="G51" s="265" t="s">
        <v>478</v>
      </c>
      <c r="H51" s="245">
        <v>1</v>
      </c>
      <c r="I51" s="372"/>
      <c r="J51" s="331"/>
    </row>
    <row r="52" spans="3:10">
      <c r="C52" s="315"/>
      <c r="D52" s="318"/>
      <c r="E52" s="370"/>
      <c r="F52" s="160" t="s">
        <v>287</v>
      </c>
      <c r="G52" s="266" t="s">
        <v>388</v>
      </c>
      <c r="H52" s="246">
        <v>1</v>
      </c>
      <c r="I52" s="373"/>
      <c r="J52" s="331"/>
    </row>
    <row r="53" spans="3:10">
      <c r="C53" s="315"/>
      <c r="D53" s="318"/>
      <c r="E53" s="209"/>
      <c r="F53" s="209"/>
      <c r="G53" s="209"/>
      <c r="H53" s="168"/>
      <c r="I53" s="168"/>
      <c r="J53" s="331"/>
    </row>
    <row r="54" spans="3:10">
      <c r="C54" s="315"/>
      <c r="D54" s="318"/>
      <c r="E54" s="360" t="s">
        <v>534</v>
      </c>
      <c r="F54" s="213" t="s">
        <v>512</v>
      </c>
      <c r="G54" s="154" t="s">
        <v>522</v>
      </c>
      <c r="H54" s="214">
        <v>33</v>
      </c>
      <c r="I54" s="365">
        <f>SUM(H54:H61)</f>
        <v>52</v>
      </c>
      <c r="J54" s="331"/>
    </row>
    <row r="55" spans="3:10">
      <c r="C55" s="315"/>
      <c r="D55" s="318"/>
      <c r="E55" s="361"/>
      <c r="F55" s="227" t="s">
        <v>287</v>
      </c>
      <c r="G55" s="116" t="s">
        <v>315</v>
      </c>
      <c r="H55" s="215">
        <v>3</v>
      </c>
      <c r="I55" s="336"/>
      <c r="J55" s="331"/>
    </row>
    <row r="56" spans="3:10">
      <c r="C56" s="315"/>
      <c r="D56" s="318"/>
      <c r="E56" s="361"/>
      <c r="F56" s="227" t="s">
        <v>524</v>
      </c>
      <c r="G56" s="116" t="s">
        <v>375</v>
      </c>
      <c r="H56" s="215">
        <v>1</v>
      </c>
      <c r="I56" s="336"/>
      <c r="J56" s="331"/>
    </row>
    <row r="57" spans="3:10">
      <c r="C57" s="315"/>
      <c r="D57" s="318"/>
      <c r="E57" s="361"/>
      <c r="F57" s="227" t="s">
        <v>281</v>
      </c>
      <c r="G57" s="116" t="s">
        <v>396</v>
      </c>
      <c r="H57" s="216">
        <v>1</v>
      </c>
      <c r="I57" s="336"/>
      <c r="J57" s="331"/>
    </row>
    <row r="58" spans="3:10">
      <c r="C58" s="315"/>
      <c r="D58" s="318"/>
      <c r="E58" s="361"/>
      <c r="F58" s="227" t="s">
        <v>398</v>
      </c>
      <c r="G58" s="116" t="s">
        <v>425</v>
      </c>
      <c r="H58" s="216">
        <v>10</v>
      </c>
      <c r="I58" s="336"/>
      <c r="J58" s="331"/>
    </row>
    <row r="59" spans="3:10">
      <c r="C59" s="315"/>
      <c r="D59" s="318"/>
      <c r="E59" s="361"/>
      <c r="F59" s="227" t="s">
        <v>274</v>
      </c>
      <c r="G59" s="116" t="s">
        <v>446</v>
      </c>
      <c r="H59" s="216">
        <v>1</v>
      </c>
      <c r="I59" s="336"/>
      <c r="J59" s="331"/>
    </row>
    <row r="60" spans="3:10">
      <c r="C60" s="315"/>
      <c r="D60" s="318"/>
      <c r="E60" s="361"/>
      <c r="F60" s="227" t="s">
        <v>287</v>
      </c>
      <c r="G60" s="157" t="s">
        <v>388</v>
      </c>
      <c r="H60" s="216">
        <v>1</v>
      </c>
      <c r="I60" s="336"/>
      <c r="J60" s="331"/>
    </row>
    <row r="61" spans="3:10">
      <c r="C61" s="315"/>
      <c r="D61" s="318"/>
      <c r="E61" s="362"/>
      <c r="F61" s="228" t="s">
        <v>287</v>
      </c>
      <c r="G61" s="160" t="s">
        <v>440</v>
      </c>
      <c r="H61" s="226">
        <v>2</v>
      </c>
      <c r="I61" s="366"/>
      <c r="J61" s="331"/>
    </row>
    <row r="62" spans="3:10">
      <c r="C62" s="315"/>
      <c r="D62" s="318"/>
      <c r="E62" s="209"/>
      <c r="F62" s="114"/>
      <c r="G62" s="269"/>
      <c r="H62" s="168"/>
      <c r="I62" s="168"/>
      <c r="J62" s="331"/>
    </row>
    <row r="63" spans="3:10">
      <c r="C63" s="316"/>
      <c r="D63" s="332"/>
      <c r="E63" s="270" t="s">
        <v>540</v>
      </c>
      <c r="F63" s="267" t="s">
        <v>582</v>
      </c>
      <c r="G63" s="268" t="s">
        <v>440</v>
      </c>
      <c r="H63" s="202">
        <v>3</v>
      </c>
      <c r="I63" s="273">
        <f>SUM(H63:H63)</f>
        <v>3</v>
      </c>
      <c r="J63" s="367"/>
    </row>
    <row r="64" spans="3:10">
      <c r="E64" s="152"/>
      <c r="F64" s="152"/>
      <c r="G64" s="152"/>
      <c r="H64" s="164"/>
      <c r="I64" s="164"/>
    </row>
  </sheetData>
  <autoFilter ref="C8:J8" xr:uid="{A9483A98-15D8-4617-9A4A-61F10ADEE2DA}"/>
  <mergeCells count="18">
    <mergeCell ref="F4:H4"/>
    <mergeCell ref="E10:E15"/>
    <mergeCell ref="I10:I15"/>
    <mergeCell ref="D10:D63"/>
    <mergeCell ref="C10:C63"/>
    <mergeCell ref="J10:J63"/>
    <mergeCell ref="E37:E40"/>
    <mergeCell ref="I37:I40"/>
    <mergeCell ref="E50:E52"/>
    <mergeCell ref="I50:I52"/>
    <mergeCell ref="I54:I61"/>
    <mergeCell ref="E54:E61"/>
    <mergeCell ref="I17:I26"/>
    <mergeCell ref="E17:E26"/>
    <mergeCell ref="I28:I35"/>
    <mergeCell ref="E28:E35"/>
    <mergeCell ref="I42:I48"/>
    <mergeCell ref="E42:E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2026-02-05T05:35:42Z</dcterms:created>
  <dcterms:modified xsi:type="dcterms:W3CDTF">2026-03-23T06:07:57Z</dcterms:modified>
  <cp:category/>
  <cp:contentStatus/>
</cp:coreProperties>
</file>