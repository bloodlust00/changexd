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Up Coming Styles\August-2025\Line-9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1" l="1"/>
  <c r="R66" i="1"/>
  <c r="AA29" i="1"/>
  <c r="R65" i="1"/>
  <c r="AA66" i="1"/>
  <c r="T63" i="1" l="1"/>
  <c r="X63" i="1"/>
  <c r="Y63" i="1"/>
  <c r="X62" i="1"/>
  <c r="Y62" i="1"/>
  <c r="T62" i="1"/>
  <c r="V61" i="1"/>
  <c r="X61" i="1"/>
  <c r="Y61" i="1"/>
  <c r="AA65" i="1" l="1"/>
  <c r="T59" i="1"/>
  <c r="X59" i="1"/>
  <c r="Y59" i="1" s="1"/>
  <c r="V58" i="1"/>
  <c r="AA48" i="1"/>
  <c r="R48" i="1"/>
  <c r="T45" i="1" l="1"/>
  <c r="X45" i="1"/>
  <c r="Y45" i="1" s="1"/>
  <c r="X47" i="1"/>
  <c r="Y47" i="1" s="1"/>
  <c r="T47" i="1"/>
  <c r="X43" i="1"/>
  <c r="Y43" i="1" s="1"/>
  <c r="V43" i="1"/>
  <c r="V48" i="1" s="1"/>
  <c r="V32" i="1"/>
  <c r="T31" i="1"/>
  <c r="T27" i="1"/>
  <c r="X27" i="1"/>
  <c r="Y27" i="1" s="1"/>
  <c r="V16" i="1"/>
  <c r="R29" i="1" l="1"/>
  <c r="AA41" i="1"/>
  <c r="R41" i="1"/>
  <c r="V71" i="1"/>
  <c r="T71" i="1"/>
  <c r="V70" i="1"/>
  <c r="T70" i="1"/>
  <c r="V69" i="1"/>
  <c r="T69" i="1"/>
  <c r="V68" i="1"/>
  <c r="T68" i="1"/>
  <c r="X64" i="1"/>
  <c r="Y64" i="1" s="1"/>
  <c r="T64" i="1"/>
  <c r="X60" i="1"/>
  <c r="Y60" i="1" s="1"/>
  <c r="T60" i="1"/>
  <c r="X58" i="1"/>
  <c r="Y58" i="1" s="1"/>
  <c r="X57" i="1"/>
  <c r="Y57" i="1" s="1"/>
  <c r="V57" i="1"/>
  <c r="X56" i="1"/>
  <c r="Y56" i="1" s="1"/>
  <c r="T56" i="1"/>
  <c r="X55" i="1"/>
  <c r="Y55" i="1" s="1"/>
  <c r="T55" i="1"/>
  <c r="X54" i="1"/>
  <c r="Y54" i="1" s="1"/>
  <c r="T54" i="1"/>
  <c r="X53" i="1"/>
  <c r="Y53" i="1" s="1"/>
  <c r="T53" i="1"/>
  <c r="X52" i="1"/>
  <c r="Y52" i="1" s="1"/>
  <c r="T52" i="1"/>
  <c r="X51" i="1"/>
  <c r="Y51" i="1" s="1"/>
  <c r="T51" i="1"/>
  <c r="X50" i="1"/>
  <c r="Y50" i="1" s="1"/>
  <c r="V50" i="1"/>
  <c r="V65" i="1" s="1"/>
  <c r="X46" i="1"/>
  <c r="Y46" i="1" s="1"/>
  <c r="T46" i="1"/>
  <c r="X44" i="1"/>
  <c r="Y44" i="1" s="1"/>
  <c r="T44" i="1"/>
  <c r="X40" i="1"/>
  <c r="Y40" i="1" s="1"/>
  <c r="V40" i="1"/>
  <c r="X39" i="1"/>
  <c r="Y39" i="1" s="1"/>
  <c r="T39" i="1"/>
  <c r="X38" i="1"/>
  <c r="Y38" i="1" s="1"/>
  <c r="T38" i="1"/>
  <c r="X37" i="1"/>
  <c r="Y37" i="1" s="1"/>
  <c r="T37" i="1"/>
  <c r="X36" i="1"/>
  <c r="Y36" i="1" s="1"/>
  <c r="V36" i="1"/>
  <c r="X35" i="1"/>
  <c r="Y35" i="1" s="1"/>
  <c r="T35" i="1"/>
  <c r="X34" i="1"/>
  <c r="Y34" i="1" s="1"/>
  <c r="T34" i="1"/>
  <c r="X33" i="1"/>
  <c r="Y33" i="1" s="1"/>
  <c r="T33" i="1"/>
  <c r="X32" i="1"/>
  <c r="Y32" i="1" s="1"/>
  <c r="X31" i="1"/>
  <c r="Y31" i="1" s="1"/>
  <c r="X28" i="1"/>
  <c r="Y28" i="1" s="1"/>
  <c r="T28" i="1"/>
  <c r="X26" i="1"/>
  <c r="Y26" i="1" s="1"/>
  <c r="V26" i="1"/>
  <c r="X25" i="1"/>
  <c r="Y25" i="1" s="1"/>
  <c r="V25" i="1"/>
  <c r="X24" i="1"/>
  <c r="Y24" i="1" s="1"/>
  <c r="T24" i="1"/>
  <c r="X23" i="1"/>
  <c r="Y23" i="1" s="1"/>
  <c r="V23" i="1"/>
  <c r="X22" i="1"/>
  <c r="Y22" i="1" s="1"/>
  <c r="V22" i="1"/>
  <c r="X21" i="1"/>
  <c r="Y21" i="1" s="1"/>
  <c r="T21" i="1"/>
  <c r="X20" i="1"/>
  <c r="Y20" i="1" s="1"/>
  <c r="T20" i="1"/>
  <c r="X19" i="1"/>
  <c r="Y19" i="1" s="1"/>
  <c r="T19" i="1"/>
  <c r="X18" i="1"/>
  <c r="Y18" i="1" s="1"/>
  <c r="T18" i="1"/>
  <c r="X17" i="1"/>
  <c r="Y17" i="1" s="1"/>
  <c r="T17" i="1"/>
  <c r="X16" i="1"/>
  <c r="Y16" i="1" s="1"/>
  <c r="X15" i="1"/>
  <c r="Y15" i="1" s="1"/>
  <c r="T15" i="1"/>
  <c r="X14" i="1"/>
  <c r="Y14" i="1" s="1"/>
  <c r="V14" i="1"/>
  <c r="V66" i="1" s="1"/>
  <c r="X13" i="1"/>
  <c r="Y13" i="1" s="1"/>
  <c r="T13" i="1"/>
  <c r="U3" i="1"/>
  <c r="T65" i="1" l="1"/>
  <c r="T48" i="1"/>
  <c r="T72" i="1"/>
  <c r="T41" i="1"/>
  <c r="V72" i="1"/>
  <c r="V41" i="1"/>
  <c r="T29" i="1"/>
  <c r="V29" i="1"/>
  <c r="V73" i="1" l="1"/>
  <c r="T73" i="1"/>
  <c r="R73" i="1" s="1"/>
  <c r="Y5" i="1" s="1"/>
  <c r="Y6" i="1" s="1"/>
  <c r="AA6" i="1" s="1"/>
  <c r="Z61" i="1" l="1"/>
  <c r="Z63" i="1"/>
  <c r="Z62" i="1"/>
  <c r="Z59" i="1"/>
  <c r="Z45" i="1"/>
  <c r="Z47" i="1"/>
  <c r="Z43" i="1"/>
  <c r="Z52" i="1"/>
  <c r="Z27" i="1"/>
  <c r="Z50" i="1"/>
  <c r="Z34" i="1"/>
  <c r="Z18" i="1"/>
  <c r="Z64" i="1"/>
  <c r="Z46" i="1"/>
  <c r="Z33" i="1"/>
  <c r="Z17" i="1"/>
  <c r="Z44" i="1"/>
  <c r="Z32" i="1"/>
  <c r="Z16" i="1"/>
  <c r="Z60" i="1"/>
  <c r="Z31" i="1"/>
  <c r="Z15" i="1"/>
  <c r="Z28" i="1"/>
  <c r="Z14" i="1"/>
  <c r="Z58" i="1"/>
  <c r="Z26" i="1"/>
  <c r="Z13" i="1"/>
  <c r="Z57" i="1"/>
  <c r="Z40" i="1"/>
  <c r="Z25" i="1"/>
  <c r="Z39" i="1"/>
  <c r="Z24" i="1"/>
  <c r="Z55" i="1"/>
  <c r="Z38" i="1"/>
  <c r="Z22" i="1"/>
  <c r="Z37" i="1"/>
  <c r="Z53" i="1"/>
  <c r="Z36" i="1"/>
  <c r="Z56" i="1"/>
  <c r="Z54" i="1"/>
  <c r="Z21" i="1"/>
  <c r="Z20" i="1"/>
  <c r="Z51" i="1"/>
  <c r="Z35" i="1"/>
  <c r="Z19" i="1"/>
  <c r="Z23" i="1"/>
</calcChain>
</file>

<file path=xl/sharedStrings.xml><?xml version="1.0" encoding="utf-8"?>
<sst xmlns="http://schemas.openxmlformats.org/spreadsheetml/2006/main" count="182" uniqueCount="113">
  <si>
    <t>SMV &amp; Operation Breakdown</t>
  </si>
  <si>
    <t>Buyer:</t>
  </si>
  <si>
    <t>Style Ref:</t>
  </si>
  <si>
    <t>Date:</t>
  </si>
  <si>
    <t>Batch Target:</t>
  </si>
  <si>
    <t>Manpower</t>
  </si>
  <si>
    <t>Season:</t>
  </si>
  <si>
    <t>Fabric:</t>
  </si>
  <si>
    <t>Prepared By: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</si>
  <si>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</si>
  <si>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</si>
  <si>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</si>
  <si>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</si>
  <si>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</si>
  <si>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</si>
  <si>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</si>
  <si>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</si>
  <si>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</si>
  <si>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</si>
  <si>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</si>
  <si>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</si>
  <si>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</si>
  <si>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</si>
  <si>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</si>
  <si>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Iron Table</t>
  </si>
  <si>
    <t>N/A</t>
  </si>
  <si>
    <t>SNLS</t>
  </si>
  <si>
    <t>Run Collar- fusible</t>
  </si>
  <si>
    <r>
      <rPr>
        <sz val="20"/>
        <color indexed="8"/>
        <rFont val="Times New Roman"/>
        <family val="1"/>
      </rPr>
      <t>SNLS</t>
    </r>
  </si>
  <si>
    <r>
      <rPr>
        <sz val="20"/>
        <color indexed="8"/>
        <rFont val="Times New Roman"/>
        <family val="1"/>
      </rPr>
      <t>Collar Blocking</t>
    </r>
  </si>
  <si>
    <r>
      <rPr>
        <sz val="20"/>
        <color indexed="8"/>
        <rFont val="Times New Roman"/>
        <family val="1"/>
      </rPr>
      <t>Blocking</t>
    </r>
  </si>
  <si>
    <r>
      <rPr>
        <sz val="20"/>
        <color indexed="8"/>
        <rFont val="Times New Roman"/>
        <family val="1"/>
      </rPr>
      <t xml:space="preserve">Top stitch collar </t>
    </r>
  </si>
  <si>
    <r>
      <rPr>
        <sz val="20"/>
        <color indexed="8"/>
        <rFont val="Times New Roman"/>
        <family val="1"/>
      </rPr>
      <t>Collar contour trim</t>
    </r>
  </si>
  <si>
    <r>
      <rPr>
        <sz val="20"/>
        <color indexed="8"/>
        <rFont val="Times New Roman"/>
        <family val="1"/>
      </rPr>
      <t>Contour M/C</t>
    </r>
  </si>
  <si>
    <r>
      <rPr>
        <sz val="20"/>
        <color indexed="8"/>
        <rFont val="Times New Roman"/>
        <family val="1"/>
      </rPr>
      <t>Collar Stay Stitch</t>
    </r>
  </si>
  <si>
    <t>3mm</t>
  </si>
  <si>
    <r>
      <rPr>
        <sz val="20"/>
        <color indexed="8"/>
        <rFont val="Times New Roman"/>
        <family val="1"/>
      </rPr>
      <t>Tape attach at band</t>
    </r>
  </si>
  <si>
    <r>
      <rPr>
        <sz val="20"/>
        <color indexed="8"/>
        <rFont val="Times New Roman"/>
        <family val="1"/>
      </rPr>
      <t>Pick turn</t>
    </r>
  </si>
  <si>
    <r>
      <rPr>
        <sz val="20"/>
        <color indexed="8"/>
        <rFont val="Times New Roman"/>
        <family val="1"/>
      </rPr>
      <t>Turning M/C</t>
    </r>
  </si>
  <si>
    <r>
      <rPr>
        <sz val="20"/>
        <color indexed="8"/>
        <rFont val="Times New Roman"/>
        <family val="1"/>
      </rPr>
      <t>Pick iron</t>
    </r>
  </si>
  <si>
    <r>
      <rPr>
        <sz val="20"/>
        <color indexed="8"/>
        <rFont val="Times New Roman"/>
        <family val="1"/>
      </rPr>
      <t>Iron Table</t>
    </r>
  </si>
  <si>
    <r>
      <rPr>
        <sz val="20"/>
        <color indexed="8"/>
        <rFont val="Times New Roman"/>
        <family val="1"/>
      </rPr>
      <t>Trim base</t>
    </r>
  </si>
  <si>
    <r>
      <rPr>
        <sz val="20"/>
        <color indexed="8"/>
        <rFont val="Times New Roman"/>
        <family val="1"/>
      </rPr>
      <t>SNEC</t>
    </r>
  </si>
  <si>
    <r>
      <rPr>
        <sz val="20"/>
        <color indexed="8"/>
        <rFont val="Times New Roman"/>
        <family val="1"/>
      </rPr>
      <t>Notch &amp; mark collar</t>
    </r>
  </si>
  <si>
    <r>
      <rPr>
        <sz val="20"/>
        <color indexed="8"/>
        <rFont val="Times New Roman"/>
        <family val="1"/>
      </rPr>
      <t>Notch M/C</t>
    </r>
  </si>
  <si>
    <r>
      <rPr>
        <sz val="20"/>
        <color indexed="8"/>
        <rFont val="Times New Roman"/>
        <family val="1"/>
      </rPr>
      <t>Button hole  &amp; Attach on neck band</t>
    </r>
  </si>
  <si>
    <t>Tandom M/C</t>
  </si>
  <si>
    <t>Sub Total</t>
  </si>
  <si>
    <t>Front</t>
  </si>
  <si>
    <t>Helper Table</t>
  </si>
  <si>
    <t>Right placket hem</t>
  </si>
  <si>
    <t>30mm</t>
  </si>
  <si>
    <t>B/Hole M/C</t>
  </si>
  <si>
    <t>Horizontal button hole X 1</t>
  </si>
  <si>
    <t>Button Marking</t>
  </si>
  <si>
    <t>Button M/C</t>
  </si>
  <si>
    <t>Extra button sew X 2</t>
  </si>
  <si>
    <t>Wash care label attach</t>
  </si>
  <si>
    <t>Pairing</t>
  </si>
  <si>
    <t>10mm</t>
  </si>
  <si>
    <t>SNEC</t>
  </si>
  <si>
    <t>Back</t>
  </si>
  <si>
    <t>Pattren Sewer M/C</t>
  </si>
  <si>
    <t>Assembly</t>
  </si>
  <si>
    <t>Hanger Loading</t>
  </si>
  <si>
    <t xml:space="preserve">Join shoulder </t>
  </si>
  <si>
    <t>1mm</t>
  </si>
  <si>
    <t>DNCS</t>
  </si>
  <si>
    <t>1/4"</t>
  </si>
  <si>
    <t>Sleeve Top</t>
  </si>
  <si>
    <t xml:space="preserve">Side Seam </t>
  </si>
  <si>
    <t>FOA</t>
  </si>
  <si>
    <t>Total SMV</t>
  </si>
  <si>
    <r>
      <rPr>
        <b/>
        <sz val="20"/>
        <color indexed="8"/>
        <rFont val="Calibri Light"/>
        <family val="2"/>
      </rPr>
      <t>Fabric allowance</t>
    </r>
  </si>
  <si>
    <r>
      <rPr>
        <b/>
        <sz val="20"/>
        <color indexed="8"/>
        <rFont val="Calibri Light"/>
        <family val="2"/>
      </rPr>
      <t>SPI allowance</t>
    </r>
  </si>
  <si>
    <r>
      <rPr>
        <b/>
        <sz val="20"/>
        <color indexed="8"/>
        <rFont val="Calibri Light"/>
        <family val="2"/>
      </rPr>
      <t>Quantity allowance</t>
    </r>
  </si>
  <si>
    <r>
      <rPr>
        <b/>
        <sz val="20"/>
        <color indexed="8"/>
        <rFont val="Calibri Light"/>
        <family val="2"/>
      </rPr>
      <t>Size allowance</t>
    </r>
  </si>
  <si>
    <r>
      <rPr>
        <b/>
        <sz val="20"/>
        <color indexed="8"/>
        <rFont val="Calibri Light"/>
        <family val="2"/>
      </rPr>
      <t>Total allowance</t>
    </r>
  </si>
  <si>
    <r>
      <rPr>
        <b/>
        <sz val="20"/>
        <color indexed="8"/>
        <rFont val="Calibri Light"/>
        <family val="2"/>
      </rPr>
      <t>Total SMV with Allowances</t>
    </r>
  </si>
  <si>
    <t>Neck band edge stitch</t>
  </si>
  <si>
    <t>Button hole on button down collar</t>
  </si>
  <si>
    <t>Neck band hem with tape</t>
  </si>
  <si>
    <t>Collar Attach</t>
  </si>
  <si>
    <t>Collar Finish</t>
  </si>
  <si>
    <t>Sleeve Attach</t>
  </si>
  <si>
    <t>Bottom Serging</t>
  </si>
  <si>
    <t>3/8"</t>
  </si>
  <si>
    <t>Cut &amp; Sew Placket</t>
  </si>
  <si>
    <t>Kansai</t>
  </si>
  <si>
    <t>Neck Trim</t>
  </si>
  <si>
    <t>Button button hole X 5</t>
  </si>
  <si>
    <t>V Pacth Iron</t>
  </si>
  <si>
    <t>V Patch Attach</t>
  </si>
  <si>
    <t>Center Pleat</t>
  </si>
  <si>
    <t>Yoke Attach -Center Pleat</t>
  </si>
  <si>
    <t>Button Down</t>
  </si>
  <si>
    <t>Sew Main Label with size label-4 Side &amp; Secondry Lable Attach-4 side</t>
  </si>
  <si>
    <t>Button sew front X 6</t>
  </si>
  <si>
    <t>Neckband attach</t>
  </si>
  <si>
    <t>Pick attach</t>
  </si>
  <si>
    <t>Bottom hem</t>
  </si>
  <si>
    <t>Sleeve hem iron</t>
  </si>
  <si>
    <t>Sleeve hem</t>
  </si>
  <si>
    <t>Gusset iron</t>
  </si>
  <si>
    <t>Gusset attach</t>
  </si>
  <si>
    <t>Gusset Bartack</t>
  </si>
  <si>
    <t>Bartack M/C</t>
  </si>
  <si>
    <t>Button Down Collar, round neckband, Cut &amp; Sew Placket, side seam -FOA, 1 mm stitch at shoulder, 1mm top stitch on yoke,Horizontal button hole, EMB @ chest,Gusset attach, Gusset bartack</t>
  </si>
  <si>
    <t>Shamantu</t>
  </si>
  <si>
    <t xml:space="preserve">MW0MW41315 / AF LW OXF SOLID S/S SHIRTS
</t>
  </si>
  <si>
    <t>97% COTTON &amp; 3% ELASTANE</t>
  </si>
  <si>
    <t>Sp’26</t>
  </si>
  <si>
    <t>Tommy MSW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</si>
</sst>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5">
    <font>
      <sz val="11"/>
      <color theme="1"/>
      <name val="Aptos Narrow"/>
      <family val="2"/>
      <scheme val="minor"/>
    </font>
    <font>
      <b/>
      <sz val="20"/>
      <color rgb="FF000000"/>
      <name val="Calibri Light"/>
      <family val="2"/>
    </font>
    <font>
      <sz val="20"/>
      <color rgb="FF000000"/>
      <name val="Calibri"/>
      <family val="2"/>
    </font>
    <font>
      <sz val="20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u/>
      <sz val="20"/>
      <color rgb="FF000000"/>
      <name val="Calibri"/>
      <family val="2"/>
    </font>
    <font>
      <sz val="20"/>
      <color rgb="FF000000"/>
      <name val="Times New Roman"/>
      <family val="1"/>
    </font>
    <font>
      <sz val="20"/>
      <color indexed="8"/>
      <name val="Times New Roman"/>
      <family val="1"/>
    </font>
    <font>
      <sz val="20"/>
      <name val="Arial"/>
      <family val="2"/>
    </font>
    <font>
      <b/>
      <sz val="20"/>
      <name val="Times New Roman"/>
      <family val="1"/>
    </font>
    <font>
      <b/>
      <sz val="20"/>
      <color theme="1"/>
      <name val="Aptos Narrow"/>
      <family val="2"/>
      <scheme val="minor"/>
    </font>
    <font>
      <sz val="20"/>
      <color rgb="FF000000"/>
      <name val="Calibri Light"/>
      <family val="2"/>
    </font>
    <font>
      <b/>
      <sz val="20"/>
      <color indexed="8"/>
      <name val="Calibri Light"/>
      <family val="2"/>
    </font>
    <font>
      <b/>
      <sz val="20"/>
      <color rgb="FF000000"/>
      <name val="Times New Roman"/>
      <family val="1"/>
    </font>
    <font>
      <b/>
      <sz val="20"/>
      <color rgb="FF151616"/>
      <name val="TimesNewRomanPS-BoldMT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 applyAlignment="1">
      <alignment horizontal="right" vertical="center"/>
    </xf>
    <xf numFmtId="1" fontId="2" fillId="2" borderId="2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left" vertical="center"/>
    </xf>
    <xf numFmtId="0" fontId="2" fillId="2" borderId="7" xfId="0" applyFont="1" applyFill="1" applyBorder="1"/>
    <xf numFmtId="164" fontId="3" fillId="0" borderId="7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2" borderId="0" xfId="0" applyFont="1" applyFill="1"/>
    <xf numFmtId="165" fontId="3" fillId="0" borderId="7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7" xfId="0" applyFont="1" applyBorder="1" applyAlignment="1">
      <alignment horizontal="center" vertical="center"/>
    </xf>
    <xf numFmtId="0" fontId="2" fillId="4" borderId="4" xfId="0" applyFont="1" applyFill="1" applyBorder="1"/>
    <xf numFmtId="0" fontId="1" fillId="4" borderId="5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2" fillId="2" borderId="18" xfId="0" applyFont="1" applyFill="1" applyBorder="1"/>
    <xf numFmtId="0" fontId="2" fillId="2" borderId="19" xfId="0" applyFont="1" applyFill="1" applyBorder="1"/>
    <xf numFmtId="0" fontId="2" fillId="2" borderId="5" xfId="0" applyFont="1" applyFill="1" applyBorder="1"/>
    <xf numFmtId="0" fontId="2" fillId="2" borderId="9" xfId="0" applyFont="1" applyFill="1" applyBorder="1"/>
    <xf numFmtId="0" fontId="4" fillId="2" borderId="0" xfId="0" applyFont="1" applyFill="1" applyAlignment="1">
      <alignment horizontal="left"/>
    </xf>
    <xf numFmtId="0" fontId="14" fillId="0" borderId="0" xfId="0" applyFont="1" applyAlignment="1"/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4" borderId="17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0" borderId="2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9" fontId="13" fillId="2" borderId="7" xfId="0" applyNumberFormat="1" applyFont="1" applyFill="1" applyBorder="1" applyAlignment="1">
      <alignment horizontal="right"/>
    </xf>
    <xf numFmtId="9" fontId="2" fillId="2" borderId="7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right"/>
    </xf>
    <xf numFmtId="0" fontId="1" fillId="2" borderId="23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top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2" fillId="2" borderId="3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/>
    <xf numFmtId="0" fontId="2" fillId="2" borderId="0" xfId="0" applyFont="1" applyFill="1" applyAlignment="1">
      <alignment horizontal="left" wrapText="1"/>
    </xf>
    <xf numFmtId="15" fontId="2" fillId="2" borderId="0" xfId="0" applyNumberFormat="1" applyFont="1" applyFill="1" applyAlignment="1">
      <alignment horizontal="left"/>
    </xf>
    <xf numFmtId="15" fontId="2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3"/>
  <sheetViews>
    <sheetView tabSelected="1" view="pageBreakPreview" zoomScale="60" zoomScaleNormal="55" workbookViewId="0">
      <selection activeCell="V15" sqref="V15:W15"/>
    </sheetView>
  </sheetViews>
  <sheetFormatPr defaultColWidth="10.375" defaultRowHeight="25.5"/>
  <cols>
    <col min="1" max="1" width="6.375" style="3" customWidth="1"/>
    <col min="2" max="9" width="8.875" style="3" customWidth="1"/>
    <col min="10" max="10" width="9.375" style="3" customWidth="1"/>
    <col min="11" max="19" width="8.875" style="3" customWidth="1"/>
    <col min="20" max="20" width="14" style="3" customWidth="1"/>
    <col min="21" max="21" width="8.875" style="3" customWidth="1"/>
    <col min="22" max="22" width="12.375" style="3" customWidth="1"/>
    <col min="23" max="23" width="14.625" style="3" customWidth="1"/>
    <col min="24" max="24" width="21.375" style="3" bestFit="1" customWidth="1"/>
    <col min="25" max="25" width="16.375" style="3" bestFit="1" customWidth="1"/>
    <col min="26" max="26" width="26.875" style="3" customWidth="1"/>
    <col min="27" max="27" width="21.875" style="3" bestFit="1" customWidth="1"/>
    <col min="28" max="29" width="9.125" style="3"/>
    <col min="30" max="16384" width="10.375" style="3"/>
  </cols>
  <sheetData>
    <row r="1" spans="1:27" ht="26.25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2"/>
      <c r="Y1" s="2"/>
      <c r="Z1" s="2"/>
      <c r="AA1" s="2"/>
    </row>
    <row r="2" spans="1:27" ht="26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</row>
    <row r="3" spans="1:27" ht="26.25" customHeight="1">
      <c r="A3" s="109" t="s">
        <v>1</v>
      </c>
      <c r="B3" s="109"/>
      <c r="C3" s="117" t="s">
        <v>112</v>
      </c>
      <c r="D3" s="117"/>
      <c r="E3" s="117"/>
      <c r="F3" s="117"/>
      <c r="G3" s="117"/>
      <c r="H3" s="119"/>
      <c r="I3" s="119"/>
      <c r="J3" s="109" t="s">
        <v>2</v>
      </c>
      <c r="K3" s="109"/>
      <c r="L3" s="120"/>
      <c r="M3" s="120"/>
      <c r="N3" s="120"/>
      <c r="O3" s="120"/>
      <c r="P3" s="120"/>
      <c r="Q3" s="6"/>
      <c r="R3" s="6"/>
      <c r="S3" s="109" t="s">
        <v>3</v>
      </c>
      <c r="T3" s="109"/>
      <c r="U3" s="121">
        <f ca="1">TODAY()</f>
        <v>46053</v>
      </c>
      <c r="V3" s="121"/>
      <c r="W3" s="121"/>
      <c r="X3" s="2"/>
      <c r="Y3" s="2"/>
      <c r="Z3" s="2"/>
      <c r="AA3" s="2"/>
    </row>
    <row r="4" spans="1:27" ht="26.25" customHeight="1">
      <c r="A4" s="109"/>
      <c r="B4" s="109"/>
      <c r="C4" s="117"/>
      <c r="D4" s="117"/>
      <c r="E4" s="117"/>
      <c r="F4" s="117"/>
      <c r="G4" s="117"/>
      <c r="H4" s="119"/>
      <c r="I4" s="119"/>
      <c r="J4" s="109"/>
      <c r="K4" s="109"/>
      <c r="L4" s="5"/>
      <c r="M4" s="5"/>
      <c r="N4" s="5"/>
      <c r="O4" s="5"/>
      <c r="P4" s="5"/>
      <c r="Q4" s="5"/>
      <c r="R4" s="5"/>
      <c r="S4" s="109"/>
      <c r="T4" s="109"/>
      <c r="U4" s="121"/>
      <c r="V4" s="121"/>
      <c r="W4" s="121"/>
      <c r="X4" s="2"/>
      <c r="Y4" s="2"/>
      <c r="Z4" s="2"/>
      <c r="AA4" s="2"/>
    </row>
    <row r="5" spans="1:27" ht="26.25" customHeight="1">
      <c r="A5" s="109"/>
      <c r="B5" s="109"/>
      <c r="C5" s="118"/>
      <c r="D5" s="118"/>
      <c r="E5" s="118"/>
      <c r="F5" s="118"/>
      <c r="G5" s="118"/>
      <c r="H5" s="119"/>
      <c r="I5" s="119"/>
      <c r="J5" s="109"/>
      <c r="K5" s="109"/>
      <c r="L5" s="40" t="s">
        <v>109</v>
      </c>
      <c r="M5" s="39"/>
      <c r="N5" s="39"/>
      <c r="O5" s="39"/>
      <c r="P5" s="39"/>
      <c r="Q5" s="39"/>
      <c r="R5" s="39"/>
      <c r="S5" s="109"/>
      <c r="T5" s="109"/>
      <c r="U5" s="122"/>
      <c r="V5" s="122"/>
      <c r="W5" s="122"/>
      <c r="X5" s="7" t="s">
        <v>4</v>
      </c>
      <c r="Y5" s="8">
        <f>540/R73</f>
        <v>23.877745940783189</v>
      </c>
      <c r="Z5" s="7" t="s">
        <v>5</v>
      </c>
      <c r="AA5" s="8">
        <v>79</v>
      </c>
    </row>
    <row r="6" spans="1:27" ht="26.25">
      <c r="A6" s="109" t="s">
        <v>6</v>
      </c>
      <c r="B6" s="109"/>
      <c r="C6" s="114" t="s">
        <v>111</v>
      </c>
      <c r="D6" s="114"/>
      <c r="E6" s="114"/>
      <c r="F6" s="114"/>
      <c r="G6" s="114"/>
      <c r="H6" s="6"/>
      <c r="I6" s="6"/>
      <c r="J6" s="109" t="s">
        <v>7</v>
      </c>
      <c r="K6" s="109"/>
      <c r="L6" s="115" t="s">
        <v>110</v>
      </c>
      <c r="M6" s="115"/>
      <c r="N6" s="115"/>
      <c r="O6" s="115"/>
      <c r="P6" s="115"/>
      <c r="Q6" s="6"/>
      <c r="R6" s="6"/>
      <c r="S6" s="109" t="s">
        <v>8</v>
      </c>
      <c r="T6" s="109"/>
      <c r="U6" s="115" t="s">
        <v>108</v>
      </c>
      <c r="V6" s="115"/>
      <c r="W6" s="115"/>
      <c r="X6" s="7" t="s">
        <v>9</v>
      </c>
      <c r="Y6" s="8">
        <f>Y5*AA5</f>
        <v>1886.3419293218719</v>
      </c>
      <c r="Z6" s="7" t="s">
        <v>10</v>
      </c>
      <c r="AA6" s="8">
        <f>Y6/9</f>
        <v>209.59354770243021</v>
      </c>
    </row>
    <row r="7" spans="1:27" ht="26.25">
      <c r="A7" s="4"/>
      <c r="B7" s="4"/>
      <c r="C7" s="5"/>
      <c r="D7" s="5"/>
      <c r="E7" s="5"/>
      <c r="F7" s="5"/>
      <c r="G7" s="5"/>
      <c r="H7" s="6"/>
      <c r="I7" s="6"/>
      <c r="J7" s="4"/>
      <c r="K7" s="4"/>
      <c r="L7" s="5"/>
      <c r="M7" s="5"/>
      <c r="N7" s="5"/>
      <c r="O7" s="5"/>
      <c r="P7" s="5"/>
      <c r="Q7" s="6"/>
      <c r="R7" s="6"/>
      <c r="S7" s="4"/>
      <c r="T7" s="4"/>
      <c r="U7" s="5"/>
      <c r="V7" s="5"/>
      <c r="W7" s="5"/>
      <c r="X7" s="2"/>
      <c r="Y7" s="2"/>
      <c r="Z7" s="2"/>
      <c r="AA7" s="2"/>
    </row>
    <row r="8" spans="1:27" ht="26.25" customHeight="1">
      <c r="A8" s="109" t="s">
        <v>11</v>
      </c>
      <c r="B8" s="109"/>
      <c r="C8" s="109"/>
      <c r="D8" s="110" t="s">
        <v>107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2"/>
    </row>
    <row r="9" spans="1:27" ht="26.25">
      <c r="A9" s="4"/>
      <c r="B9" s="4"/>
      <c r="C9" s="5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2"/>
    </row>
    <row r="10" spans="1:27" ht="26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2"/>
      <c r="Y10" s="2"/>
      <c r="Z10" s="2"/>
      <c r="AA10" s="2"/>
    </row>
    <row r="11" spans="1:27" ht="57" customHeight="1">
      <c r="A11" s="9" t="s">
        <v>12</v>
      </c>
      <c r="B11" s="111" t="s">
        <v>13</v>
      </c>
      <c r="C11" s="112"/>
      <c r="D11" s="112"/>
      <c r="E11" s="112"/>
      <c r="F11" s="112"/>
      <c r="G11" s="112"/>
      <c r="H11" s="112"/>
      <c r="I11" s="113"/>
      <c r="J11" s="111" t="s">
        <v>14</v>
      </c>
      <c r="K11" s="112"/>
      <c r="L11" s="112"/>
      <c r="M11" s="113"/>
      <c r="N11" s="111" t="s">
        <v>15</v>
      </c>
      <c r="O11" s="112"/>
      <c r="P11" s="112"/>
      <c r="Q11" s="113"/>
      <c r="R11" s="111" t="s">
        <v>16</v>
      </c>
      <c r="S11" s="113"/>
      <c r="T11" s="111" t="s">
        <v>17</v>
      </c>
      <c r="U11" s="113"/>
      <c r="V11" s="111" t="s">
        <v>18</v>
      </c>
      <c r="W11" s="113"/>
      <c r="X11" s="10" t="s">
        <v>19</v>
      </c>
      <c r="Y11" s="10" t="s">
        <v>20</v>
      </c>
      <c r="Z11" s="10" t="s">
        <v>21</v>
      </c>
      <c r="AA11" s="10" t="s">
        <v>22</v>
      </c>
    </row>
    <row r="12" spans="1:27" ht="26.25" customHeight="1">
      <c r="A12" s="11"/>
      <c r="B12" s="12" t="s">
        <v>23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60"/>
      <c r="S12" s="60"/>
      <c r="T12" s="60"/>
      <c r="U12" s="60"/>
      <c r="V12" s="60"/>
      <c r="W12" s="60"/>
      <c r="X12" s="15"/>
      <c r="Y12" s="16"/>
      <c r="Z12" s="16"/>
      <c r="AA12" s="17"/>
    </row>
    <row r="13" spans="1:27" ht="26.25" customHeight="1">
      <c r="A13" s="18">
        <v>1</v>
      </c>
      <c r="B13" s="41" t="s">
        <v>27</v>
      </c>
      <c r="C13" s="41"/>
      <c r="D13" s="41"/>
      <c r="E13" s="41"/>
      <c r="F13" s="41"/>
      <c r="G13" s="41"/>
      <c r="H13" s="41"/>
      <c r="I13" s="41"/>
      <c r="J13" s="42" t="s">
        <v>28</v>
      </c>
      <c r="K13" s="42"/>
      <c r="L13" s="42"/>
      <c r="M13" s="42"/>
      <c r="N13" s="43" t="s">
        <v>25</v>
      </c>
      <c r="O13" s="44"/>
      <c r="P13" s="44"/>
      <c r="Q13" s="45"/>
      <c r="R13" s="53">
        <v>0.52</v>
      </c>
      <c r="S13" s="53"/>
      <c r="T13" s="53">
        <f>R13</f>
        <v>0.52</v>
      </c>
      <c r="U13" s="53"/>
      <c r="V13" s="53"/>
      <c r="W13" s="53"/>
      <c r="X13" s="19">
        <f t="shared" ref="X13:X54" si="0">60/R13</f>
        <v>115.38461538461539</v>
      </c>
      <c r="Y13" s="19">
        <f t="shared" ref="Y13:Y54" si="1">X13*0.95</f>
        <v>109.61538461538461</v>
      </c>
      <c r="Z13" s="20">
        <f t="shared" ref="Z13:Z54" si="2">AA$6/Y13</f>
        <v>1.9120814878116441</v>
      </c>
      <c r="AA13" s="21">
        <v>2</v>
      </c>
    </row>
    <row r="14" spans="1:27" ht="26.25" customHeight="1">
      <c r="A14" s="18">
        <v>2</v>
      </c>
      <c r="B14" s="41" t="s">
        <v>29</v>
      </c>
      <c r="C14" s="41"/>
      <c r="D14" s="41"/>
      <c r="E14" s="41"/>
      <c r="F14" s="41"/>
      <c r="G14" s="41"/>
      <c r="H14" s="41"/>
      <c r="I14" s="41"/>
      <c r="J14" s="42" t="s">
        <v>30</v>
      </c>
      <c r="K14" s="42"/>
      <c r="L14" s="42"/>
      <c r="M14" s="42"/>
      <c r="N14" s="43" t="s">
        <v>25</v>
      </c>
      <c r="O14" s="44"/>
      <c r="P14" s="44"/>
      <c r="Q14" s="45"/>
      <c r="R14" s="53">
        <v>0.24</v>
      </c>
      <c r="S14" s="53"/>
      <c r="T14" s="53"/>
      <c r="U14" s="53"/>
      <c r="V14" s="53">
        <f>R14</f>
        <v>0.24</v>
      </c>
      <c r="W14" s="53"/>
      <c r="X14" s="19">
        <f t="shared" si="0"/>
        <v>250</v>
      </c>
      <c r="Y14" s="19">
        <f t="shared" si="1"/>
        <v>237.5</v>
      </c>
      <c r="Z14" s="20">
        <f t="shared" si="2"/>
        <v>0.88249914822075881</v>
      </c>
      <c r="AA14" s="21">
        <v>1</v>
      </c>
    </row>
    <row r="15" spans="1:27" ht="26.25" customHeight="1">
      <c r="A15" s="18">
        <v>3</v>
      </c>
      <c r="B15" s="41" t="s">
        <v>31</v>
      </c>
      <c r="C15" s="41"/>
      <c r="D15" s="41"/>
      <c r="E15" s="41"/>
      <c r="F15" s="41"/>
      <c r="G15" s="41"/>
      <c r="H15" s="41"/>
      <c r="I15" s="41"/>
      <c r="J15" s="42" t="s">
        <v>28</v>
      </c>
      <c r="K15" s="42"/>
      <c r="L15" s="42"/>
      <c r="M15" s="42"/>
      <c r="N15" s="43" t="s">
        <v>25</v>
      </c>
      <c r="O15" s="44"/>
      <c r="P15" s="44"/>
      <c r="Q15" s="45"/>
      <c r="R15" s="53">
        <v>0.4</v>
      </c>
      <c r="S15" s="53"/>
      <c r="T15" s="53">
        <f>R15</f>
        <v>0.4</v>
      </c>
      <c r="U15" s="53"/>
      <c r="V15" s="53"/>
      <c r="W15" s="53"/>
      <c r="X15" s="19">
        <f t="shared" si="0"/>
        <v>150</v>
      </c>
      <c r="Y15" s="19">
        <f t="shared" si="1"/>
        <v>142.5</v>
      </c>
      <c r="Z15" s="20">
        <f t="shared" si="2"/>
        <v>1.4708319137012646</v>
      </c>
      <c r="AA15" s="21">
        <v>1.5</v>
      </c>
    </row>
    <row r="16" spans="1:27" ht="26.25" customHeight="1">
      <c r="A16" s="18">
        <v>4</v>
      </c>
      <c r="B16" s="41" t="s">
        <v>32</v>
      </c>
      <c r="C16" s="41"/>
      <c r="D16" s="41"/>
      <c r="E16" s="41"/>
      <c r="F16" s="41"/>
      <c r="G16" s="41"/>
      <c r="H16" s="41"/>
      <c r="I16" s="41"/>
      <c r="J16" s="42" t="s">
        <v>33</v>
      </c>
      <c r="K16" s="42"/>
      <c r="L16" s="42"/>
      <c r="M16" s="42"/>
      <c r="N16" s="43" t="s">
        <v>25</v>
      </c>
      <c r="O16" s="44"/>
      <c r="P16" s="44"/>
      <c r="Q16" s="45"/>
      <c r="R16" s="53">
        <v>0.15</v>
      </c>
      <c r="S16" s="53"/>
      <c r="T16" s="107"/>
      <c r="U16" s="108"/>
      <c r="V16" s="107">
        <f>R16</f>
        <v>0.15</v>
      </c>
      <c r="W16" s="108"/>
      <c r="X16" s="19">
        <f t="shared" si="0"/>
        <v>400</v>
      </c>
      <c r="Y16" s="19">
        <f t="shared" si="1"/>
        <v>380</v>
      </c>
      <c r="Z16" s="20">
        <f t="shared" si="2"/>
        <v>0.55156196763797427</v>
      </c>
      <c r="AA16" s="21">
        <v>1</v>
      </c>
    </row>
    <row r="17" spans="1:27" ht="26.25" customHeight="1">
      <c r="A17" s="18">
        <v>5</v>
      </c>
      <c r="B17" s="41" t="s">
        <v>34</v>
      </c>
      <c r="C17" s="41"/>
      <c r="D17" s="41"/>
      <c r="E17" s="41"/>
      <c r="F17" s="41"/>
      <c r="G17" s="41"/>
      <c r="H17" s="41"/>
      <c r="I17" s="41"/>
      <c r="J17" s="42" t="s">
        <v>28</v>
      </c>
      <c r="K17" s="42"/>
      <c r="L17" s="42"/>
      <c r="M17" s="42"/>
      <c r="N17" s="43" t="s">
        <v>35</v>
      </c>
      <c r="O17" s="44"/>
      <c r="P17" s="44"/>
      <c r="Q17" s="45"/>
      <c r="R17" s="53">
        <v>0.21</v>
      </c>
      <c r="S17" s="53"/>
      <c r="T17" s="53">
        <f>R17</f>
        <v>0.21</v>
      </c>
      <c r="U17" s="53"/>
      <c r="V17" s="53"/>
      <c r="W17" s="53"/>
      <c r="X17" s="19">
        <f t="shared" si="0"/>
        <v>285.71428571428572</v>
      </c>
      <c r="Y17" s="19">
        <f t="shared" si="1"/>
        <v>271.42857142857144</v>
      </c>
      <c r="Z17" s="20">
        <f t="shared" si="2"/>
        <v>0.77218675469316389</v>
      </c>
      <c r="AA17" s="21">
        <v>1</v>
      </c>
    </row>
    <row r="18" spans="1:27" ht="26.25" customHeight="1">
      <c r="A18" s="18">
        <v>6</v>
      </c>
      <c r="B18" s="41" t="s">
        <v>36</v>
      </c>
      <c r="C18" s="41"/>
      <c r="D18" s="41"/>
      <c r="E18" s="41"/>
      <c r="F18" s="41"/>
      <c r="G18" s="41"/>
      <c r="H18" s="41"/>
      <c r="I18" s="41"/>
      <c r="J18" s="42" t="s">
        <v>28</v>
      </c>
      <c r="K18" s="42"/>
      <c r="L18" s="42"/>
      <c r="M18" s="42"/>
      <c r="N18" s="43" t="s">
        <v>25</v>
      </c>
      <c r="O18" s="44"/>
      <c r="P18" s="44"/>
      <c r="Q18" s="45"/>
      <c r="R18" s="53">
        <v>0.34</v>
      </c>
      <c r="S18" s="53"/>
      <c r="T18" s="53">
        <f>R18</f>
        <v>0.34</v>
      </c>
      <c r="U18" s="53"/>
      <c r="V18" s="53"/>
      <c r="W18" s="53"/>
      <c r="X18" s="19">
        <f t="shared" si="0"/>
        <v>176.47058823529412</v>
      </c>
      <c r="Y18" s="19">
        <f t="shared" si="1"/>
        <v>167.64705882352939</v>
      </c>
      <c r="Z18" s="20">
        <f t="shared" si="2"/>
        <v>1.250207126646075</v>
      </c>
      <c r="AA18" s="21">
        <v>1.5</v>
      </c>
    </row>
    <row r="19" spans="1:27" ht="26.25" customHeight="1">
      <c r="A19" s="18">
        <v>7</v>
      </c>
      <c r="B19" s="106" t="s">
        <v>81</v>
      </c>
      <c r="C19" s="41"/>
      <c r="D19" s="41"/>
      <c r="E19" s="41"/>
      <c r="F19" s="41"/>
      <c r="G19" s="41"/>
      <c r="H19" s="41"/>
      <c r="I19" s="41"/>
      <c r="J19" s="42" t="s">
        <v>28</v>
      </c>
      <c r="K19" s="42"/>
      <c r="L19" s="42"/>
      <c r="M19" s="42"/>
      <c r="N19" s="43" t="s">
        <v>25</v>
      </c>
      <c r="O19" s="44"/>
      <c r="P19" s="44"/>
      <c r="Q19" s="45"/>
      <c r="R19" s="53">
        <v>0.3</v>
      </c>
      <c r="S19" s="53"/>
      <c r="T19" s="53">
        <f>R19</f>
        <v>0.3</v>
      </c>
      <c r="U19" s="53"/>
      <c r="V19" s="53"/>
      <c r="W19" s="53"/>
      <c r="X19" s="19">
        <f t="shared" si="0"/>
        <v>200</v>
      </c>
      <c r="Y19" s="19">
        <f t="shared" si="1"/>
        <v>190</v>
      </c>
      <c r="Z19" s="20">
        <f t="shared" si="2"/>
        <v>1.1031239352759485</v>
      </c>
      <c r="AA19" s="21">
        <v>1.5</v>
      </c>
    </row>
    <row r="20" spans="1:27" ht="26.25" customHeight="1">
      <c r="A20" s="18">
        <v>8</v>
      </c>
      <c r="B20" s="106" t="s">
        <v>98</v>
      </c>
      <c r="C20" s="41"/>
      <c r="D20" s="41"/>
      <c r="E20" s="41"/>
      <c r="F20" s="41"/>
      <c r="G20" s="41"/>
      <c r="H20" s="41"/>
      <c r="I20" s="41"/>
      <c r="J20" s="42" t="s">
        <v>28</v>
      </c>
      <c r="K20" s="42"/>
      <c r="L20" s="42"/>
      <c r="M20" s="42"/>
      <c r="N20" s="43" t="s">
        <v>25</v>
      </c>
      <c r="O20" s="44"/>
      <c r="P20" s="44"/>
      <c r="Q20" s="45"/>
      <c r="R20" s="53">
        <v>0.5</v>
      </c>
      <c r="S20" s="53"/>
      <c r="T20" s="53">
        <f>R20</f>
        <v>0.5</v>
      </c>
      <c r="U20" s="53"/>
      <c r="V20" s="53"/>
      <c r="W20" s="53"/>
      <c r="X20" s="19">
        <f t="shared" si="0"/>
        <v>120</v>
      </c>
      <c r="Y20" s="19">
        <f t="shared" si="1"/>
        <v>114</v>
      </c>
      <c r="Z20" s="20">
        <f t="shared" si="2"/>
        <v>1.8385398921265808</v>
      </c>
      <c r="AA20" s="21">
        <v>2</v>
      </c>
    </row>
    <row r="21" spans="1:27" ht="26.25" customHeight="1">
      <c r="A21" s="18">
        <v>9</v>
      </c>
      <c r="B21" s="106" t="s">
        <v>99</v>
      </c>
      <c r="C21" s="41"/>
      <c r="D21" s="41"/>
      <c r="E21" s="41"/>
      <c r="F21" s="41"/>
      <c r="G21" s="41"/>
      <c r="H21" s="41"/>
      <c r="I21" s="41"/>
      <c r="J21" s="42" t="s">
        <v>28</v>
      </c>
      <c r="K21" s="42"/>
      <c r="L21" s="42"/>
      <c r="M21" s="42"/>
      <c r="N21" s="43" t="s">
        <v>25</v>
      </c>
      <c r="O21" s="44"/>
      <c r="P21" s="44"/>
      <c r="Q21" s="45"/>
      <c r="R21" s="53">
        <v>0.5</v>
      </c>
      <c r="S21" s="53"/>
      <c r="T21" s="53">
        <f>R21</f>
        <v>0.5</v>
      </c>
      <c r="U21" s="53"/>
      <c r="V21" s="53"/>
      <c r="W21" s="53"/>
      <c r="X21" s="19">
        <f t="shared" si="0"/>
        <v>120</v>
      </c>
      <c r="Y21" s="19">
        <f t="shared" si="1"/>
        <v>114</v>
      </c>
      <c r="Z21" s="20">
        <f t="shared" si="2"/>
        <v>1.8385398921265808</v>
      </c>
      <c r="AA21" s="21">
        <v>2</v>
      </c>
    </row>
    <row r="22" spans="1:27" ht="26.25" customHeight="1">
      <c r="A22" s="18">
        <v>10</v>
      </c>
      <c r="B22" s="41" t="s">
        <v>37</v>
      </c>
      <c r="C22" s="41"/>
      <c r="D22" s="41"/>
      <c r="E22" s="41"/>
      <c r="F22" s="41"/>
      <c r="G22" s="41"/>
      <c r="H22" s="41"/>
      <c r="I22" s="41"/>
      <c r="J22" s="42" t="s">
        <v>38</v>
      </c>
      <c r="K22" s="42"/>
      <c r="L22" s="42"/>
      <c r="M22" s="42"/>
      <c r="N22" s="43" t="s">
        <v>25</v>
      </c>
      <c r="O22" s="44"/>
      <c r="P22" s="44"/>
      <c r="Q22" s="45"/>
      <c r="R22" s="53">
        <v>0.25</v>
      </c>
      <c r="S22" s="53"/>
      <c r="T22" s="53"/>
      <c r="U22" s="53"/>
      <c r="V22" s="53">
        <f>R22</f>
        <v>0.25</v>
      </c>
      <c r="W22" s="53"/>
      <c r="X22" s="19">
        <f t="shared" si="0"/>
        <v>240</v>
      </c>
      <c r="Y22" s="19">
        <f t="shared" si="1"/>
        <v>228</v>
      </c>
      <c r="Z22" s="20">
        <f t="shared" si="2"/>
        <v>0.91926994606329038</v>
      </c>
      <c r="AA22" s="21">
        <v>1</v>
      </c>
    </row>
    <row r="23" spans="1:27" ht="26.25" customHeight="1">
      <c r="A23" s="18">
        <v>11</v>
      </c>
      <c r="B23" s="41" t="s">
        <v>39</v>
      </c>
      <c r="C23" s="41"/>
      <c r="D23" s="41"/>
      <c r="E23" s="41"/>
      <c r="F23" s="41"/>
      <c r="G23" s="41"/>
      <c r="H23" s="41"/>
      <c r="I23" s="41"/>
      <c r="J23" s="42" t="s">
        <v>40</v>
      </c>
      <c r="K23" s="42"/>
      <c r="L23" s="42"/>
      <c r="M23" s="42"/>
      <c r="N23" s="43" t="s">
        <v>25</v>
      </c>
      <c r="O23" s="44"/>
      <c r="P23" s="44"/>
      <c r="Q23" s="45"/>
      <c r="R23" s="54">
        <v>0.25</v>
      </c>
      <c r="S23" s="54"/>
      <c r="T23" s="53"/>
      <c r="U23" s="53"/>
      <c r="V23" s="53">
        <f>R23</f>
        <v>0.25</v>
      </c>
      <c r="W23" s="53"/>
      <c r="X23" s="19">
        <f t="shared" si="0"/>
        <v>240</v>
      </c>
      <c r="Y23" s="19">
        <f t="shared" si="1"/>
        <v>228</v>
      </c>
      <c r="Z23" s="20">
        <f t="shared" si="2"/>
        <v>0.91926994606329038</v>
      </c>
      <c r="AA23" s="21">
        <v>1</v>
      </c>
    </row>
    <row r="24" spans="1:27" ht="26.25" customHeight="1">
      <c r="A24" s="18">
        <v>12</v>
      </c>
      <c r="B24" s="105" t="s">
        <v>79</v>
      </c>
      <c r="C24" s="105"/>
      <c r="D24" s="105"/>
      <c r="E24" s="105"/>
      <c r="F24" s="105"/>
      <c r="G24" s="105"/>
      <c r="H24" s="105"/>
      <c r="I24" s="105"/>
      <c r="J24" s="98" t="s">
        <v>28</v>
      </c>
      <c r="K24" s="98"/>
      <c r="L24" s="98"/>
      <c r="M24" s="98"/>
      <c r="N24" s="43" t="s">
        <v>25</v>
      </c>
      <c r="O24" s="44"/>
      <c r="P24" s="44"/>
      <c r="Q24" s="45"/>
      <c r="R24" s="54">
        <v>0.27</v>
      </c>
      <c r="S24" s="54"/>
      <c r="T24" s="53">
        <f>R24</f>
        <v>0.27</v>
      </c>
      <c r="U24" s="53"/>
      <c r="V24" s="53"/>
      <c r="W24" s="53"/>
      <c r="X24" s="19">
        <f t="shared" si="0"/>
        <v>222.2222222222222</v>
      </c>
      <c r="Y24" s="19">
        <f t="shared" si="1"/>
        <v>211.11111111111109</v>
      </c>
      <c r="Z24" s="20">
        <f t="shared" si="2"/>
        <v>0.99281154174835373</v>
      </c>
      <c r="AA24" s="21">
        <v>1</v>
      </c>
    </row>
    <row r="25" spans="1:27" ht="26.25" customHeight="1">
      <c r="A25" s="18">
        <v>13</v>
      </c>
      <c r="B25" s="41" t="s">
        <v>41</v>
      </c>
      <c r="C25" s="41"/>
      <c r="D25" s="41"/>
      <c r="E25" s="41"/>
      <c r="F25" s="41"/>
      <c r="G25" s="41"/>
      <c r="H25" s="41"/>
      <c r="I25" s="41"/>
      <c r="J25" s="42" t="s">
        <v>42</v>
      </c>
      <c r="K25" s="42"/>
      <c r="L25" s="42"/>
      <c r="M25" s="42"/>
      <c r="N25" s="43" t="s">
        <v>25</v>
      </c>
      <c r="O25" s="44"/>
      <c r="P25" s="44"/>
      <c r="Q25" s="45"/>
      <c r="R25" s="53">
        <v>0.24</v>
      </c>
      <c r="S25" s="53"/>
      <c r="T25" s="54"/>
      <c r="U25" s="54"/>
      <c r="V25" s="54">
        <f>R25</f>
        <v>0.24</v>
      </c>
      <c r="W25" s="54"/>
      <c r="X25" s="19">
        <f t="shared" si="0"/>
        <v>250</v>
      </c>
      <c r="Y25" s="19">
        <f t="shared" si="1"/>
        <v>237.5</v>
      </c>
      <c r="Z25" s="20">
        <f t="shared" si="2"/>
        <v>0.88249914822075881</v>
      </c>
      <c r="AA25" s="21">
        <v>1</v>
      </c>
    </row>
    <row r="26" spans="1:27" ht="26.25" customHeight="1">
      <c r="A26" s="18">
        <v>14</v>
      </c>
      <c r="B26" s="41" t="s">
        <v>43</v>
      </c>
      <c r="C26" s="41"/>
      <c r="D26" s="41"/>
      <c r="E26" s="41"/>
      <c r="F26" s="41"/>
      <c r="G26" s="41"/>
      <c r="H26" s="41"/>
      <c r="I26" s="41"/>
      <c r="J26" s="42" t="s">
        <v>44</v>
      </c>
      <c r="K26" s="42"/>
      <c r="L26" s="42"/>
      <c r="M26" s="42"/>
      <c r="N26" s="43" t="s">
        <v>25</v>
      </c>
      <c r="O26" s="44"/>
      <c r="P26" s="44"/>
      <c r="Q26" s="45"/>
      <c r="R26" s="53">
        <v>0.26</v>
      </c>
      <c r="S26" s="53"/>
      <c r="T26" s="53"/>
      <c r="U26" s="53"/>
      <c r="V26" s="53">
        <f>R26</f>
        <v>0.26</v>
      </c>
      <c r="W26" s="53"/>
      <c r="X26" s="19">
        <f t="shared" si="0"/>
        <v>230.76923076923077</v>
      </c>
      <c r="Y26" s="19">
        <f t="shared" si="1"/>
        <v>219.23076923076923</v>
      </c>
      <c r="Z26" s="20">
        <f t="shared" si="2"/>
        <v>0.95604074390582205</v>
      </c>
      <c r="AA26" s="21">
        <v>1</v>
      </c>
    </row>
    <row r="27" spans="1:27" ht="26.25" customHeight="1">
      <c r="A27" s="18">
        <v>15</v>
      </c>
      <c r="B27" s="41" t="s">
        <v>80</v>
      </c>
      <c r="C27" s="41"/>
      <c r="D27" s="41"/>
      <c r="E27" s="41"/>
      <c r="F27" s="41"/>
      <c r="G27" s="41"/>
      <c r="H27" s="41"/>
      <c r="I27" s="41"/>
      <c r="J27" s="42" t="s">
        <v>52</v>
      </c>
      <c r="K27" s="42"/>
      <c r="L27" s="42"/>
      <c r="M27" s="42"/>
      <c r="N27" s="43" t="s">
        <v>25</v>
      </c>
      <c r="O27" s="44"/>
      <c r="P27" s="44"/>
      <c r="Q27" s="45"/>
      <c r="R27" s="53">
        <v>0.3</v>
      </c>
      <c r="S27" s="53"/>
      <c r="T27" s="53">
        <f>R27</f>
        <v>0.3</v>
      </c>
      <c r="U27" s="53"/>
      <c r="V27" s="53"/>
      <c r="W27" s="53"/>
      <c r="X27" s="19">
        <f t="shared" si="0"/>
        <v>200</v>
      </c>
      <c r="Y27" s="19">
        <f t="shared" si="1"/>
        <v>190</v>
      </c>
      <c r="Z27" s="20">
        <f t="shared" si="2"/>
        <v>1.1031239352759485</v>
      </c>
      <c r="AA27" s="21">
        <v>1</v>
      </c>
    </row>
    <row r="28" spans="1:27" ht="26.25" customHeight="1">
      <c r="A28" s="18">
        <v>16</v>
      </c>
      <c r="B28" s="41" t="s">
        <v>45</v>
      </c>
      <c r="C28" s="41"/>
      <c r="D28" s="41"/>
      <c r="E28" s="41"/>
      <c r="F28" s="41"/>
      <c r="G28" s="41"/>
      <c r="H28" s="41"/>
      <c r="I28" s="41"/>
      <c r="J28" s="104" t="s">
        <v>46</v>
      </c>
      <c r="K28" s="42"/>
      <c r="L28" s="42"/>
      <c r="M28" s="42"/>
      <c r="N28" s="43" t="s">
        <v>25</v>
      </c>
      <c r="O28" s="44"/>
      <c r="P28" s="44"/>
      <c r="Q28" s="45"/>
      <c r="R28" s="53">
        <v>0.28000000000000003</v>
      </c>
      <c r="S28" s="53"/>
      <c r="T28" s="53">
        <f>R28</f>
        <v>0.28000000000000003</v>
      </c>
      <c r="U28" s="53"/>
      <c r="V28" s="53"/>
      <c r="W28" s="53"/>
      <c r="X28" s="19">
        <f t="shared" si="0"/>
        <v>214.28571428571428</v>
      </c>
      <c r="Y28" s="19">
        <f t="shared" si="1"/>
        <v>203.57142857142856</v>
      </c>
      <c r="Z28" s="20">
        <f t="shared" si="2"/>
        <v>1.0295823395908854</v>
      </c>
      <c r="AA28" s="21">
        <v>1</v>
      </c>
    </row>
    <row r="29" spans="1:27" ht="26.2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85" t="s">
        <v>47</v>
      </c>
      <c r="O29" s="85"/>
      <c r="P29" s="85"/>
      <c r="Q29" s="85"/>
      <c r="R29" s="103">
        <f>SUM(R13:S28)</f>
        <v>5.01</v>
      </c>
      <c r="S29" s="103"/>
      <c r="T29" s="103">
        <f>SUM(T13:U28)</f>
        <v>3.62</v>
      </c>
      <c r="U29" s="103"/>
      <c r="V29" s="103">
        <f>SUM(V13:W28)</f>
        <v>1.39</v>
      </c>
      <c r="W29" s="103"/>
      <c r="X29" s="19"/>
      <c r="Y29" s="19"/>
      <c r="Z29" s="23"/>
      <c r="AA29" s="24">
        <f>SUM(AA13:AA28)</f>
        <v>20.5</v>
      </c>
    </row>
    <row r="30" spans="1:27" ht="26.25" customHeight="1">
      <c r="A30" s="11"/>
      <c r="B30" s="12" t="s">
        <v>48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/>
      <c r="S30" s="14"/>
      <c r="T30" s="14"/>
      <c r="U30" s="14"/>
      <c r="V30" s="14"/>
      <c r="W30" s="25"/>
      <c r="X30" s="26"/>
      <c r="Y30" s="26"/>
      <c r="Z30" s="26"/>
      <c r="AA30" s="26"/>
    </row>
    <row r="31" spans="1:27" ht="26.25" customHeight="1">
      <c r="A31" s="27">
        <v>1</v>
      </c>
      <c r="B31" s="100" t="s">
        <v>87</v>
      </c>
      <c r="C31" s="101"/>
      <c r="D31" s="101"/>
      <c r="E31" s="101"/>
      <c r="F31" s="101"/>
      <c r="G31" s="101"/>
      <c r="H31" s="101"/>
      <c r="I31" s="102"/>
      <c r="J31" s="42" t="s">
        <v>88</v>
      </c>
      <c r="K31" s="42"/>
      <c r="L31" s="42"/>
      <c r="M31" s="42"/>
      <c r="N31" s="43" t="s">
        <v>25</v>
      </c>
      <c r="O31" s="44"/>
      <c r="P31" s="44"/>
      <c r="Q31" s="45"/>
      <c r="R31" s="98">
        <v>0.6</v>
      </c>
      <c r="S31" s="98"/>
      <c r="T31" s="54">
        <f>R31</f>
        <v>0.6</v>
      </c>
      <c r="U31" s="54"/>
      <c r="V31" s="99"/>
      <c r="W31" s="99"/>
      <c r="X31" s="19">
        <f t="shared" si="0"/>
        <v>100</v>
      </c>
      <c r="Y31" s="19">
        <f t="shared" si="1"/>
        <v>95</v>
      </c>
      <c r="Z31" s="23">
        <f t="shared" si="2"/>
        <v>2.2062478705518971</v>
      </c>
      <c r="AA31" s="21">
        <v>2.5</v>
      </c>
    </row>
    <row r="32" spans="1:27" ht="26.25" customHeight="1">
      <c r="A32" s="27">
        <v>2</v>
      </c>
      <c r="B32" s="100" t="s">
        <v>89</v>
      </c>
      <c r="C32" s="101"/>
      <c r="D32" s="101"/>
      <c r="E32" s="101"/>
      <c r="F32" s="101"/>
      <c r="G32" s="101"/>
      <c r="H32" s="101"/>
      <c r="I32" s="102"/>
      <c r="J32" s="42" t="s">
        <v>49</v>
      </c>
      <c r="K32" s="42"/>
      <c r="L32" s="42"/>
      <c r="M32" s="42"/>
      <c r="N32" s="43" t="s">
        <v>25</v>
      </c>
      <c r="O32" s="44"/>
      <c r="P32" s="44"/>
      <c r="Q32" s="45"/>
      <c r="R32" s="98">
        <v>0.2</v>
      </c>
      <c r="S32" s="98"/>
      <c r="T32" s="54"/>
      <c r="U32" s="54"/>
      <c r="V32" s="53">
        <f>R32</f>
        <v>0.2</v>
      </c>
      <c r="W32" s="53"/>
      <c r="X32" s="19">
        <f>60/R32</f>
        <v>300</v>
      </c>
      <c r="Y32" s="19">
        <f>X32*0.95</f>
        <v>285</v>
      </c>
      <c r="Z32" s="23">
        <f>AA$6/Y32</f>
        <v>0.73541595685063232</v>
      </c>
      <c r="AA32" s="21">
        <v>1</v>
      </c>
    </row>
    <row r="33" spans="1:27" ht="26.25" customHeight="1">
      <c r="A33" s="27">
        <v>3</v>
      </c>
      <c r="B33" s="95" t="s">
        <v>50</v>
      </c>
      <c r="C33" s="96"/>
      <c r="D33" s="96"/>
      <c r="E33" s="96"/>
      <c r="F33" s="96"/>
      <c r="G33" s="96"/>
      <c r="H33" s="96"/>
      <c r="I33" s="97"/>
      <c r="J33" s="42" t="s">
        <v>26</v>
      </c>
      <c r="K33" s="42"/>
      <c r="L33" s="42"/>
      <c r="M33" s="42"/>
      <c r="N33" s="43" t="s">
        <v>51</v>
      </c>
      <c r="O33" s="44"/>
      <c r="P33" s="44"/>
      <c r="Q33" s="45"/>
      <c r="R33" s="98">
        <v>0.4</v>
      </c>
      <c r="S33" s="98"/>
      <c r="T33" s="54">
        <f t="shared" ref="T33:T35" si="3">R33</f>
        <v>0.4</v>
      </c>
      <c r="U33" s="54"/>
      <c r="V33" s="99"/>
      <c r="W33" s="99"/>
      <c r="X33" s="19">
        <f t="shared" si="0"/>
        <v>150</v>
      </c>
      <c r="Y33" s="19">
        <f t="shared" si="1"/>
        <v>142.5</v>
      </c>
      <c r="Z33" s="23">
        <f t="shared" si="2"/>
        <v>1.4708319137012646</v>
      </c>
      <c r="AA33" s="21">
        <v>1.5</v>
      </c>
    </row>
    <row r="34" spans="1:27" ht="26.25" customHeight="1">
      <c r="A34" s="27">
        <v>4</v>
      </c>
      <c r="B34" s="41" t="s">
        <v>90</v>
      </c>
      <c r="C34" s="41"/>
      <c r="D34" s="41"/>
      <c r="E34" s="41"/>
      <c r="F34" s="41"/>
      <c r="G34" s="41"/>
      <c r="H34" s="41"/>
      <c r="I34" s="41"/>
      <c r="J34" s="42" t="s">
        <v>52</v>
      </c>
      <c r="K34" s="42"/>
      <c r="L34" s="42"/>
      <c r="M34" s="42"/>
      <c r="N34" s="43" t="s">
        <v>25</v>
      </c>
      <c r="O34" s="44"/>
      <c r="P34" s="44"/>
      <c r="Q34" s="45"/>
      <c r="R34" s="53">
        <v>0.66</v>
      </c>
      <c r="S34" s="53"/>
      <c r="T34" s="53">
        <f t="shared" si="3"/>
        <v>0.66</v>
      </c>
      <c r="U34" s="53"/>
      <c r="V34" s="53"/>
      <c r="W34" s="53"/>
      <c r="X34" s="19">
        <f t="shared" si="0"/>
        <v>90.909090909090907</v>
      </c>
      <c r="Y34" s="19">
        <f t="shared" si="1"/>
        <v>86.36363636363636</v>
      </c>
      <c r="Z34" s="23">
        <f t="shared" si="2"/>
        <v>2.4268726576070869</v>
      </c>
      <c r="AA34" s="21">
        <v>2.5</v>
      </c>
    </row>
    <row r="35" spans="1:27" ht="26.25" customHeight="1">
      <c r="A35" s="27">
        <v>5</v>
      </c>
      <c r="B35" s="41" t="s">
        <v>53</v>
      </c>
      <c r="C35" s="41"/>
      <c r="D35" s="41"/>
      <c r="E35" s="41"/>
      <c r="F35" s="41"/>
      <c r="G35" s="41"/>
      <c r="H35" s="41"/>
      <c r="I35" s="41"/>
      <c r="J35" s="42" t="s">
        <v>52</v>
      </c>
      <c r="K35" s="42"/>
      <c r="L35" s="42"/>
      <c r="M35" s="42"/>
      <c r="N35" s="43" t="s">
        <v>25</v>
      </c>
      <c r="O35" s="44"/>
      <c r="P35" s="44"/>
      <c r="Q35" s="45"/>
      <c r="R35" s="53">
        <v>0.2</v>
      </c>
      <c r="S35" s="53"/>
      <c r="T35" s="53">
        <f t="shared" si="3"/>
        <v>0.2</v>
      </c>
      <c r="U35" s="53"/>
      <c r="V35" s="53"/>
      <c r="W35" s="53"/>
      <c r="X35" s="19">
        <f t="shared" si="0"/>
        <v>300</v>
      </c>
      <c r="Y35" s="19">
        <f t="shared" si="1"/>
        <v>285</v>
      </c>
      <c r="Z35" s="23">
        <f t="shared" si="2"/>
        <v>0.73541595685063232</v>
      </c>
      <c r="AA35" s="21">
        <v>1</v>
      </c>
    </row>
    <row r="36" spans="1:27" ht="26.25" customHeight="1">
      <c r="A36" s="27">
        <v>6</v>
      </c>
      <c r="B36" s="41" t="s">
        <v>54</v>
      </c>
      <c r="C36" s="41"/>
      <c r="D36" s="41"/>
      <c r="E36" s="41"/>
      <c r="F36" s="41"/>
      <c r="G36" s="41"/>
      <c r="H36" s="41"/>
      <c r="I36" s="41"/>
      <c r="J36" s="42" t="s">
        <v>49</v>
      </c>
      <c r="K36" s="42"/>
      <c r="L36" s="42"/>
      <c r="M36" s="42"/>
      <c r="N36" s="43" t="s">
        <v>25</v>
      </c>
      <c r="O36" s="44"/>
      <c r="P36" s="44"/>
      <c r="Q36" s="45"/>
      <c r="R36" s="94">
        <v>0.3</v>
      </c>
      <c r="S36" s="94"/>
      <c r="T36" s="53"/>
      <c r="U36" s="53"/>
      <c r="V36" s="53">
        <f>R36</f>
        <v>0.3</v>
      </c>
      <c r="W36" s="53"/>
      <c r="X36" s="19">
        <f t="shared" si="0"/>
        <v>200</v>
      </c>
      <c r="Y36" s="19">
        <f t="shared" si="1"/>
        <v>190</v>
      </c>
      <c r="Z36" s="23">
        <f t="shared" si="2"/>
        <v>1.1031239352759485</v>
      </c>
      <c r="AA36" s="21">
        <v>1</v>
      </c>
    </row>
    <row r="37" spans="1:27" ht="26.25" customHeight="1">
      <c r="A37" s="27">
        <v>7</v>
      </c>
      <c r="B37" s="41" t="s">
        <v>97</v>
      </c>
      <c r="C37" s="41"/>
      <c r="D37" s="41"/>
      <c r="E37" s="41"/>
      <c r="F37" s="41"/>
      <c r="G37" s="41"/>
      <c r="H37" s="41"/>
      <c r="I37" s="41"/>
      <c r="J37" s="42" t="s">
        <v>55</v>
      </c>
      <c r="K37" s="42"/>
      <c r="L37" s="42"/>
      <c r="M37" s="42"/>
      <c r="N37" s="43" t="s">
        <v>25</v>
      </c>
      <c r="O37" s="44"/>
      <c r="P37" s="44"/>
      <c r="Q37" s="45"/>
      <c r="R37" s="53">
        <v>0.56000000000000005</v>
      </c>
      <c r="S37" s="53"/>
      <c r="T37" s="53">
        <f>R37</f>
        <v>0.56000000000000005</v>
      </c>
      <c r="U37" s="53"/>
      <c r="V37" s="53"/>
      <c r="W37" s="53"/>
      <c r="X37" s="19">
        <f t="shared" si="0"/>
        <v>107.14285714285714</v>
      </c>
      <c r="Y37" s="19">
        <f t="shared" si="1"/>
        <v>101.78571428571428</v>
      </c>
      <c r="Z37" s="23">
        <f t="shared" si="2"/>
        <v>2.0591646791817708</v>
      </c>
      <c r="AA37" s="21">
        <v>2</v>
      </c>
    </row>
    <row r="38" spans="1:27" ht="26.25" customHeight="1">
      <c r="A38" s="27">
        <v>8</v>
      </c>
      <c r="B38" s="41" t="s">
        <v>56</v>
      </c>
      <c r="C38" s="41"/>
      <c r="D38" s="41"/>
      <c r="E38" s="41"/>
      <c r="F38" s="41"/>
      <c r="G38" s="41"/>
      <c r="H38" s="41"/>
      <c r="I38" s="41"/>
      <c r="J38" s="42" t="s">
        <v>55</v>
      </c>
      <c r="K38" s="42"/>
      <c r="L38" s="42"/>
      <c r="M38" s="42"/>
      <c r="N38" s="43" t="s">
        <v>25</v>
      </c>
      <c r="O38" s="44"/>
      <c r="P38" s="44"/>
      <c r="Q38" s="45"/>
      <c r="R38" s="53">
        <v>0.3</v>
      </c>
      <c r="S38" s="53"/>
      <c r="T38" s="53">
        <f>R38</f>
        <v>0.3</v>
      </c>
      <c r="U38" s="53"/>
      <c r="V38" s="53"/>
      <c r="W38" s="53"/>
      <c r="X38" s="19">
        <f t="shared" si="0"/>
        <v>200</v>
      </c>
      <c r="Y38" s="19">
        <f t="shared" si="1"/>
        <v>190</v>
      </c>
      <c r="Z38" s="23">
        <f t="shared" si="2"/>
        <v>1.1031239352759485</v>
      </c>
      <c r="AA38" s="21">
        <v>1</v>
      </c>
    </row>
    <row r="39" spans="1:27" ht="26.25" customHeight="1">
      <c r="A39" s="27">
        <v>9</v>
      </c>
      <c r="B39" s="86" t="s">
        <v>57</v>
      </c>
      <c r="C39" s="87"/>
      <c r="D39" s="87"/>
      <c r="E39" s="87"/>
      <c r="F39" s="87"/>
      <c r="G39" s="87"/>
      <c r="H39" s="87"/>
      <c r="I39" s="88"/>
      <c r="J39" s="89" t="s">
        <v>26</v>
      </c>
      <c r="K39" s="90"/>
      <c r="L39" s="90"/>
      <c r="M39" s="91"/>
      <c r="N39" s="43" t="s">
        <v>25</v>
      </c>
      <c r="O39" s="44"/>
      <c r="P39" s="44"/>
      <c r="Q39" s="45"/>
      <c r="R39" s="51">
        <v>0.5</v>
      </c>
      <c r="S39" s="52"/>
      <c r="T39" s="51">
        <f>R39</f>
        <v>0.5</v>
      </c>
      <c r="U39" s="52"/>
      <c r="V39" s="51"/>
      <c r="W39" s="52"/>
      <c r="X39" s="19">
        <f t="shared" si="0"/>
        <v>120</v>
      </c>
      <c r="Y39" s="19">
        <f t="shared" si="1"/>
        <v>114</v>
      </c>
      <c r="Z39" s="23">
        <f t="shared" si="2"/>
        <v>1.8385398921265808</v>
      </c>
      <c r="AA39" s="21">
        <v>2</v>
      </c>
    </row>
    <row r="40" spans="1:27" ht="26.25" customHeight="1">
      <c r="A40" s="27">
        <v>10</v>
      </c>
      <c r="B40" s="86" t="s">
        <v>58</v>
      </c>
      <c r="C40" s="87"/>
      <c r="D40" s="87"/>
      <c r="E40" s="87"/>
      <c r="F40" s="87"/>
      <c r="G40" s="87"/>
      <c r="H40" s="87"/>
      <c r="I40" s="88"/>
      <c r="J40" s="89" t="s">
        <v>49</v>
      </c>
      <c r="K40" s="90"/>
      <c r="L40" s="90"/>
      <c r="M40" s="91"/>
      <c r="N40" s="43" t="s">
        <v>25</v>
      </c>
      <c r="O40" s="44"/>
      <c r="P40" s="44"/>
      <c r="Q40" s="45"/>
      <c r="R40" s="92">
        <v>0.25</v>
      </c>
      <c r="S40" s="93"/>
      <c r="T40" s="51"/>
      <c r="U40" s="52"/>
      <c r="V40" s="51">
        <f>R40</f>
        <v>0.25</v>
      </c>
      <c r="W40" s="52"/>
      <c r="X40" s="19">
        <f t="shared" si="0"/>
        <v>240</v>
      </c>
      <c r="Y40" s="19">
        <f t="shared" si="1"/>
        <v>228</v>
      </c>
      <c r="Z40" s="23">
        <f t="shared" si="2"/>
        <v>0.91926994606329038</v>
      </c>
      <c r="AA40" s="21">
        <v>1</v>
      </c>
    </row>
    <row r="41" spans="1:27" ht="26.2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5" t="s">
        <v>47</v>
      </c>
      <c r="O41" s="85"/>
      <c r="P41" s="85"/>
      <c r="Q41" s="85"/>
      <c r="R41" s="85">
        <f>SUM(R31:S40)</f>
        <v>3.97</v>
      </c>
      <c r="S41" s="85"/>
      <c r="T41" s="85">
        <f>SUM(T31:U40)</f>
        <v>3.2199999999999998</v>
      </c>
      <c r="U41" s="85"/>
      <c r="V41" s="85">
        <f>SUM(V31:W40)</f>
        <v>0.75</v>
      </c>
      <c r="W41" s="85"/>
      <c r="X41" s="19"/>
      <c r="Y41" s="19"/>
      <c r="Z41" s="23"/>
      <c r="AA41" s="28">
        <f>SUM(AA31:AA40)</f>
        <v>15.5</v>
      </c>
    </row>
    <row r="42" spans="1:27" ht="26.25" customHeight="1">
      <c r="A42" s="29"/>
      <c r="B42" s="30" t="s">
        <v>61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2"/>
      <c r="T42" s="32"/>
      <c r="U42" s="32"/>
      <c r="V42" s="32"/>
      <c r="W42" s="33"/>
      <c r="X42" s="34"/>
      <c r="Y42" s="34"/>
      <c r="Z42" s="34"/>
      <c r="AA42" s="34"/>
    </row>
    <row r="43" spans="1:27" ht="39.75" customHeight="1">
      <c r="A43" s="35">
        <v>1</v>
      </c>
      <c r="B43" s="46" t="s">
        <v>91</v>
      </c>
      <c r="C43" s="46"/>
      <c r="D43" s="46"/>
      <c r="E43" s="46"/>
      <c r="F43" s="46"/>
      <c r="G43" s="46"/>
      <c r="H43" s="46"/>
      <c r="I43" s="46"/>
      <c r="J43" s="47" t="s">
        <v>24</v>
      </c>
      <c r="K43" s="47"/>
      <c r="L43" s="47"/>
      <c r="M43" s="47"/>
      <c r="N43" s="43" t="s">
        <v>25</v>
      </c>
      <c r="O43" s="44"/>
      <c r="P43" s="44"/>
      <c r="Q43" s="45"/>
      <c r="R43" s="50">
        <v>0.45</v>
      </c>
      <c r="S43" s="50"/>
      <c r="T43" s="51"/>
      <c r="U43" s="52"/>
      <c r="V43" s="51">
        <f>R43</f>
        <v>0.45</v>
      </c>
      <c r="W43" s="52"/>
      <c r="X43" s="19">
        <f t="shared" ref="X43" si="4">60/R43</f>
        <v>133.33333333333334</v>
      </c>
      <c r="Y43" s="19">
        <f t="shared" ref="Y43" si="5">X43*0.95</f>
        <v>126.66666666666667</v>
      </c>
      <c r="Z43" s="23">
        <f t="shared" ref="Z43" si="6">AA$6/Y43</f>
        <v>1.6546859029139227</v>
      </c>
      <c r="AA43" s="21">
        <v>2</v>
      </c>
    </row>
    <row r="44" spans="1:27" ht="48" customHeight="1">
      <c r="A44" s="35">
        <v>2</v>
      </c>
      <c r="B44" s="48" t="s">
        <v>96</v>
      </c>
      <c r="C44" s="49"/>
      <c r="D44" s="49"/>
      <c r="E44" s="49"/>
      <c r="F44" s="49"/>
      <c r="G44" s="49"/>
      <c r="H44" s="49"/>
      <c r="I44" s="49"/>
      <c r="J44" s="47" t="s">
        <v>62</v>
      </c>
      <c r="K44" s="47"/>
      <c r="L44" s="47"/>
      <c r="M44" s="47"/>
      <c r="N44" s="43" t="s">
        <v>25</v>
      </c>
      <c r="O44" s="44"/>
      <c r="P44" s="44"/>
      <c r="Q44" s="45"/>
      <c r="R44" s="50">
        <v>0.52</v>
      </c>
      <c r="S44" s="50"/>
      <c r="T44" s="51">
        <f t="shared" ref="T44:T46" si="7">R44</f>
        <v>0.52</v>
      </c>
      <c r="U44" s="52"/>
      <c r="V44" s="51"/>
      <c r="W44" s="52"/>
      <c r="X44" s="19">
        <f t="shared" si="0"/>
        <v>115.38461538461539</v>
      </c>
      <c r="Y44" s="19">
        <f t="shared" si="1"/>
        <v>109.61538461538461</v>
      </c>
      <c r="Z44" s="23">
        <f t="shared" si="2"/>
        <v>1.9120814878116441</v>
      </c>
      <c r="AA44" s="21">
        <v>2</v>
      </c>
    </row>
    <row r="45" spans="1:27" ht="36" customHeight="1">
      <c r="A45" s="35">
        <v>3</v>
      </c>
      <c r="B45" s="48" t="s">
        <v>93</v>
      </c>
      <c r="C45" s="49"/>
      <c r="D45" s="49"/>
      <c r="E45" s="49"/>
      <c r="F45" s="49"/>
      <c r="G45" s="49"/>
      <c r="H45" s="49"/>
      <c r="I45" s="49"/>
      <c r="J45" s="47" t="s">
        <v>26</v>
      </c>
      <c r="K45" s="47"/>
      <c r="L45" s="47"/>
      <c r="M45" s="47"/>
      <c r="N45" s="43" t="s">
        <v>25</v>
      </c>
      <c r="O45" s="44"/>
      <c r="P45" s="44"/>
      <c r="Q45" s="45"/>
      <c r="R45" s="50">
        <v>0.42</v>
      </c>
      <c r="S45" s="50"/>
      <c r="T45" s="51">
        <f>R45</f>
        <v>0.42</v>
      </c>
      <c r="U45" s="52"/>
      <c r="V45" s="51"/>
      <c r="W45" s="52"/>
      <c r="X45" s="19">
        <f t="shared" si="0"/>
        <v>142.85714285714286</v>
      </c>
      <c r="Y45" s="19">
        <f t="shared" si="1"/>
        <v>135.71428571428572</v>
      </c>
      <c r="Z45" s="23">
        <f t="shared" si="2"/>
        <v>1.5443735093863278</v>
      </c>
      <c r="AA45" s="21">
        <v>1.5</v>
      </c>
    </row>
    <row r="46" spans="1:27" ht="26.25" customHeight="1">
      <c r="A46" s="35">
        <v>4</v>
      </c>
      <c r="B46" s="46" t="s">
        <v>94</v>
      </c>
      <c r="C46" s="46"/>
      <c r="D46" s="46"/>
      <c r="E46" s="46"/>
      <c r="F46" s="46"/>
      <c r="G46" s="46"/>
      <c r="H46" s="46"/>
      <c r="I46" s="46"/>
      <c r="J46" s="47" t="s">
        <v>28</v>
      </c>
      <c r="K46" s="47"/>
      <c r="L46" s="47"/>
      <c r="M46" s="47"/>
      <c r="N46" s="43" t="s">
        <v>59</v>
      </c>
      <c r="O46" s="44"/>
      <c r="P46" s="44"/>
      <c r="Q46" s="45"/>
      <c r="R46" s="50">
        <v>0.7</v>
      </c>
      <c r="S46" s="50"/>
      <c r="T46" s="51">
        <f t="shared" si="7"/>
        <v>0.7</v>
      </c>
      <c r="U46" s="52"/>
      <c r="V46" s="51"/>
      <c r="W46" s="52"/>
      <c r="X46" s="19">
        <f t="shared" si="0"/>
        <v>85.714285714285722</v>
      </c>
      <c r="Y46" s="19">
        <f t="shared" si="1"/>
        <v>81.428571428571431</v>
      </c>
      <c r="Z46" s="23">
        <f t="shared" si="2"/>
        <v>2.5739558489772132</v>
      </c>
      <c r="AA46" s="21">
        <v>2.5</v>
      </c>
    </row>
    <row r="47" spans="1:27" ht="26.25" customHeight="1">
      <c r="A47" s="35">
        <v>5</v>
      </c>
      <c r="B47" s="46" t="s">
        <v>92</v>
      </c>
      <c r="C47" s="46"/>
      <c r="D47" s="46"/>
      <c r="E47" s="46"/>
      <c r="F47" s="46"/>
      <c r="G47" s="46"/>
      <c r="H47" s="46"/>
      <c r="I47" s="46"/>
      <c r="J47" s="47" t="s">
        <v>26</v>
      </c>
      <c r="K47" s="47"/>
      <c r="L47" s="47"/>
      <c r="M47" s="47"/>
      <c r="N47" s="43" t="s">
        <v>25</v>
      </c>
      <c r="O47" s="44"/>
      <c r="P47" s="44"/>
      <c r="Q47" s="45"/>
      <c r="R47" s="50">
        <v>0.5</v>
      </c>
      <c r="S47" s="50"/>
      <c r="T47" s="51">
        <f>R47</f>
        <v>0.5</v>
      </c>
      <c r="U47" s="52"/>
      <c r="V47" s="51"/>
      <c r="W47" s="52"/>
      <c r="X47" s="19">
        <f t="shared" ref="X47" si="8">60/R47</f>
        <v>120</v>
      </c>
      <c r="Y47" s="19">
        <f t="shared" ref="Y47" si="9">X47*0.95</f>
        <v>114</v>
      </c>
      <c r="Z47" s="23">
        <f t="shared" ref="Z47" si="10">AA$6/Y47</f>
        <v>1.8385398921265808</v>
      </c>
      <c r="AA47" s="21">
        <v>2</v>
      </c>
    </row>
    <row r="48" spans="1:27" ht="26.2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55" t="s">
        <v>47</v>
      </c>
      <c r="O48" s="55"/>
      <c r="P48" s="55"/>
      <c r="Q48" s="55"/>
      <c r="R48" s="55">
        <f>SUM(R43:S47)</f>
        <v>2.59</v>
      </c>
      <c r="S48" s="55"/>
      <c r="T48" s="55">
        <f>SUM(T43:U47)</f>
        <v>2.1399999999999997</v>
      </c>
      <c r="U48" s="55"/>
      <c r="V48" s="55">
        <f>SUM(V43:W47)</f>
        <v>0.45</v>
      </c>
      <c r="W48" s="55"/>
      <c r="X48" s="19"/>
      <c r="Y48" s="19"/>
      <c r="Z48" s="23"/>
      <c r="AA48" s="28">
        <f>SUM(AA43:AA47)</f>
        <v>10</v>
      </c>
    </row>
    <row r="49" spans="1:27" ht="26.25" customHeight="1">
      <c r="A49" s="11"/>
      <c r="B49" s="56" t="s">
        <v>63</v>
      </c>
      <c r="C49" s="57"/>
      <c r="D49" s="57"/>
      <c r="E49" s="57"/>
      <c r="F49" s="57"/>
      <c r="G49" s="57"/>
      <c r="H49" s="57"/>
      <c r="I49" s="58"/>
      <c r="J49" s="59"/>
      <c r="K49" s="60"/>
      <c r="L49" s="60"/>
      <c r="M49" s="61"/>
      <c r="N49" s="59"/>
      <c r="O49" s="60"/>
      <c r="P49" s="60"/>
      <c r="Q49" s="61"/>
      <c r="R49" s="59"/>
      <c r="S49" s="61"/>
      <c r="T49" s="59"/>
      <c r="U49" s="60"/>
      <c r="V49" s="14"/>
      <c r="W49" s="25"/>
      <c r="X49" s="26"/>
      <c r="Y49" s="26"/>
      <c r="Z49" s="26"/>
      <c r="AA49" s="26"/>
    </row>
    <row r="50" spans="1:27" ht="26.25" customHeight="1">
      <c r="A50" s="18">
        <v>1</v>
      </c>
      <c r="B50" s="41" t="s">
        <v>64</v>
      </c>
      <c r="C50" s="41"/>
      <c r="D50" s="41"/>
      <c r="E50" s="41"/>
      <c r="F50" s="41"/>
      <c r="G50" s="41"/>
      <c r="H50" s="41"/>
      <c r="I50" s="41"/>
      <c r="J50" s="42" t="s">
        <v>49</v>
      </c>
      <c r="K50" s="42"/>
      <c r="L50" s="42"/>
      <c r="M50" s="42"/>
      <c r="N50" s="43" t="s">
        <v>25</v>
      </c>
      <c r="O50" s="44"/>
      <c r="P50" s="44"/>
      <c r="Q50" s="45"/>
      <c r="R50" s="53">
        <v>0.6</v>
      </c>
      <c r="S50" s="53"/>
      <c r="T50" s="53"/>
      <c r="U50" s="53"/>
      <c r="V50" s="53">
        <f>R50</f>
        <v>0.6</v>
      </c>
      <c r="W50" s="53"/>
      <c r="X50" s="19">
        <f t="shared" ref="X50" si="11">60/R50</f>
        <v>100</v>
      </c>
      <c r="Y50" s="19">
        <f t="shared" ref="Y50" si="12">X50*0.95</f>
        <v>95</v>
      </c>
      <c r="Z50" s="23">
        <f t="shared" ref="Z50" si="13">AA$6/Y50</f>
        <v>2.2062478705518971</v>
      </c>
      <c r="AA50" s="21">
        <v>2</v>
      </c>
    </row>
    <row r="51" spans="1:27" ht="26.25" customHeight="1">
      <c r="A51" s="18">
        <v>2</v>
      </c>
      <c r="B51" s="41" t="s">
        <v>65</v>
      </c>
      <c r="C51" s="41"/>
      <c r="D51" s="41"/>
      <c r="E51" s="41"/>
      <c r="F51" s="41"/>
      <c r="G51" s="41"/>
      <c r="H51" s="41"/>
      <c r="I51" s="41"/>
      <c r="J51" s="42" t="s">
        <v>26</v>
      </c>
      <c r="K51" s="42"/>
      <c r="L51" s="42"/>
      <c r="M51" s="42"/>
      <c r="N51" s="43" t="s">
        <v>66</v>
      </c>
      <c r="O51" s="44"/>
      <c r="P51" s="44"/>
      <c r="Q51" s="45"/>
      <c r="R51" s="53">
        <v>0.65</v>
      </c>
      <c r="S51" s="53"/>
      <c r="T51" s="53">
        <f t="shared" ref="T51:T56" si="14">R51</f>
        <v>0.65</v>
      </c>
      <c r="U51" s="53"/>
      <c r="V51" s="53"/>
      <c r="W51" s="53"/>
      <c r="X51" s="19">
        <f t="shared" si="0"/>
        <v>92.307692307692307</v>
      </c>
      <c r="Y51" s="19">
        <f t="shared" si="1"/>
        <v>87.692307692307693</v>
      </c>
      <c r="Z51" s="23">
        <f t="shared" si="2"/>
        <v>2.3901018597645551</v>
      </c>
      <c r="AA51" s="21">
        <v>2.5</v>
      </c>
    </row>
    <row r="52" spans="1:27" ht="26.25" customHeight="1">
      <c r="A52" s="18">
        <v>3</v>
      </c>
      <c r="B52" s="41" t="s">
        <v>82</v>
      </c>
      <c r="C52" s="41"/>
      <c r="D52" s="41"/>
      <c r="E52" s="41"/>
      <c r="F52" s="41"/>
      <c r="G52" s="41"/>
      <c r="H52" s="41"/>
      <c r="I52" s="41"/>
      <c r="J52" s="42" t="s">
        <v>26</v>
      </c>
      <c r="K52" s="42"/>
      <c r="L52" s="42"/>
      <c r="M52" s="42"/>
      <c r="N52" s="43" t="s">
        <v>25</v>
      </c>
      <c r="O52" s="44"/>
      <c r="P52" s="44"/>
      <c r="Q52" s="45"/>
      <c r="R52" s="53">
        <v>0.74</v>
      </c>
      <c r="S52" s="53"/>
      <c r="T52" s="53">
        <f t="shared" si="14"/>
        <v>0.74</v>
      </c>
      <c r="U52" s="53"/>
      <c r="V52" s="53"/>
      <c r="W52" s="53"/>
      <c r="X52" s="19">
        <f t="shared" si="0"/>
        <v>81.081081081081081</v>
      </c>
      <c r="Y52" s="19">
        <f t="shared" si="1"/>
        <v>77.027027027027017</v>
      </c>
      <c r="Z52" s="23">
        <f t="shared" si="2"/>
        <v>2.7210390403473399</v>
      </c>
      <c r="AA52" s="21">
        <v>3</v>
      </c>
    </row>
    <row r="53" spans="1:27" ht="26.25" customHeight="1">
      <c r="A53" s="18">
        <v>4</v>
      </c>
      <c r="B53" s="41" t="s">
        <v>83</v>
      </c>
      <c r="C53" s="41"/>
      <c r="D53" s="41"/>
      <c r="E53" s="41"/>
      <c r="F53" s="41"/>
      <c r="G53" s="41"/>
      <c r="H53" s="41"/>
      <c r="I53" s="41"/>
      <c r="J53" s="42" t="s">
        <v>26</v>
      </c>
      <c r="K53" s="42"/>
      <c r="L53" s="42"/>
      <c r="M53" s="42"/>
      <c r="N53" s="43" t="s">
        <v>25</v>
      </c>
      <c r="O53" s="44"/>
      <c r="P53" s="44"/>
      <c r="Q53" s="45"/>
      <c r="R53" s="53">
        <v>0.65</v>
      </c>
      <c r="S53" s="53"/>
      <c r="T53" s="53">
        <f t="shared" si="14"/>
        <v>0.65</v>
      </c>
      <c r="U53" s="53"/>
      <c r="V53" s="53"/>
      <c r="W53" s="53"/>
      <c r="X53" s="19">
        <f t="shared" si="0"/>
        <v>92.307692307692307</v>
      </c>
      <c r="Y53" s="19">
        <f t="shared" si="1"/>
        <v>87.692307692307693</v>
      </c>
      <c r="Z53" s="23">
        <f t="shared" si="2"/>
        <v>2.3901018597645551</v>
      </c>
      <c r="AA53" s="21">
        <v>2.5</v>
      </c>
    </row>
    <row r="54" spans="1:27" ht="26.25" customHeight="1">
      <c r="A54" s="18">
        <v>5</v>
      </c>
      <c r="B54" s="41" t="s">
        <v>84</v>
      </c>
      <c r="C54" s="41"/>
      <c r="D54" s="41"/>
      <c r="E54" s="41"/>
      <c r="F54" s="41"/>
      <c r="G54" s="41"/>
      <c r="H54" s="41"/>
      <c r="I54" s="41"/>
      <c r="J54" s="42" t="s">
        <v>67</v>
      </c>
      <c r="K54" s="42"/>
      <c r="L54" s="42"/>
      <c r="M54" s="42"/>
      <c r="N54" s="43" t="s">
        <v>86</v>
      </c>
      <c r="O54" s="44"/>
      <c r="P54" s="44"/>
      <c r="Q54" s="45"/>
      <c r="R54" s="53">
        <v>0.84</v>
      </c>
      <c r="S54" s="53"/>
      <c r="T54" s="53">
        <f t="shared" si="14"/>
        <v>0.84</v>
      </c>
      <c r="U54" s="53"/>
      <c r="V54" s="53"/>
      <c r="W54" s="53"/>
      <c r="X54" s="19">
        <f t="shared" si="0"/>
        <v>71.428571428571431</v>
      </c>
      <c r="Y54" s="19">
        <f t="shared" si="1"/>
        <v>67.857142857142861</v>
      </c>
      <c r="Z54" s="23">
        <f t="shared" si="2"/>
        <v>3.0887470187726556</v>
      </c>
      <c r="AA54" s="21">
        <v>3</v>
      </c>
    </row>
    <row r="55" spans="1:27" ht="26.25" customHeight="1">
      <c r="A55" s="18">
        <v>6</v>
      </c>
      <c r="B55" s="41" t="s">
        <v>69</v>
      </c>
      <c r="C55" s="41"/>
      <c r="D55" s="41"/>
      <c r="E55" s="41"/>
      <c r="F55" s="41"/>
      <c r="G55" s="41"/>
      <c r="H55" s="41"/>
      <c r="I55" s="41"/>
      <c r="J55" s="42" t="s">
        <v>26</v>
      </c>
      <c r="K55" s="42"/>
      <c r="L55" s="42"/>
      <c r="M55" s="42"/>
      <c r="N55" s="43" t="s">
        <v>25</v>
      </c>
      <c r="O55" s="44"/>
      <c r="P55" s="44"/>
      <c r="Q55" s="45"/>
      <c r="R55" s="53">
        <v>0.75</v>
      </c>
      <c r="S55" s="53"/>
      <c r="T55" s="53">
        <f t="shared" si="14"/>
        <v>0.75</v>
      </c>
      <c r="U55" s="53"/>
      <c r="V55" s="53"/>
      <c r="W55" s="53"/>
      <c r="X55" s="19">
        <f t="shared" ref="X55:X64" si="15">60/R55</f>
        <v>80</v>
      </c>
      <c r="Y55" s="19">
        <f t="shared" ref="Y55:Y64" si="16">X55*0.95</f>
        <v>76</v>
      </c>
      <c r="Z55" s="23">
        <f t="shared" ref="Z55:Z64" si="17">AA$6/Y55</f>
        <v>2.7578098381898712</v>
      </c>
      <c r="AA55" s="21">
        <v>3</v>
      </c>
    </row>
    <row r="56" spans="1:27" ht="26.25" customHeight="1">
      <c r="A56" s="18">
        <v>7</v>
      </c>
      <c r="B56" s="41" t="s">
        <v>70</v>
      </c>
      <c r="C56" s="41"/>
      <c r="D56" s="41"/>
      <c r="E56" s="41"/>
      <c r="F56" s="41"/>
      <c r="G56" s="41"/>
      <c r="H56" s="41"/>
      <c r="I56" s="41"/>
      <c r="J56" s="42" t="s">
        <v>71</v>
      </c>
      <c r="K56" s="42"/>
      <c r="L56" s="42"/>
      <c r="M56" s="42"/>
      <c r="N56" s="43" t="s">
        <v>68</v>
      </c>
      <c r="O56" s="44"/>
      <c r="P56" s="44"/>
      <c r="Q56" s="45"/>
      <c r="R56" s="54">
        <v>0.95</v>
      </c>
      <c r="S56" s="54"/>
      <c r="T56" s="53">
        <f t="shared" si="14"/>
        <v>0.95</v>
      </c>
      <c r="U56" s="53"/>
      <c r="V56" s="53"/>
      <c r="W56" s="53"/>
      <c r="X56" s="19">
        <f t="shared" si="15"/>
        <v>63.15789473684211</v>
      </c>
      <c r="Y56" s="19">
        <f t="shared" si="16"/>
        <v>60</v>
      </c>
      <c r="Z56" s="23">
        <f t="shared" si="17"/>
        <v>3.4932257950405035</v>
      </c>
      <c r="AA56" s="21">
        <v>3.5</v>
      </c>
    </row>
    <row r="57" spans="1:27" ht="26.25" customHeight="1">
      <c r="A57" s="18">
        <v>8</v>
      </c>
      <c r="B57" s="41" t="s">
        <v>85</v>
      </c>
      <c r="C57" s="41"/>
      <c r="D57" s="41"/>
      <c r="E57" s="41"/>
      <c r="F57" s="41"/>
      <c r="G57" s="41"/>
      <c r="H57" s="41"/>
      <c r="I57" s="41"/>
      <c r="J57" s="42" t="s">
        <v>60</v>
      </c>
      <c r="K57" s="42"/>
      <c r="L57" s="42"/>
      <c r="M57" s="42"/>
      <c r="N57" s="43" t="s">
        <v>25</v>
      </c>
      <c r="O57" s="44"/>
      <c r="P57" s="44"/>
      <c r="Q57" s="45"/>
      <c r="R57" s="53">
        <v>0.41</v>
      </c>
      <c r="S57" s="53"/>
      <c r="T57" s="53"/>
      <c r="U57" s="53"/>
      <c r="V57" s="53">
        <f>R57</f>
        <v>0.41</v>
      </c>
      <c r="W57" s="53"/>
      <c r="X57" s="19">
        <f t="shared" si="15"/>
        <v>146.34146341463415</v>
      </c>
      <c r="Y57" s="19">
        <f t="shared" si="16"/>
        <v>139.02439024390245</v>
      </c>
      <c r="Z57" s="23">
        <f t="shared" si="17"/>
        <v>1.5076027115437962</v>
      </c>
      <c r="AA57" s="21">
        <v>1.5</v>
      </c>
    </row>
    <row r="58" spans="1:27" ht="26.25" customHeight="1">
      <c r="A58" s="18">
        <v>9</v>
      </c>
      <c r="B58" s="41" t="s">
        <v>101</v>
      </c>
      <c r="C58" s="41"/>
      <c r="D58" s="41"/>
      <c r="E58" s="41"/>
      <c r="F58" s="41"/>
      <c r="G58" s="41"/>
      <c r="H58" s="41"/>
      <c r="I58" s="41"/>
      <c r="J58" s="42" t="s">
        <v>24</v>
      </c>
      <c r="K58" s="42"/>
      <c r="L58" s="42"/>
      <c r="M58" s="42"/>
      <c r="N58" s="43" t="s">
        <v>25</v>
      </c>
      <c r="O58" s="44"/>
      <c r="P58" s="44"/>
      <c r="Q58" s="45"/>
      <c r="R58" s="54">
        <v>0.69</v>
      </c>
      <c r="S58" s="54"/>
      <c r="T58" s="53"/>
      <c r="U58" s="53"/>
      <c r="V58" s="53">
        <f>R58</f>
        <v>0.69</v>
      </c>
      <c r="W58" s="53"/>
      <c r="X58" s="19">
        <f t="shared" si="15"/>
        <v>86.956521739130437</v>
      </c>
      <c r="Y58" s="19">
        <f t="shared" si="16"/>
        <v>82.608695652173907</v>
      </c>
      <c r="Z58" s="23">
        <f t="shared" si="17"/>
        <v>2.5371850511346818</v>
      </c>
      <c r="AA58" s="21">
        <v>2.5</v>
      </c>
    </row>
    <row r="59" spans="1:27" ht="26.25" customHeight="1">
      <c r="A59" s="18">
        <v>10</v>
      </c>
      <c r="B59" s="41" t="s">
        <v>102</v>
      </c>
      <c r="C59" s="41"/>
      <c r="D59" s="41"/>
      <c r="E59" s="41"/>
      <c r="F59" s="41"/>
      <c r="G59" s="41"/>
      <c r="H59" s="41"/>
      <c r="I59" s="41"/>
      <c r="J59" s="42" t="s">
        <v>26</v>
      </c>
      <c r="K59" s="42"/>
      <c r="L59" s="42"/>
      <c r="M59" s="42"/>
      <c r="N59" s="43" t="s">
        <v>25</v>
      </c>
      <c r="O59" s="44"/>
      <c r="P59" s="44"/>
      <c r="Q59" s="45"/>
      <c r="R59" s="54">
        <v>0.42</v>
      </c>
      <c r="S59" s="54"/>
      <c r="T59" s="53">
        <f>R59</f>
        <v>0.42</v>
      </c>
      <c r="U59" s="53"/>
      <c r="V59" s="53"/>
      <c r="W59" s="53"/>
      <c r="X59" s="19">
        <f t="shared" si="15"/>
        <v>142.85714285714286</v>
      </c>
      <c r="Y59" s="19">
        <f t="shared" si="16"/>
        <v>135.71428571428572</v>
      </c>
      <c r="Z59" s="23">
        <f t="shared" si="17"/>
        <v>1.5443735093863278</v>
      </c>
      <c r="AA59" s="21">
        <v>1.5</v>
      </c>
    </row>
    <row r="60" spans="1:27" ht="26.25" customHeight="1">
      <c r="A60" s="18">
        <v>11</v>
      </c>
      <c r="B60" s="41" t="s">
        <v>100</v>
      </c>
      <c r="C60" s="41"/>
      <c r="D60" s="41"/>
      <c r="E60" s="41"/>
      <c r="F60" s="41"/>
      <c r="G60" s="41"/>
      <c r="H60" s="41"/>
      <c r="I60" s="41"/>
      <c r="J60" s="42" t="s">
        <v>26</v>
      </c>
      <c r="K60" s="42"/>
      <c r="L60" s="42"/>
      <c r="M60" s="42"/>
      <c r="N60" s="43" t="s">
        <v>68</v>
      </c>
      <c r="O60" s="44"/>
      <c r="P60" s="44"/>
      <c r="Q60" s="45"/>
      <c r="R60" s="42">
        <v>0.62</v>
      </c>
      <c r="S60" s="42"/>
      <c r="T60" s="42">
        <f>R60</f>
        <v>0.62</v>
      </c>
      <c r="U60" s="42"/>
      <c r="V60" s="42"/>
      <c r="W60" s="42"/>
      <c r="X60" s="19">
        <f t="shared" si="15"/>
        <v>96.774193548387103</v>
      </c>
      <c r="Y60" s="19">
        <f t="shared" si="16"/>
        <v>91.935483870967744</v>
      </c>
      <c r="Z60" s="23">
        <f t="shared" si="17"/>
        <v>2.2797894662369602</v>
      </c>
      <c r="AA60" s="21">
        <v>2.5</v>
      </c>
    </row>
    <row r="61" spans="1:27" ht="26.25" customHeight="1">
      <c r="A61" s="18">
        <v>12</v>
      </c>
      <c r="B61" s="41" t="s">
        <v>103</v>
      </c>
      <c r="C61" s="41"/>
      <c r="D61" s="41"/>
      <c r="E61" s="41"/>
      <c r="F61" s="41"/>
      <c r="G61" s="41"/>
      <c r="H61" s="41"/>
      <c r="I61" s="41"/>
      <c r="J61" s="42" t="s">
        <v>24</v>
      </c>
      <c r="K61" s="42"/>
      <c r="L61" s="42"/>
      <c r="M61" s="42"/>
      <c r="N61" s="43" t="s">
        <v>25</v>
      </c>
      <c r="O61" s="44"/>
      <c r="P61" s="44"/>
      <c r="Q61" s="45"/>
      <c r="R61" s="42">
        <v>0.4</v>
      </c>
      <c r="S61" s="42"/>
      <c r="T61" s="42"/>
      <c r="U61" s="42"/>
      <c r="V61" s="42">
        <f>R61</f>
        <v>0.4</v>
      </c>
      <c r="W61" s="42"/>
      <c r="X61" s="19">
        <f t="shared" si="15"/>
        <v>150</v>
      </c>
      <c r="Y61" s="19">
        <f t="shared" si="16"/>
        <v>142.5</v>
      </c>
      <c r="Z61" s="23">
        <f t="shared" si="17"/>
        <v>1.4708319137012646</v>
      </c>
      <c r="AA61" s="21">
        <v>1.5</v>
      </c>
    </row>
    <row r="62" spans="1:27" ht="26.25" customHeight="1">
      <c r="A62" s="18">
        <v>13</v>
      </c>
      <c r="B62" s="41" t="s">
        <v>104</v>
      </c>
      <c r="C62" s="41"/>
      <c r="D62" s="41"/>
      <c r="E62" s="41"/>
      <c r="F62" s="41"/>
      <c r="G62" s="41"/>
      <c r="H62" s="41"/>
      <c r="I62" s="41"/>
      <c r="J62" s="42" t="s">
        <v>26</v>
      </c>
      <c r="K62" s="42"/>
      <c r="L62" s="42"/>
      <c r="M62" s="42"/>
      <c r="N62" s="43" t="s">
        <v>25</v>
      </c>
      <c r="O62" s="44"/>
      <c r="P62" s="44"/>
      <c r="Q62" s="45"/>
      <c r="R62" s="42">
        <v>0.85</v>
      </c>
      <c r="S62" s="42"/>
      <c r="T62" s="42">
        <f>R62</f>
        <v>0.85</v>
      </c>
      <c r="U62" s="42"/>
      <c r="V62" s="42"/>
      <c r="W62" s="42"/>
      <c r="X62" s="19">
        <f t="shared" ref="X62:X63" si="18">60/R62</f>
        <v>70.588235294117652</v>
      </c>
      <c r="Y62" s="19">
        <f t="shared" ref="Y62:Y63" si="19">X62*0.95</f>
        <v>67.058823529411768</v>
      </c>
      <c r="Z62" s="23">
        <f t="shared" ref="Z62:Z63" si="20">AA$6/Y62</f>
        <v>3.1255178166151873</v>
      </c>
      <c r="AA62" s="21">
        <v>3.5</v>
      </c>
    </row>
    <row r="63" spans="1:27" ht="26.25" customHeight="1">
      <c r="A63" s="18">
        <v>14</v>
      </c>
      <c r="B63" s="41" t="s">
        <v>105</v>
      </c>
      <c r="C63" s="41"/>
      <c r="D63" s="41"/>
      <c r="E63" s="41"/>
      <c r="F63" s="41"/>
      <c r="G63" s="41"/>
      <c r="H63" s="41"/>
      <c r="I63" s="41"/>
      <c r="J63" s="42" t="s">
        <v>106</v>
      </c>
      <c r="K63" s="42"/>
      <c r="L63" s="42"/>
      <c r="M63" s="42"/>
      <c r="N63" s="43" t="s">
        <v>25</v>
      </c>
      <c r="O63" s="44"/>
      <c r="P63" s="44"/>
      <c r="Q63" s="45"/>
      <c r="R63" s="42">
        <v>0.4</v>
      </c>
      <c r="S63" s="42"/>
      <c r="T63" s="42">
        <f>R63</f>
        <v>0.4</v>
      </c>
      <c r="U63" s="42"/>
      <c r="V63" s="42"/>
      <c r="W63" s="42"/>
      <c r="X63" s="19">
        <f t="shared" si="18"/>
        <v>150</v>
      </c>
      <c r="Y63" s="19">
        <f t="shared" si="19"/>
        <v>142.5</v>
      </c>
      <c r="Z63" s="23">
        <f t="shared" si="20"/>
        <v>1.4708319137012646</v>
      </c>
      <c r="AA63" s="21">
        <v>1</v>
      </c>
    </row>
    <row r="64" spans="1:27" ht="26.25" customHeight="1">
      <c r="A64" s="18">
        <v>15</v>
      </c>
      <c r="B64" s="41" t="s">
        <v>95</v>
      </c>
      <c r="C64" s="41"/>
      <c r="D64" s="41"/>
      <c r="E64" s="41"/>
      <c r="F64" s="41"/>
      <c r="G64" s="41"/>
      <c r="H64" s="41"/>
      <c r="I64" s="41"/>
      <c r="J64" s="42" t="s">
        <v>55</v>
      </c>
      <c r="K64" s="42"/>
      <c r="L64" s="42"/>
      <c r="M64" s="42"/>
      <c r="N64" s="43" t="s">
        <v>25</v>
      </c>
      <c r="O64" s="44"/>
      <c r="P64" s="44"/>
      <c r="Q64" s="45"/>
      <c r="R64" s="42">
        <v>0.4</v>
      </c>
      <c r="S64" s="42"/>
      <c r="T64" s="42">
        <f>R64</f>
        <v>0.4</v>
      </c>
      <c r="U64" s="42"/>
      <c r="V64" s="42"/>
      <c r="W64" s="42"/>
      <c r="X64" s="19">
        <f t="shared" si="15"/>
        <v>150</v>
      </c>
      <c r="Y64" s="19">
        <f t="shared" si="16"/>
        <v>142.5</v>
      </c>
      <c r="Z64" s="23">
        <f t="shared" si="17"/>
        <v>1.4708319137012646</v>
      </c>
      <c r="AA64" s="21">
        <v>1</v>
      </c>
    </row>
    <row r="65" spans="1:27" ht="26.25" customHeight="1">
      <c r="A65" s="36"/>
      <c r="B65" s="78"/>
      <c r="C65" s="79"/>
      <c r="D65" s="79"/>
      <c r="E65" s="79"/>
      <c r="F65" s="79"/>
      <c r="G65" s="79"/>
      <c r="H65" s="79"/>
      <c r="I65" s="80"/>
      <c r="J65" s="81"/>
      <c r="K65" s="82"/>
      <c r="L65" s="82"/>
      <c r="M65" s="83"/>
      <c r="N65" s="84" t="s">
        <v>47</v>
      </c>
      <c r="O65" s="85"/>
      <c r="P65" s="85"/>
      <c r="Q65" s="85"/>
      <c r="R65" s="85">
        <f>SUM(R50:S64)</f>
        <v>9.3700000000000028</v>
      </c>
      <c r="S65" s="85"/>
      <c r="T65" s="85">
        <f>SUM(T50:U64)</f>
        <v>7.2700000000000005</v>
      </c>
      <c r="U65" s="85"/>
      <c r="V65" s="85">
        <f>SUM(V50:W64)</f>
        <v>2.1</v>
      </c>
      <c r="W65" s="85"/>
      <c r="X65" s="19"/>
      <c r="Y65" s="19"/>
      <c r="Z65" s="23"/>
      <c r="AA65" s="28">
        <f>SUM(AA50:AA64)</f>
        <v>34.5</v>
      </c>
    </row>
    <row r="66" spans="1:27" ht="26.25" customHeight="1">
      <c r="A66" s="70" t="s">
        <v>72</v>
      </c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2"/>
      <c r="R66" s="73">
        <f>SUM(R13:S28,R31:S40,R43:S47,R50:S64)</f>
        <v>20.94</v>
      </c>
      <c r="S66" s="74"/>
      <c r="T66" s="73">
        <f>SUM(T13:U28,T31:U40,T43:U47,T50:U64)</f>
        <v>16.25</v>
      </c>
      <c r="U66" s="74"/>
      <c r="V66" s="73">
        <f>SUM(V13:W28,V31:W40,V43:W47,V50:W64)</f>
        <v>4.6900000000000004</v>
      </c>
      <c r="W66" s="74"/>
      <c r="X66" s="19"/>
      <c r="Y66" s="19"/>
      <c r="Z66" s="23"/>
      <c r="AA66" s="28">
        <f>AA65+AA48+AA41+AA29</f>
        <v>80.5</v>
      </c>
    </row>
    <row r="67" spans="1:27" ht="26.25" customHeight="1">
      <c r="A67" s="75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7"/>
      <c r="S67" s="77"/>
      <c r="T67" s="77"/>
      <c r="U67" s="77"/>
      <c r="V67" s="77"/>
      <c r="W67" s="77"/>
      <c r="X67" s="19"/>
      <c r="Y67" s="19"/>
      <c r="Z67" s="23"/>
      <c r="AA67" s="21"/>
    </row>
    <row r="68" spans="1:27" ht="26.25" customHeight="1">
      <c r="A68" s="37"/>
      <c r="B68" s="62" t="s">
        <v>73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8">
        <v>0.03</v>
      </c>
      <c r="O68" s="68"/>
      <c r="P68" s="68"/>
      <c r="Q68" s="68"/>
      <c r="R68" s="68"/>
      <c r="S68" s="68"/>
      <c r="T68" s="69">
        <f>N68</f>
        <v>0.03</v>
      </c>
      <c r="U68" s="69"/>
      <c r="V68" s="69">
        <f>N68</f>
        <v>0.03</v>
      </c>
      <c r="W68" s="69"/>
      <c r="X68" s="19"/>
      <c r="Y68" s="19"/>
      <c r="Z68" s="23"/>
      <c r="AA68" s="21"/>
    </row>
    <row r="69" spans="1:27" ht="26.25" customHeight="1">
      <c r="A69" s="37"/>
      <c r="B69" s="62" t="s">
        <v>74</v>
      </c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8">
        <v>0.05</v>
      </c>
      <c r="O69" s="68"/>
      <c r="P69" s="68"/>
      <c r="Q69" s="68"/>
      <c r="R69" s="68"/>
      <c r="S69" s="68"/>
      <c r="T69" s="69">
        <f>N69</f>
        <v>0.05</v>
      </c>
      <c r="U69" s="69"/>
      <c r="V69" s="69">
        <f>N69</f>
        <v>0.05</v>
      </c>
      <c r="W69" s="53"/>
      <c r="X69" s="19"/>
      <c r="Y69" s="19"/>
      <c r="Z69" s="23"/>
      <c r="AA69" s="21"/>
    </row>
    <row r="70" spans="1:27" ht="26.25" customHeight="1">
      <c r="A70" s="37"/>
      <c r="B70" s="62" t="s">
        <v>75</v>
      </c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8">
        <v>0</v>
      </c>
      <c r="O70" s="68"/>
      <c r="P70" s="68"/>
      <c r="Q70" s="68"/>
      <c r="R70" s="68"/>
      <c r="S70" s="68"/>
      <c r="T70" s="69">
        <f>N70</f>
        <v>0</v>
      </c>
      <c r="U70" s="53"/>
      <c r="V70" s="69">
        <f>N70</f>
        <v>0</v>
      </c>
      <c r="W70" s="53"/>
      <c r="X70" s="19"/>
      <c r="Y70" s="19"/>
      <c r="Z70" s="23"/>
      <c r="AA70" s="21"/>
    </row>
    <row r="71" spans="1:27" ht="26.25" customHeight="1">
      <c r="A71" s="38"/>
      <c r="B71" s="62" t="s">
        <v>76</v>
      </c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8">
        <v>0</v>
      </c>
      <c r="O71" s="68"/>
      <c r="P71" s="68"/>
      <c r="Q71" s="68"/>
      <c r="R71" s="68"/>
      <c r="S71" s="68"/>
      <c r="T71" s="69">
        <f>N71</f>
        <v>0</v>
      </c>
      <c r="U71" s="53"/>
      <c r="V71" s="69">
        <f>N71</f>
        <v>0</v>
      </c>
      <c r="W71" s="53"/>
      <c r="X71" s="19"/>
      <c r="Y71" s="19"/>
      <c r="Z71" s="23"/>
      <c r="AA71" s="21"/>
    </row>
    <row r="72" spans="1:27" ht="26.25" customHeight="1">
      <c r="A72" s="62" t="s">
        <v>77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4"/>
      <c r="S72" s="65"/>
      <c r="T72" s="66">
        <f>SUM(T68:U71)</f>
        <v>0.08</v>
      </c>
      <c r="U72" s="66"/>
      <c r="V72" s="66">
        <f>SUM(V68:W71)</f>
        <v>0.08</v>
      </c>
      <c r="W72" s="66"/>
      <c r="X72" s="19"/>
      <c r="Y72" s="19"/>
      <c r="Z72" s="23"/>
      <c r="AA72" s="21"/>
    </row>
    <row r="73" spans="1:27" ht="26.25" customHeight="1">
      <c r="A73" s="63" t="s">
        <v>78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7">
        <f>T73+V73</f>
        <v>22.615200000000002</v>
      </c>
      <c r="S73" s="67"/>
      <c r="T73" s="67">
        <f>(T66*T72)+T66</f>
        <v>17.55</v>
      </c>
      <c r="U73" s="67"/>
      <c r="V73" s="67">
        <f>(V66*V72)+V66</f>
        <v>5.0652000000000008</v>
      </c>
      <c r="W73" s="67"/>
      <c r="X73" s="19"/>
      <c r="Y73" s="19"/>
      <c r="Z73" s="23"/>
      <c r="AA73" s="21"/>
    </row>
  </sheetData>
  <mergeCells count="357">
    <mergeCell ref="A1:W1"/>
    <mergeCell ref="A3:B5"/>
    <mergeCell ref="C3:G5"/>
    <mergeCell ref="H3:H5"/>
    <mergeCell ref="I3:I5"/>
    <mergeCell ref="J3:K5"/>
    <mergeCell ref="L3:P3"/>
    <mergeCell ref="S3:T5"/>
    <mergeCell ref="U3:W5"/>
    <mergeCell ref="A8:C8"/>
    <mergeCell ref="D8:Z9"/>
    <mergeCell ref="B11:I11"/>
    <mergeCell ref="J11:M11"/>
    <mergeCell ref="N11:Q11"/>
    <mergeCell ref="R11:S11"/>
    <mergeCell ref="T11:U11"/>
    <mergeCell ref="V11:W11"/>
    <mergeCell ref="A6:B6"/>
    <mergeCell ref="C6:G6"/>
    <mergeCell ref="J6:K6"/>
    <mergeCell ref="L6:P6"/>
    <mergeCell ref="S6:T6"/>
    <mergeCell ref="U6:W6"/>
    <mergeCell ref="B13:I13"/>
    <mergeCell ref="J13:M13"/>
    <mergeCell ref="N13:Q13"/>
    <mergeCell ref="R13:S13"/>
    <mergeCell ref="T13:U13"/>
    <mergeCell ref="V13:W13"/>
    <mergeCell ref="R12:S12"/>
    <mergeCell ref="T12:U12"/>
    <mergeCell ref="V12:W12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8:I28"/>
    <mergeCell ref="J28:M28"/>
    <mergeCell ref="N28:Q28"/>
    <mergeCell ref="R28:S28"/>
    <mergeCell ref="T28:U28"/>
    <mergeCell ref="V28:W28"/>
    <mergeCell ref="B26:I26"/>
    <mergeCell ref="J26:M26"/>
    <mergeCell ref="N26:Q26"/>
    <mergeCell ref="R26:S26"/>
    <mergeCell ref="T26:U26"/>
    <mergeCell ref="V26:W26"/>
    <mergeCell ref="B27:I27"/>
    <mergeCell ref="J27:M27"/>
    <mergeCell ref="N27:Q27"/>
    <mergeCell ref="R27:S27"/>
    <mergeCell ref="T27:U27"/>
    <mergeCell ref="V27:W27"/>
    <mergeCell ref="N29:Q29"/>
    <mergeCell ref="R29:S29"/>
    <mergeCell ref="T29:U29"/>
    <mergeCell ref="V29:W29"/>
    <mergeCell ref="B31:I31"/>
    <mergeCell ref="J31:M31"/>
    <mergeCell ref="N31:Q31"/>
    <mergeCell ref="R31:S31"/>
    <mergeCell ref="T31:U31"/>
    <mergeCell ref="V31:W31"/>
    <mergeCell ref="B33:I33"/>
    <mergeCell ref="J33:M33"/>
    <mergeCell ref="N33:Q33"/>
    <mergeCell ref="R33:S33"/>
    <mergeCell ref="T33:U33"/>
    <mergeCell ref="V33:W33"/>
    <mergeCell ref="B32:I32"/>
    <mergeCell ref="J32:M32"/>
    <mergeCell ref="N32:Q32"/>
    <mergeCell ref="R32:S32"/>
    <mergeCell ref="T32:U32"/>
    <mergeCell ref="V32:W32"/>
    <mergeCell ref="B35:I35"/>
    <mergeCell ref="J35:M35"/>
    <mergeCell ref="N35:Q35"/>
    <mergeCell ref="R35:S35"/>
    <mergeCell ref="T35:U35"/>
    <mergeCell ref="V35:W35"/>
    <mergeCell ref="B34:I34"/>
    <mergeCell ref="J34:M34"/>
    <mergeCell ref="N34:Q34"/>
    <mergeCell ref="R34:S34"/>
    <mergeCell ref="T34:U34"/>
    <mergeCell ref="V34:W34"/>
    <mergeCell ref="B37:I37"/>
    <mergeCell ref="J37:M37"/>
    <mergeCell ref="N37:Q37"/>
    <mergeCell ref="R37:S37"/>
    <mergeCell ref="T37:U37"/>
    <mergeCell ref="V37:W37"/>
    <mergeCell ref="B36:I36"/>
    <mergeCell ref="J36:M36"/>
    <mergeCell ref="N36:Q36"/>
    <mergeCell ref="R36:S36"/>
    <mergeCell ref="T36:U36"/>
    <mergeCell ref="V36:W36"/>
    <mergeCell ref="B39:I39"/>
    <mergeCell ref="J39:M39"/>
    <mergeCell ref="N39:Q39"/>
    <mergeCell ref="R39:S39"/>
    <mergeCell ref="T39:U39"/>
    <mergeCell ref="V39:W39"/>
    <mergeCell ref="B38:I38"/>
    <mergeCell ref="J38:M38"/>
    <mergeCell ref="N38:Q38"/>
    <mergeCell ref="R38:S38"/>
    <mergeCell ref="T38:U38"/>
    <mergeCell ref="V38:W38"/>
    <mergeCell ref="B43:I43"/>
    <mergeCell ref="J43:M43"/>
    <mergeCell ref="N41:Q41"/>
    <mergeCell ref="R41:S41"/>
    <mergeCell ref="T41:U41"/>
    <mergeCell ref="V41:W41"/>
    <mergeCell ref="B40:I40"/>
    <mergeCell ref="J40:M40"/>
    <mergeCell ref="N40:Q40"/>
    <mergeCell ref="R40:S40"/>
    <mergeCell ref="T40:U40"/>
    <mergeCell ref="V40:W40"/>
    <mergeCell ref="N43:Q43"/>
    <mergeCell ref="R43:S43"/>
    <mergeCell ref="T43:U43"/>
    <mergeCell ref="V43:W43"/>
    <mergeCell ref="B53:I53"/>
    <mergeCell ref="J53:M53"/>
    <mergeCell ref="N53:Q53"/>
    <mergeCell ref="R53:S53"/>
    <mergeCell ref="T53:U53"/>
    <mergeCell ref="V53:W53"/>
    <mergeCell ref="B52:I52"/>
    <mergeCell ref="J52:M52"/>
    <mergeCell ref="N52:Q52"/>
    <mergeCell ref="R52:S52"/>
    <mergeCell ref="T52:U52"/>
    <mergeCell ref="V52:W52"/>
    <mergeCell ref="B55:I55"/>
    <mergeCell ref="J55:M55"/>
    <mergeCell ref="N55:Q55"/>
    <mergeCell ref="R55:S55"/>
    <mergeCell ref="T55:U55"/>
    <mergeCell ref="V55:W55"/>
    <mergeCell ref="B54:I54"/>
    <mergeCell ref="J54:M54"/>
    <mergeCell ref="N54:Q54"/>
    <mergeCell ref="R54:S54"/>
    <mergeCell ref="T54:U54"/>
    <mergeCell ref="V54:W54"/>
    <mergeCell ref="B65:I65"/>
    <mergeCell ref="J65:M65"/>
    <mergeCell ref="N65:Q65"/>
    <mergeCell ref="R65:S65"/>
    <mergeCell ref="T65:U65"/>
    <mergeCell ref="V65:W65"/>
    <mergeCell ref="B64:I64"/>
    <mergeCell ref="J64:M64"/>
    <mergeCell ref="N64:Q64"/>
    <mergeCell ref="R64:S64"/>
    <mergeCell ref="T64:U64"/>
    <mergeCell ref="V64:W64"/>
    <mergeCell ref="B68:M68"/>
    <mergeCell ref="N68:S68"/>
    <mergeCell ref="T68:U68"/>
    <mergeCell ref="V68:W68"/>
    <mergeCell ref="B69:M69"/>
    <mergeCell ref="N69:S69"/>
    <mergeCell ref="T69:U69"/>
    <mergeCell ref="V69:W69"/>
    <mergeCell ref="A66:Q66"/>
    <mergeCell ref="R66:S66"/>
    <mergeCell ref="T66:U66"/>
    <mergeCell ref="V66:W66"/>
    <mergeCell ref="A67:Q67"/>
    <mergeCell ref="R67:S67"/>
    <mergeCell ref="T67:U67"/>
    <mergeCell ref="V67:W67"/>
    <mergeCell ref="A72:Q72"/>
    <mergeCell ref="R72:S72"/>
    <mergeCell ref="T72:U72"/>
    <mergeCell ref="V72:W72"/>
    <mergeCell ref="A73:Q73"/>
    <mergeCell ref="R73:S73"/>
    <mergeCell ref="T73:U73"/>
    <mergeCell ref="V73:W73"/>
    <mergeCell ref="B70:M70"/>
    <mergeCell ref="N70:S70"/>
    <mergeCell ref="T70:U70"/>
    <mergeCell ref="V70:W70"/>
    <mergeCell ref="B71:M71"/>
    <mergeCell ref="N71:S71"/>
    <mergeCell ref="T71:U71"/>
    <mergeCell ref="V71:W71"/>
    <mergeCell ref="N48:Q48"/>
    <mergeCell ref="R48:S48"/>
    <mergeCell ref="B49:I49"/>
    <mergeCell ref="J49:M49"/>
    <mergeCell ref="N49:Q49"/>
    <mergeCell ref="R49:S49"/>
    <mergeCell ref="T49:U49"/>
    <mergeCell ref="T48:U48"/>
    <mergeCell ref="V48:W48"/>
    <mergeCell ref="B58:I58"/>
    <mergeCell ref="J58:M58"/>
    <mergeCell ref="N58:Q58"/>
    <mergeCell ref="R58:S58"/>
    <mergeCell ref="T58:U58"/>
    <mergeCell ref="V58:W58"/>
    <mergeCell ref="B50:I50"/>
    <mergeCell ref="J50:M50"/>
    <mergeCell ref="N50:Q50"/>
    <mergeCell ref="R50:S50"/>
    <mergeCell ref="T50:U50"/>
    <mergeCell ref="V50:W50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B44:I44"/>
    <mergeCell ref="J44:M44"/>
    <mergeCell ref="N44:Q44"/>
    <mergeCell ref="R44:S44"/>
    <mergeCell ref="T44:U44"/>
    <mergeCell ref="V44:W44"/>
    <mergeCell ref="B60:I60"/>
    <mergeCell ref="J60:M60"/>
    <mergeCell ref="N60:Q60"/>
    <mergeCell ref="R60:S60"/>
    <mergeCell ref="T60:U60"/>
    <mergeCell ref="V60:W60"/>
    <mergeCell ref="B51:I51"/>
    <mergeCell ref="J51:M51"/>
    <mergeCell ref="N51:Q51"/>
    <mergeCell ref="R51:S51"/>
    <mergeCell ref="T51:U51"/>
    <mergeCell ref="V51:W51"/>
    <mergeCell ref="B59:I59"/>
    <mergeCell ref="J59:M59"/>
    <mergeCell ref="N59:Q59"/>
    <mergeCell ref="R59:S59"/>
    <mergeCell ref="T59:U59"/>
    <mergeCell ref="V59:W59"/>
    <mergeCell ref="B45:I45"/>
    <mergeCell ref="J45:M45"/>
    <mergeCell ref="N45:Q45"/>
    <mergeCell ref="R45:S45"/>
    <mergeCell ref="T45:U45"/>
    <mergeCell ref="V45:W45"/>
    <mergeCell ref="N46:Q46"/>
    <mergeCell ref="R46:S46"/>
    <mergeCell ref="T46:U46"/>
    <mergeCell ref="V46:W46"/>
    <mergeCell ref="B46:I46"/>
    <mergeCell ref="J46:M46"/>
    <mergeCell ref="B63:I63"/>
    <mergeCell ref="J63:M63"/>
    <mergeCell ref="N63:Q63"/>
    <mergeCell ref="R63:S63"/>
    <mergeCell ref="T63:U63"/>
    <mergeCell ref="V63:W63"/>
    <mergeCell ref="B47:I47"/>
    <mergeCell ref="J47:M47"/>
    <mergeCell ref="B61:I61"/>
    <mergeCell ref="J61:M61"/>
    <mergeCell ref="N61:Q61"/>
    <mergeCell ref="R61:S61"/>
    <mergeCell ref="T61:U61"/>
    <mergeCell ref="V61:W61"/>
    <mergeCell ref="B62:I62"/>
    <mergeCell ref="J62:M62"/>
    <mergeCell ref="N62:Q62"/>
    <mergeCell ref="R62:S62"/>
    <mergeCell ref="T62:U62"/>
    <mergeCell ref="V62:W62"/>
    <mergeCell ref="N47:Q47"/>
    <mergeCell ref="R47:S47"/>
    <mergeCell ref="T47:U47"/>
    <mergeCell ref="V47:W47"/>
  </mergeCells>
  <pageMargins left="0.47244094488188981" right="0.19685039370078741" top="0.39370078740157483" bottom="0.35433070866141736" header="0.31496062992125984" footer="0.31496062992125984"/>
  <pageSetup paperSize="9" scale="29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2025-11-05T11:16:29Z</cp:lastPrinted>
  <dcterms:created xsi:type="dcterms:W3CDTF">2025-04-16T08:02:57Z</dcterms:created>
  <dcterms:modified xsi:type="dcterms:W3CDTF">2026-01-31T07:57:07Z</dcterms:modified>
  <cp:category/>
  <cp:contentStatus/>
</cp:coreProperties>
</file>