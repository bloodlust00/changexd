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OB and tech pack\Aldeno\"/>
    </mc:Choice>
  </mc:AlternateContent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Sheet1!$A$1:$AA$91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" i="1" l="1"/>
  <c r="AA42" i="1"/>
  <c r="V42" i="1"/>
  <c r="T42" i="1"/>
  <c r="AA51" i="1" l="1"/>
  <c r="V51" i="1"/>
  <c r="T51" i="1"/>
  <c r="R51" i="1"/>
  <c r="T83" i="1"/>
  <c r="V83" i="1"/>
  <c r="R83" i="1"/>
  <c r="T80" i="1"/>
  <c r="X80" i="1"/>
  <c r="Y80" i="1"/>
  <c r="AA67" i="1"/>
  <c r="V67" i="1"/>
  <c r="T67" i="1"/>
  <c r="R67" i="1"/>
  <c r="X66" i="1"/>
  <c r="Y66" i="1"/>
  <c r="T66" i="1"/>
  <c r="T29" i="1"/>
  <c r="T34" i="1"/>
  <c r="T33" i="1"/>
  <c r="V32" i="1"/>
  <c r="X31" i="1"/>
  <c r="Y31" i="1" s="1"/>
  <c r="X32" i="1"/>
  <c r="Y32" i="1" s="1"/>
  <c r="X33" i="1"/>
  <c r="Y33" i="1" s="1"/>
  <c r="X34" i="1"/>
  <c r="Y34" i="1" s="1"/>
  <c r="V31" i="1"/>
  <c r="V27" i="1"/>
  <c r="V82" i="1"/>
  <c r="R82" i="1"/>
  <c r="X71" i="1"/>
  <c r="Y71" i="1"/>
  <c r="T71" i="1"/>
  <c r="R27" i="1"/>
  <c r="AA82" i="1"/>
  <c r="R62" i="1"/>
  <c r="T81" i="1" l="1"/>
  <c r="X81" i="1"/>
  <c r="Y81" i="1"/>
  <c r="T25" i="1" l="1"/>
  <c r="V25" i="1"/>
  <c r="X25" i="1"/>
  <c r="Y25" i="1" s="1"/>
  <c r="T30" i="1" l="1"/>
  <c r="AA27" i="1"/>
  <c r="T65" i="1" l="1"/>
  <c r="X65" i="1"/>
  <c r="Y65" i="1" s="1"/>
  <c r="V88" i="1" l="1"/>
  <c r="T88" i="1"/>
  <c r="V87" i="1"/>
  <c r="T87" i="1"/>
  <c r="V86" i="1"/>
  <c r="T86" i="1"/>
  <c r="V85" i="1"/>
  <c r="V89" i="1" s="1"/>
  <c r="T85" i="1"/>
  <c r="T89" i="1" s="1"/>
  <c r="X79" i="1"/>
  <c r="Y79" i="1" s="1"/>
  <c r="T79" i="1"/>
  <c r="X78" i="1"/>
  <c r="Y78" i="1" s="1"/>
  <c r="T78" i="1"/>
  <c r="X77" i="1"/>
  <c r="Y77" i="1" s="1"/>
  <c r="V77" i="1"/>
  <c r="X76" i="1"/>
  <c r="Y76" i="1" s="1"/>
  <c r="T76" i="1"/>
  <c r="X75" i="1"/>
  <c r="Y75" i="1" s="1"/>
  <c r="T75" i="1"/>
  <c r="X74" i="1"/>
  <c r="Y74" i="1" s="1"/>
  <c r="T74" i="1"/>
  <c r="X73" i="1"/>
  <c r="Y73" i="1" s="1"/>
  <c r="T73" i="1"/>
  <c r="X72" i="1"/>
  <c r="Y72" i="1" s="1"/>
  <c r="T72" i="1"/>
  <c r="X70" i="1"/>
  <c r="Y70" i="1" s="1"/>
  <c r="T70" i="1"/>
  <c r="X69" i="1"/>
  <c r="Y69" i="1" s="1"/>
  <c r="V69" i="1"/>
  <c r="X64" i="1"/>
  <c r="Y64" i="1" s="1"/>
  <c r="T64" i="1"/>
  <c r="AA62" i="1"/>
  <c r="AA83" i="1" s="1"/>
  <c r="X61" i="1"/>
  <c r="Y61" i="1" s="1"/>
  <c r="T61" i="1"/>
  <c r="X60" i="1"/>
  <c r="Y60" i="1" s="1"/>
  <c r="T60" i="1"/>
  <c r="X59" i="1"/>
  <c r="Y59" i="1" s="1"/>
  <c r="T59" i="1"/>
  <c r="X58" i="1"/>
  <c r="Y58" i="1" s="1"/>
  <c r="V58" i="1"/>
  <c r="X57" i="1"/>
  <c r="Y57" i="1" s="1"/>
  <c r="V57" i="1"/>
  <c r="X56" i="1"/>
  <c r="Y56" i="1" s="1"/>
  <c r="V56" i="1"/>
  <c r="X55" i="1"/>
  <c r="Y55" i="1" s="1"/>
  <c r="V55" i="1"/>
  <c r="X54" i="1"/>
  <c r="Y54" i="1" s="1"/>
  <c r="T54" i="1"/>
  <c r="T62" i="1" s="1"/>
  <c r="X53" i="1"/>
  <c r="Y53" i="1" s="1"/>
  <c r="V53" i="1"/>
  <c r="X50" i="1"/>
  <c r="Y50" i="1" s="1"/>
  <c r="T50" i="1"/>
  <c r="X49" i="1"/>
  <c r="Y49" i="1" s="1"/>
  <c r="T49" i="1"/>
  <c r="X48" i="1"/>
  <c r="Y48" i="1" s="1"/>
  <c r="V48" i="1"/>
  <c r="X47" i="1"/>
  <c r="Y47" i="1" s="1"/>
  <c r="T47" i="1"/>
  <c r="X46" i="1"/>
  <c r="Y46" i="1" s="1"/>
  <c r="V46" i="1"/>
  <c r="X45" i="1"/>
  <c r="Y45" i="1" s="1"/>
  <c r="T45" i="1"/>
  <c r="X44" i="1"/>
  <c r="Y44" i="1" s="1"/>
  <c r="T44" i="1"/>
  <c r="X41" i="1"/>
  <c r="Y41" i="1" s="1"/>
  <c r="V41" i="1"/>
  <c r="X40" i="1"/>
  <c r="Y40" i="1" s="1"/>
  <c r="T40" i="1"/>
  <c r="X39" i="1"/>
  <c r="Y39" i="1" s="1"/>
  <c r="T39" i="1"/>
  <c r="X38" i="1"/>
  <c r="Y38" i="1" s="1"/>
  <c r="T38" i="1"/>
  <c r="X37" i="1"/>
  <c r="Y37" i="1" s="1"/>
  <c r="V37" i="1"/>
  <c r="X36" i="1"/>
  <c r="Y36" i="1" s="1"/>
  <c r="T36" i="1"/>
  <c r="X35" i="1"/>
  <c r="Y35" i="1" s="1"/>
  <c r="T35" i="1"/>
  <c r="X30" i="1"/>
  <c r="Y30" i="1" s="1"/>
  <c r="X29" i="1"/>
  <c r="Y29" i="1" s="1"/>
  <c r="X26" i="1"/>
  <c r="Y26" i="1" s="1"/>
  <c r="T26" i="1"/>
  <c r="X24" i="1"/>
  <c r="Y24" i="1" s="1"/>
  <c r="V24" i="1"/>
  <c r="X23" i="1"/>
  <c r="Y23" i="1" s="1"/>
  <c r="V23" i="1"/>
  <c r="X22" i="1"/>
  <c r="Y22" i="1" s="1"/>
  <c r="V22" i="1"/>
  <c r="X21" i="1"/>
  <c r="Y21" i="1" s="1"/>
  <c r="T21" i="1"/>
  <c r="X20" i="1"/>
  <c r="Y20" i="1" s="1"/>
  <c r="V20" i="1"/>
  <c r="X19" i="1"/>
  <c r="Y19" i="1" s="1"/>
  <c r="T19" i="1"/>
  <c r="X18" i="1"/>
  <c r="Y18" i="1" s="1"/>
  <c r="T18" i="1"/>
  <c r="X17" i="1"/>
  <c r="Y17" i="1" s="1"/>
  <c r="T17" i="1"/>
  <c r="X16" i="1"/>
  <c r="Y16" i="1" s="1"/>
  <c r="T16" i="1"/>
  <c r="X15" i="1"/>
  <c r="Y15" i="1" s="1"/>
  <c r="V15" i="1"/>
  <c r="X14" i="1"/>
  <c r="Y14" i="1" s="1"/>
  <c r="T14" i="1"/>
  <c r="X13" i="1"/>
  <c r="Y13" i="1" s="1"/>
  <c r="V13" i="1"/>
  <c r="X12" i="1"/>
  <c r="Y12" i="1" s="1"/>
  <c r="T12" i="1"/>
  <c r="U4" i="1"/>
  <c r="T82" i="1" l="1"/>
  <c r="V62" i="1"/>
  <c r="T90" i="1"/>
  <c r="T27" i="1"/>
  <c r="V90" i="1"/>
  <c r="R90" i="1" l="1"/>
  <c r="Y4" i="1" s="1"/>
  <c r="Y5" i="1" s="1"/>
  <c r="AA5" i="1" s="1"/>
  <c r="Z66" i="1" l="1"/>
  <c r="Z80" i="1"/>
  <c r="Z71" i="1"/>
  <c r="Z34" i="1"/>
  <c r="Z33" i="1"/>
  <c r="Z32" i="1"/>
  <c r="Z31" i="1"/>
  <c r="Z25" i="1"/>
  <c r="Z81" i="1"/>
  <c r="Z65" i="1"/>
  <c r="Z79" i="1"/>
  <c r="Z78" i="1"/>
  <c r="Z77" i="1"/>
  <c r="Z76" i="1"/>
  <c r="Z75" i="1"/>
  <c r="Z74" i="1"/>
  <c r="Z73" i="1"/>
  <c r="Z72" i="1"/>
  <c r="Z70" i="1"/>
  <c r="Z69" i="1"/>
  <c r="Z64" i="1"/>
  <c r="Z61" i="1"/>
  <c r="Z60" i="1"/>
  <c r="Z59" i="1"/>
  <c r="Z58" i="1"/>
  <c r="Z57" i="1"/>
  <c r="Z56" i="1"/>
  <c r="Z55" i="1"/>
  <c r="Z54" i="1"/>
  <c r="Z53" i="1"/>
  <c r="Z50" i="1"/>
  <c r="Z49" i="1"/>
  <c r="Z48" i="1"/>
  <c r="Z47" i="1"/>
  <c r="Z46" i="1"/>
  <c r="Z45" i="1"/>
  <c r="Z44" i="1"/>
  <c r="Z41" i="1"/>
  <c r="Z40" i="1"/>
  <c r="Z39" i="1"/>
  <c r="Z38" i="1"/>
  <c r="Z37" i="1"/>
  <c r="Z36" i="1"/>
  <c r="Z35" i="1"/>
  <c r="Z30" i="1"/>
  <c r="Z29" i="1"/>
  <c r="Z26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</calcChain>
</file>

<file path=xl/sharedStrings.xml><?xml version="1.0" encoding="utf-8"?>
<sst xmlns="http://schemas.openxmlformats.org/spreadsheetml/2006/main" count="229" uniqueCount="135">
  <si>
    <t>Laguna Clothing Pvt Ltd</t>
  </si>
  <si>
    <t>SMV &amp; Operation Breakdown</t>
  </si>
  <si>
    <t>Buyer:</t>
  </si>
  <si>
    <t>ALDENO</t>
  </si>
  <si>
    <t>Style Ref:</t>
  </si>
  <si>
    <t>Date:</t>
  </si>
  <si>
    <t>Batch Target:</t>
  </si>
  <si>
    <t>Manpower:</t>
  </si>
  <si>
    <t>Season:</t>
  </si>
  <si>
    <t>SS25</t>
  </si>
  <si>
    <t>Fabric:</t>
  </si>
  <si>
    <t>WOVEN</t>
  </si>
  <si>
    <t>Prepared By:</t>
  </si>
  <si>
    <t>Shamantu B R</t>
  </si>
  <si>
    <t>Target at 90%:</t>
  </si>
  <si>
    <t>Target per hour: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</si>
  <si>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</si>
  <si>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</si>
  <si>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</si>
  <si>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</si>
  <si>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</si>
  <si>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</si>
  <si>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</si>
  <si>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</si>
  <si>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</si>
  <si>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</si>
  <si>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</si>
  <si>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</si>
  <si>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</si>
  <si>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Run Collar-Fusible</t>
  </si>
  <si>
    <t>SNLS</t>
  </si>
  <si>
    <t>N/A</t>
  </si>
  <si>
    <t>Collar Blocking</t>
  </si>
  <si>
    <t>Blocking</t>
  </si>
  <si>
    <t xml:space="preserve">Top stitch collar </t>
  </si>
  <si>
    <t>Collar contour trim</t>
  </si>
  <si>
    <t>Contour M/C</t>
  </si>
  <si>
    <t>Collar Stay Stitch</t>
  </si>
  <si>
    <t>3mm</t>
  </si>
  <si>
    <t>Neck band hem</t>
  </si>
  <si>
    <t>Pick turn</t>
  </si>
  <si>
    <t>Turning M/C</t>
  </si>
  <si>
    <t>Neck band edge stitch</t>
  </si>
  <si>
    <t>Pick iron</t>
  </si>
  <si>
    <t>Iron Table</t>
  </si>
  <si>
    <t>Trim base</t>
  </si>
  <si>
    <t>SNEC</t>
  </si>
  <si>
    <t>Notch &amp; mark collar</t>
  </si>
  <si>
    <t>Notch M/C</t>
  </si>
  <si>
    <t>Button M/C</t>
  </si>
  <si>
    <t>Button hole  &amp; Attach on neck band</t>
  </si>
  <si>
    <t>Tandom M/C</t>
  </si>
  <si>
    <t>Sub Total</t>
  </si>
  <si>
    <t>Front</t>
  </si>
  <si>
    <t>Helper Tabel</t>
  </si>
  <si>
    <t>Right Placket Hem</t>
  </si>
  <si>
    <t>25mm</t>
  </si>
  <si>
    <t>Button hole front X 6</t>
  </si>
  <si>
    <t>B/Hole M/C</t>
  </si>
  <si>
    <t>Button Marking</t>
  </si>
  <si>
    <t>Button sew front X 6</t>
  </si>
  <si>
    <t>Sew extra button X 2</t>
  </si>
  <si>
    <t>Wash Care Lable Attach</t>
  </si>
  <si>
    <t>Pairing</t>
  </si>
  <si>
    <t>Sleeve</t>
  </si>
  <si>
    <t xml:space="preserve">Sew small sleeve placket </t>
  </si>
  <si>
    <t>12mm</t>
  </si>
  <si>
    <t>Sleeve tacking</t>
  </si>
  <si>
    <t>Press sleeve placket</t>
  </si>
  <si>
    <t>Rotary Fusing M/C</t>
  </si>
  <si>
    <t xml:space="preserve">Set &amp; seal placket </t>
  </si>
  <si>
    <t>Sleeve placket trim</t>
  </si>
  <si>
    <t>Button hole on sleeve placket</t>
  </si>
  <si>
    <t>Button stitch on sleeve placket</t>
  </si>
  <si>
    <t>Cuff</t>
  </si>
  <si>
    <t>Cuff hem iron</t>
  </si>
  <si>
    <t>Iron table</t>
  </si>
  <si>
    <t>Cuff Blocking</t>
  </si>
  <si>
    <t>Blocking M/C</t>
  </si>
  <si>
    <t xml:space="preserve">Ready Iron cuff  </t>
  </si>
  <si>
    <t>Buttonhole on cuff X 1</t>
  </si>
  <si>
    <t>Button X1</t>
  </si>
  <si>
    <t>Button m/c</t>
  </si>
  <si>
    <t>Back</t>
  </si>
  <si>
    <t>Sew Main Label-4 side</t>
  </si>
  <si>
    <t>Pattren Sewer M/C</t>
  </si>
  <si>
    <t>Yoke Attach</t>
  </si>
  <si>
    <t>10mm</t>
  </si>
  <si>
    <t>Assembly</t>
  </si>
  <si>
    <t>Hanger Loading</t>
  </si>
  <si>
    <t>DNCS</t>
  </si>
  <si>
    <t>3/16"</t>
  </si>
  <si>
    <t>Sleeve Top</t>
  </si>
  <si>
    <t>SNTS</t>
  </si>
  <si>
    <t>Side Seam</t>
  </si>
  <si>
    <t>FOA</t>
  </si>
  <si>
    <t xml:space="preserve">Bottom hem </t>
  </si>
  <si>
    <t>5mm</t>
  </si>
  <si>
    <t>Fabric allowance</t>
  </si>
  <si>
    <t>SPI allowance</t>
  </si>
  <si>
    <t>Quantity allowance</t>
  </si>
  <si>
    <t>Size allowance</t>
  </si>
  <si>
    <t>TOTAL ALLOWANCES</t>
  </si>
  <si>
    <t>Total SMV with Allowances</t>
  </si>
  <si>
    <t>Button  hole on button down collar</t>
  </si>
  <si>
    <t>Re Buttoing</t>
  </si>
  <si>
    <t>Run cuff-Round</t>
  </si>
  <si>
    <t>Cuff raw edge trimming-Round</t>
  </si>
  <si>
    <t>Cuff turning &amp; Shape- Round</t>
  </si>
  <si>
    <t>Top stitch cuff fused -Close-Round</t>
  </si>
  <si>
    <t>1"</t>
  </si>
  <si>
    <t>Neckband attach</t>
  </si>
  <si>
    <t>Pick attach</t>
  </si>
  <si>
    <t>Manual Shoulder Join</t>
  </si>
  <si>
    <t>Shoulder top stitch</t>
  </si>
  <si>
    <t>Collar attach</t>
  </si>
  <si>
    <t>Collar finish</t>
  </si>
  <si>
    <t>Sleeve attach</t>
  </si>
  <si>
    <t>Bottom Serging</t>
  </si>
  <si>
    <t>Cuff attach</t>
  </si>
  <si>
    <t>SPI-12</t>
  </si>
  <si>
    <t>Pocket marking</t>
  </si>
  <si>
    <t>Helper table</t>
  </si>
  <si>
    <t>Pocket Iron</t>
  </si>
  <si>
    <t>Pocket hem</t>
  </si>
  <si>
    <t>Pocket attach-V Shape</t>
  </si>
  <si>
    <t>Cut &amp; Sew Placket</t>
  </si>
  <si>
    <t>Kansai</t>
  </si>
  <si>
    <t>3/4"</t>
  </si>
  <si>
    <t>Neck trim</t>
  </si>
  <si>
    <t>Yoke top stitch</t>
  </si>
  <si>
    <t>1/4"</t>
  </si>
  <si>
    <t>Button down</t>
  </si>
  <si>
    <t>Button Down Collar,round neckband, Cut &amp; Sew Placket, Pocket Attach,single Round cuff 1 bttn 1 B/H, side seam-FOA , 3 mm stitch at shoulder &amp;yoke, Re buttoning</t>
  </si>
  <si>
    <t xml:space="preserve">GARMENT DYE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</si>
</sst>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2">
    <font>
      <sz val="11"/>
      <color theme="1"/>
      <name val="Aptos Narrow"/>
      <family val="2"/>
      <scheme val="minor"/>
    </font>
    <font>
      <b/>
      <sz val="18"/>
      <color rgb="FF000000"/>
      <name val="Calibri Light"/>
      <family val="2"/>
    </font>
    <font>
      <sz val="18"/>
      <color theme="1"/>
      <name val="Aptos Narrow"/>
      <family val="2"/>
      <scheme val="minor"/>
    </font>
    <font>
      <sz val="18"/>
      <color rgb="FF000000"/>
      <name val="Calibri"/>
      <family val="2"/>
    </font>
    <font>
      <b/>
      <sz val="18"/>
      <color rgb="FF2F75B5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Times New Roman"/>
      <family val="1"/>
    </font>
    <font>
      <sz val="18"/>
      <name val="Arial"/>
      <family val="2"/>
    </font>
    <font>
      <b/>
      <sz val="18"/>
      <name val="Times New Roman"/>
      <family val="1"/>
    </font>
    <font>
      <b/>
      <sz val="18"/>
      <color theme="1"/>
      <name val="Aptos Narrow"/>
      <family val="2"/>
      <scheme val="minor"/>
    </font>
    <font>
      <b/>
      <sz val="18"/>
      <color theme="1"/>
      <name val="Aptos Narrow"/>
      <charset val="134"/>
      <scheme val="minor"/>
    </font>
    <font>
      <b/>
      <sz val="18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7" fillId="2" borderId="15" xfId="0" applyFont="1" applyFill="1" applyBorder="1" applyAlignment="1">
      <alignment horizontal="center"/>
    </xf>
    <xf numFmtId="0" fontId="7" fillId="2" borderId="0" xfId="0" applyFont="1" applyFill="1"/>
    <xf numFmtId="164" fontId="2" fillId="0" borderId="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/>
    </xf>
    <xf numFmtId="0" fontId="1" fillId="4" borderId="10" xfId="0" applyFont="1" applyFill="1" applyBorder="1"/>
    <xf numFmtId="0" fontId="1" fillId="4" borderId="11" xfId="0" applyFont="1" applyFill="1" applyBorder="1"/>
    <xf numFmtId="0" fontId="1" fillId="4" borderId="6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2" borderId="14" xfId="0" applyFont="1" applyFill="1" applyBorder="1" applyAlignment="1">
      <alignment horizontal="right"/>
    </xf>
    <xf numFmtId="0" fontId="1" fillId="2" borderId="20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9" fontId="3" fillId="2" borderId="14" xfId="0" applyNumberFormat="1" applyFont="1" applyFill="1" applyBorder="1" applyAlignment="1">
      <alignment horizontal="center"/>
    </xf>
    <xf numFmtId="9" fontId="3" fillId="2" borderId="21" xfId="0" applyNumberFormat="1" applyFont="1" applyFill="1" applyBorder="1" applyAlignment="1">
      <alignment horizontal="center"/>
    </xf>
    <xf numFmtId="9" fontId="3" fillId="2" borderId="2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9" fontId="11" fillId="2" borderId="10" xfId="0" applyNumberFormat="1" applyFont="1" applyFill="1" applyBorder="1" applyAlignment="1">
      <alignment horizontal="center"/>
    </xf>
    <xf numFmtId="9" fontId="11" fillId="2" borderId="11" xfId="0" applyNumberFormat="1" applyFont="1" applyFill="1" applyBorder="1" applyAlignment="1">
      <alignment horizontal="center"/>
    </xf>
    <xf numFmtId="9" fontId="11" fillId="2" borderId="12" xfId="0" applyNumberFormat="1" applyFont="1" applyFill="1" applyBorder="1" applyAlignment="1">
      <alignment horizontal="center"/>
    </xf>
    <xf numFmtId="9" fontId="3" fillId="2" borderId="10" xfId="0" applyNumberFormat="1" applyFont="1" applyFill="1" applyBorder="1" applyAlignment="1">
      <alignment horizontal="center"/>
    </xf>
    <xf numFmtId="9" fontId="11" fillId="2" borderId="6" xfId="0" applyNumberFormat="1" applyFont="1" applyFill="1" applyBorder="1" applyAlignment="1">
      <alignment horizontal="center"/>
    </xf>
    <xf numFmtId="9" fontId="11" fillId="2" borderId="7" xfId="0" applyNumberFormat="1" applyFont="1" applyFill="1" applyBorder="1" applyAlignment="1">
      <alignment horizontal="center"/>
    </xf>
    <xf numFmtId="9" fontId="3" fillId="2" borderId="5" xfId="0" applyNumberFormat="1" applyFont="1" applyFill="1" applyBorder="1" applyAlignment="1">
      <alignment horizontal="center"/>
    </xf>
    <xf numFmtId="9" fontId="3" fillId="2" borderId="7" xfId="0" applyNumberFormat="1" applyFont="1" applyFill="1" applyBorder="1" applyAlignment="1">
      <alignment horizontal="center"/>
    </xf>
    <xf numFmtId="9" fontId="3" fillId="2" borderId="6" xfId="0" applyNumberFormat="1" applyFont="1" applyFill="1" applyBorder="1" applyAlignment="1">
      <alignment horizontal="center"/>
    </xf>
    <xf numFmtId="9" fontId="3" fillId="2" borderId="12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right"/>
    </xf>
    <xf numFmtId="2" fontId="8" fillId="2" borderId="1" xfId="0" applyNumberFormat="1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15" fontId="3" fillId="2" borderId="0" xfId="0" applyNumberFormat="1" applyFont="1" applyFill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tabSelected="1" view="pageBreakPreview" topLeftCell="A4" zoomScale="60" zoomScaleNormal="100" workbookViewId="0">
      <selection activeCell="N15" sqref="N15:Q15"/>
    </sheetView>
  </sheetViews>
  <sheetFormatPr defaultColWidth="11.875" defaultRowHeight="23.25"/>
  <cols>
    <col min="1" max="1" width="8" style="3" customWidth="1"/>
    <col min="2" max="5" width="6.625" style="4" customWidth="1"/>
    <col min="6" max="6" width="6.75" style="4" customWidth="1"/>
    <col min="7" max="7" width="6.625" style="4" customWidth="1"/>
    <col min="8" max="8" width="8.875" style="4" customWidth="1"/>
    <col min="9" max="9" width="9.25" style="4" customWidth="1"/>
    <col min="10" max="10" width="9" style="4" customWidth="1"/>
    <col min="11" max="12" width="5.25" style="4" customWidth="1"/>
    <col min="13" max="13" width="7.75" style="4" customWidth="1"/>
    <col min="14" max="17" width="6.875" style="4" customWidth="1"/>
    <col min="18" max="18" width="10" style="4" customWidth="1"/>
    <col min="19" max="19" width="11.875" style="4" customWidth="1"/>
    <col min="20" max="21" width="7.75" style="4" customWidth="1"/>
    <col min="22" max="23" width="11.625" style="4" customWidth="1"/>
    <col min="24" max="24" width="17.625" style="3" customWidth="1"/>
    <col min="25" max="25" width="13.625" style="3" bestFit="1" customWidth="1"/>
    <col min="26" max="26" width="22.75" style="3" customWidth="1"/>
    <col min="27" max="27" width="20.75" style="3" bestFit="1" customWidth="1"/>
    <col min="28" max="16384" width="11.875" style="4"/>
  </cols>
  <sheetData>
    <row r="1" spans="1:29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"/>
      <c r="Y1" s="2"/>
    </row>
    <row r="2" spans="1:29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"/>
      <c r="Y2" s="2"/>
      <c r="Z2" s="2"/>
      <c r="AA2" s="2"/>
      <c r="AB2" s="5"/>
      <c r="AC2" s="2"/>
    </row>
    <row r="3" spans="1:29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1"/>
      <c r="Y3" s="2"/>
      <c r="Z3" s="2"/>
      <c r="AA3" s="2"/>
      <c r="AB3" s="5"/>
    </row>
    <row r="4" spans="1:29" ht="24" customHeight="1">
      <c r="A4" s="109" t="s">
        <v>2</v>
      </c>
      <c r="B4" s="109"/>
      <c r="C4" s="113" t="s">
        <v>3</v>
      </c>
      <c r="D4" s="113"/>
      <c r="E4" s="113"/>
      <c r="F4" s="113"/>
      <c r="G4" s="113"/>
      <c r="H4" s="5"/>
      <c r="I4" s="5"/>
      <c r="J4" s="109" t="s">
        <v>4</v>
      </c>
      <c r="K4" s="109"/>
      <c r="L4" s="113" t="s">
        <v>134</v>
      </c>
      <c r="M4" s="110"/>
      <c r="N4" s="110"/>
      <c r="O4" s="110"/>
      <c r="P4" s="110"/>
      <c r="Q4" s="5"/>
      <c r="R4" s="5"/>
      <c r="S4" s="109" t="s">
        <v>5</v>
      </c>
      <c r="T4" s="109"/>
      <c r="U4" s="114">
        <f ca="1">TODAY()</f>
        <v>46058</v>
      </c>
      <c r="V4" s="114"/>
      <c r="W4" s="114"/>
      <c r="X4" s="6" t="s">
        <v>6</v>
      </c>
      <c r="Y4" s="7">
        <f>540/R90</f>
        <v>18.373909049150207</v>
      </c>
      <c r="Z4" s="6" t="s">
        <v>7</v>
      </c>
      <c r="AA4" s="7">
        <v>95</v>
      </c>
      <c r="AB4" s="5"/>
    </row>
    <row r="5" spans="1:29">
      <c r="A5" s="109" t="s">
        <v>8</v>
      </c>
      <c r="B5" s="109"/>
      <c r="C5" s="110" t="s">
        <v>9</v>
      </c>
      <c r="D5" s="110"/>
      <c r="E5" s="110"/>
      <c r="F5" s="110"/>
      <c r="G5" s="110"/>
      <c r="H5" s="5"/>
      <c r="I5" s="5"/>
      <c r="J5" s="109" t="s">
        <v>10</v>
      </c>
      <c r="K5" s="109"/>
      <c r="L5" s="110" t="s">
        <v>11</v>
      </c>
      <c r="M5" s="110"/>
      <c r="N5" s="110"/>
      <c r="O5" s="110"/>
      <c r="P5" s="110"/>
      <c r="Q5" s="5"/>
      <c r="R5" s="5"/>
      <c r="S5" s="109" t="s">
        <v>12</v>
      </c>
      <c r="T5" s="109"/>
      <c r="U5" s="110" t="s">
        <v>13</v>
      </c>
      <c r="V5" s="110"/>
      <c r="W5" s="110"/>
      <c r="X5" s="6" t="s">
        <v>14</v>
      </c>
      <c r="Y5" s="7">
        <f>Y4*AA4</f>
        <v>1745.5213596692697</v>
      </c>
      <c r="Z5" s="6" t="s">
        <v>15</v>
      </c>
      <c r="AA5" s="7">
        <f>Y5/9</f>
        <v>193.94681774102997</v>
      </c>
      <c r="AB5" s="5"/>
    </row>
    <row r="6" spans="1:29">
      <c r="A6" s="8"/>
      <c r="B6" s="9"/>
      <c r="C6" s="10"/>
      <c r="D6" s="10"/>
      <c r="E6" s="10"/>
      <c r="F6" s="10"/>
      <c r="G6" s="10"/>
      <c r="H6" s="5"/>
      <c r="I6" s="5"/>
      <c r="J6" s="9"/>
      <c r="K6" s="9"/>
      <c r="L6" s="10"/>
      <c r="M6" s="10"/>
      <c r="N6" s="10"/>
      <c r="O6" s="10"/>
      <c r="P6" s="10"/>
      <c r="Q6" s="5"/>
      <c r="R6" s="5"/>
      <c r="S6" s="9"/>
      <c r="T6" s="9"/>
      <c r="U6" s="10"/>
      <c r="V6" s="10"/>
      <c r="W6" s="10"/>
      <c r="X6" s="11"/>
      <c r="Y6" s="12"/>
      <c r="Z6" s="12"/>
      <c r="AA6" s="12"/>
      <c r="AB6" s="5"/>
      <c r="AC6" s="10"/>
    </row>
    <row r="7" spans="1:29" ht="24" customHeight="1">
      <c r="A7" s="109" t="s">
        <v>16</v>
      </c>
      <c r="B7" s="109"/>
      <c r="C7" s="109"/>
      <c r="D7" s="122" t="s">
        <v>133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5"/>
    </row>
    <row r="8" spans="1:29" ht="24" customHeight="1">
      <c r="A8" s="8"/>
      <c r="B8" s="9"/>
      <c r="C8" s="10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5"/>
    </row>
    <row r="9" spans="1:29">
      <c r="A9" s="1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2"/>
      <c r="Y9" s="12"/>
      <c r="Z9" s="12"/>
      <c r="AA9" s="12"/>
      <c r="AB9" s="5"/>
    </row>
    <row r="10" spans="1:29" ht="61.5" customHeight="1">
      <c r="A10" s="13" t="s">
        <v>17</v>
      </c>
      <c r="B10" s="111" t="s">
        <v>18</v>
      </c>
      <c r="C10" s="111"/>
      <c r="D10" s="111"/>
      <c r="E10" s="111"/>
      <c r="F10" s="111"/>
      <c r="G10" s="111"/>
      <c r="H10" s="111"/>
      <c r="I10" s="111"/>
      <c r="J10" s="111" t="s">
        <v>19</v>
      </c>
      <c r="K10" s="111"/>
      <c r="L10" s="111"/>
      <c r="M10" s="111"/>
      <c r="N10" s="111" t="s">
        <v>20</v>
      </c>
      <c r="O10" s="111"/>
      <c r="P10" s="111"/>
      <c r="Q10" s="111"/>
      <c r="R10" s="111" t="s">
        <v>21</v>
      </c>
      <c r="S10" s="111"/>
      <c r="T10" s="111" t="s">
        <v>22</v>
      </c>
      <c r="U10" s="111"/>
      <c r="V10" s="123" t="s">
        <v>23</v>
      </c>
      <c r="W10" s="124"/>
      <c r="X10" s="13" t="s">
        <v>24</v>
      </c>
      <c r="Y10" s="13" t="s">
        <v>25</v>
      </c>
      <c r="Z10" s="13" t="s">
        <v>26</v>
      </c>
      <c r="AA10" s="13" t="s">
        <v>27</v>
      </c>
    </row>
    <row r="11" spans="1:29">
      <c r="A11" s="14"/>
      <c r="B11" s="115" t="s">
        <v>28</v>
      </c>
      <c r="C11" s="116"/>
      <c r="D11" s="116"/>
      <c r="E11" s="116"/>
      <c r="F11" s="116"/>
      <c r="G11" s="116"/>
      <c r="H11" s="116"/>
      <c r="I11" s="117"/>
      <c r="J11" s="118"/>
      <c r="K11" s="119"/>
      <c r="L11" s="119"/>
      <c r="M11" s="120"/>
      <c r="N11" s="118"/>
      <c r="O11" s="119"/>
      <c r="P11" s="119"/>
      <c r="Q11" s="120"/>
      <c r="R11" s="121"/>
      <c r="S11" s="121"/>
      <c r="T11" s="121"/>
      <c r="U11" s="121"/>
      <c r="V11" s="121"/>
      <c r="W11" s="118"/>
      <c r="X11" s="15"/>
      <c r="Y11" s="15"/>
      <c r="Z11" s="15"/>
      <c r="AA11" s="15"/>
    </row>
    <row r="12" spans="1:29">
      <c r="A12" s="16">
        <v>1</v>
      </c>
      <c r="B12" s="54" t="s">
        <v>29</v>
      </c>
      <c r="C12" s="54"/>
      <c r="D12" s="54"/>
      <c r="E12" s="54"/>
      <c r="F12" s="54"/>
      <c r="G12" s="54"/>
      <c r="H12" s="54"/>
      <c r="I12" s="54"/>
      <c r="J12" s="55" t="s">
        <v>30</v>
      </c>
      <c r="K12" s="55"/>
      <c r="L12" s="55"/>
      <c r="M12" s="55"/>
      <c r="N12" s="55" t="s">
        <v>31</v>
      </c>
      <c r="O12" s="55"/>
      <c r="P12" s="55"/>
      <c r="Q12" s="55"/>
      <c r="R12" s="56">
        <v>0.52</v>
      </c>
      <c r="S12" s="56"/>
      <c r="T12" s="56">
        <f>R12</f>
        <v>0.52</v>
      </c>
      <c r="U12" s="56"/>
      <c r="V12" s="56"/>
      <c r="W12" s="51"/>
      <c r="X12" s="17">
        <f t="shared" ref="X12:X78" si="0">60/R12</f>
        <v>115.38461538461539</v>
      </c>
      <c r="Y12" s="17">
        <f t="shared" ref="Y12:Y78" si="1">X12*0.95</f>
        <v>109.61538461538461</v>
      </c>
      <c r="Z12" s="18">
        <f t="shared" ref="Z12:Z78" si="2">AA$5/Y12</f>
        <v>1.7693393899181682</v>
      </c>
      <c r="AA12" s="19">
        <v>2</v>
      </c>
    </row>
    <row r="13" spans="1:29">
      <c r="A13" s="43">
        <v>2</v>
      </c>
      <c r="B13" s="54" t="s">
        <v>32</v>
      </c>
      <c r="C13" s="54"/>
      <c r="D13" s="54"/>
      <c r="E13" s="54"/>
      <c r="F13" s="54"/>
      <c r="G13" s="54"/>
      <c r="H13" s="54"/>
      <c r="I13" s="54"/>
      <c r="J13" s="55" t="s">
        <v>33</v>
      </c>
      <c r="K13" s="55"/>
      <c r="L13" s="55"/>
      <c r="M13" s="55"/>
      <c r="N13" s="55" t="s">
        <v>31</v>
      </c>
      <c r="O13" s="55"/>
      <c r="P13" s="55"/>
      <c r="Q13" s="55"/>
      <c r="R13" s="56">
        <v>0.24</v>
      </c>
      <c r="S13" s="56"/>
      <c r="T13" s="56"/>
      <c r="U13" s="56"/>
      <c r="V13" s="56">
        <f>R13</f>
        <v>0.24</v>
      </c>
      <c r="W13" s="51"/>
      <c r="X13" s="17">
        <f t="shared" si="0"/>
        <v>250</v>
      </c>
      <c r="Y13" s="17">
        <f t="shared" si="1"/>
        <v>237.5</v>
      </c>
      <c r="Z13" s="18">
        <f t="shared" si="2"/>
        <v>0.81661817996223152</v>
      </c>
      <c r="AA13" s="19">
        <v>1</v>
      </c>
    </row>
    <row r="14" spans="1:29">
      <c r="A14" s="43">
        <v>3</v>
      </c>
      <c r="B14" s="54" t="s">
        <v>34</v>
      </c>
      <c r="C14" s="54"/>
      <c r="D14" s="54"/>
      <c r="E14" s="54"/>
      <c r="F14" s="54"/>
      <c r="G14" s="54"/>
      <c r="H14" s="54"/>
      <c r="I14" s="54"/>
      <c r="J14" s="55" t="s">
        <v>30</v>
      </c>
      <c r="K14" s="55"/>
      <c r="L14" s="55"/>
      <c r="M14" s="55"/>
      <c r="N14" s="55" t="s">
        <v>31</v>
      </c>
      <c r="O14" s="55"/>
      <c r="P14" s="55"/>
      <c r="Q14" s="55"/>
      <c r="R14" s="56">
        <v>0.4</v>
      </c>
      <c r="S14" s="56"/>
      <c r="T14" s="56">
        <f>R14</f>
        <v>0.4</v>
      </c>
      <c r="U14" s="56"/>
      <c r="V14" s="56"/>
      <c r="W14" s="51"/>
      <c r="X14" s="17">
        <f t="shared" si="0"/>
        <v>150</v>
      </c>
      <c r="Y14" s="17">
        <f t="shared" si="1"/>
        <v>142.5</v>
      </c>
      <c r="Z14" s="18">
        <f t="shared" si="2"/>
        <v>1.3610302999370525</v>
      </c>
      <c r="AA14" s="19">
        <v>1.5</v>
      </c>
    </row>
    <row r="15" spans="1:29">
      <c r="A15" s="44">
        <v>4</v>
      </c>
      <c r="B15" s="54" t="s">
        <v>35</v>
      </c>
      <c r="C15" s="54"/>
      <c r="D15" s="54"/>
      <c r="E15" s="54"/>
      <c r="F15" s="54"/>
      <c r="G15" s="54"/>
      <c r="H15" s="54"/>
      <c r="I15" s="54"/>
      <c r="J15" s="55" t="s">
        <v>36</v>
      </c>
      <c r="K15" s="55"/>
      <c r="L15" s="55"/>
      <c r="M15" s="55"/>
      <c r="N15" s="55" t="s">
        <v>31</v>
      </c>
      <c r="O15" s="55"/>
      <c r="P15" s="55"/>
      <c r="Q15" s="55"/>
      <c r="R15" s="56">
        <v>0.15</v>
      </c>
      <c r="S15" s="56"/>
      <c r="T15" s="56"/>
      <c r="U15" s="56"/>
      <c r="V15" s="56">
        <f>R15</f>
        <v>0.15</v>
      </c>
      <c r="W15" s="51"/>
      <c r="X15" s="17">
        <f t="shared" si="0"/>
        <v>400</v>
      </c>
      <c r="Y15" s="17">
        <f t="shared" si="1"/>
        <v>380</v>
      </c>
      <c r="Z15" s="18">
        <f t="shared" si="2"/>
        <v>0.51038636247639468</v>
      </c>
      <c r="AA15" s="19">
        <v>1</v>
      </c>
    </row>
    <row r="16" spans="1:29" s="21" customFormat="1">
      <c r="A16" s="44">
        <v>5</v>
      </c>
      <c r="B16" s="107" t="s">
        <v>37</v>
      </c>
      <c r="C16" s="107"/>
      <c r="D16" s="107"/>
      <c r="E16" s="107"/>
      <c r="F16" s="107"/>
      <c r="G16" s="107"/>
      <c r="H16" s="107"/>
      <c r="I16" s="107"/>
      <c r="J16" s="108" t="s">
        <v>30</v>
      </c>
      <c r="K16" s="108"/>
      <c r="L16" s="108"/>
      <c r="M16" s="108"/>
      <c r="N16" s="108" t="s">
        <v>38</v>
      </c>
      <c r="O16" s="108"/>
      <c r="P16" s="108"/>
      <c r="Q16" s="108"/>
      <c r="R16" s="100">
        <v>0.21</v>
      </c>
      <c r="S16" s="100"/>
      <c r="T16" s="100">
        <f>R16</f>
        <v>0.21</v>
      </c>
      <c r="U16" s="100"/>
      <c r="V16" s="100"/>
      <c r="W16" s="92"/>
      <c r="X16" s="17">
        <f t="shared" si="0"/>
        <v>285.71428571428572</v>
      </c>
      <c r="Y16" s="17">
        <f t="shared" si="1"/>
        <v>271.42857142857144</v>
      </c>
      <c r="Z16" s="18">
        <f t="shared" si="2"/>
        <v>0.71454090746695254</v>
      </c>
      <c r="AA16" s="20">
        <v>1</v>
      </c>
    </row>
    <row r="17" spans="1:28">
      <c r="A17" s="44">
        <v>6</v>
      </c>
      <c r="B17" s="54" t="s">
        <v>39</v>
      </c>
      <c r="C17" s="54"/>
      <c r="D17" s="54"/>
      <c r="E17" s="54"/>
      <c r="F17" s="54"/>
      <c r="G17" s="54"/>
      <c r="H17" s="54"/>
      <c r="I17" s="54"/>
      <c r="J17" s="55" t="s">
        <v>30</v>
      </c>
      <c r="K17" s="55"/>
      <c r="L17" s="55"/>
      <c r="M17" s="55"/>
      <c r="N17" s="55" t="s">
        <v>31</v>
      </c>
      <c r="O17" s="55"/>
      <c r="P17" s="55"/>
      <c r="Q17" s="55"/>
      <c r="R17" s="56">
        <v>0.3</v>
      </c>
      <c r="S17" s="56"/>
      <c r="T17" s="56">
        <f>R17</f>
        <v>0.3</v>
      </c>
      <c r="U17" s="56"/>
      <c r="V17" s="56"/>
      <c r="W17" s="51"/>
      <c r="X17" s="17">
        <f t="shared" si="0"/>
        <v>200</v>
      </c>
      <c r="Y17" s="17">
        <f t="shared" si="1"/>
        <v>190</v>
      </c>
      <c r="Z17" s="18">
        <f t="shared" si="2"/>
        <v>1.0207727249527894</v>
      </c>
      <c r="AA17" s="19">
        <v>1</v>
      </c>
    </row>
    <row r="18" spans="1:28">
      <c r="A18" s="44">
        <v>7</v>
      </c>
      <c r="B18" s="45" t="s">
        <v>111</v>
      </c>
      <c r="C18" s="46"/>
      <c r="D18" s="46"/>
      <c r="E18" s="46"/>
      <c r="F18" s="46"/>
      <c r="G18" s="46"/>
      <c r="H18" s="46"/>
      <c r="I18" s="47"/>
      <c r="J18" s="55" t="s">
        <v>30</v>
      </c>
      <c r="K18" s="55"/>
      <c r="L18" s="55"/>
      <c r="M18" s="55"/>
      <c r="N18" s="55" t="s">
        <v>31</v>
      </c>
      <c r="O18" s="55"/>
      <c r="P18" s="55"/>
      <c r="Q18" s="55"/>
      <c r="R18" s="56">
        <v>0.5</v>
      </c>
      <c r="S18" s="56"/>
      <c r="T18" s="56">
        <f>R18</f>
        <v>0.5</v>
      </c>
      <c r="U18" s="56"/>
      <c r="V18" s="56"/>
      <c r="W18" s="51"/>
      <c r="X18" s="17">
        <f t="shared" si="0"/>
        <v>120</v>
      </c>
      <c r="Y18" s="17">
        <f t="shared" si="1"/>
        <v>114</v>
      </c>
      <c r="Z18" s="18">
        <f t="shared" si="2"/>
        <v>1.7012878749213156</v>
      </c>
      <c r="AA18" s="19">
        <v>2</v>
      </c>
    </row>
    <row r="19" spans="1:28">
      <c r="A19" s="44">
        <v>8</v>
      </c>
      <c r="B19" s="54" t="s">
        <v>112</v>
      </c>
      <c r="C19" s="54"/>
      <c r="D19" s="54"/>
      <c r="E19" s="54"/>
      <c r="F19" s="54"/>
      <c r="G19" s="54"/>
      <c r="H19" s="54"/>
      <c r="I19" s="54"/>
      <c r="J19" s="55" t="s">
        <v>30</v>
      </c>
      <c r="K19" s="55"/>
      <c r="L19" s="55"/>
      <c r="M19" s="55"/>
      <c r="N19" s="55" t="s">
        <v>31</v>
      </c>
      <c r="O19" s="55"/>
      <c r="P19" s="55"/>
      <c r="Q19" s="55"/>
      <c r="R19" s="56">
        <v>0.5</v>
      </c>
      <c r="S19" s="56"/>
      <c r="T19" s="56">
        <f>R19</f>
        <v>0.5</v>
      </c>
      <c r="U19" s="56"/>
      <c r="V19" s="56"/>
      <c r="W19" s="51"/>
      <c r="X19" s="17">
        <f t="shared" si="0"/>
        <v>120</v>
      </c>
      <c r="Y19" s="17">
        <f t="shared" si="1"/>
        <v>114</v>
      </c>
      <c r="Z19" s="18">
        <f t="shared" si="2"/>
        <v>1.7012878749213156</v>
      </c>
      <c r="AA19" s="19">
        <v>2</v>
      </c>
    </row>
    <row r="20" spans="1:28">
      <c r="A20" s="44">
        <v>9</v>
      </c>
      <c r="B20" s="54" t="s">
        <v>40</v>
      </c>
      <c r="C20" s="54"/>
      <c r="D20" s="54"/>
      <c r="E20" s="54"/>
      <c r="F20" s="54"/>
      <c r="G20" s="54"/>
      <c r="H20" s="54"/>
      <c r="I20" s="54"/>
      <c r="J20" s="55" t="s">
        <v>41</v>
      </c>
      <c r="K20" s="55"/>
      <c r="L20" s="55"/>
      <c r="M20" s="55"/>
      <c r="N20" s="55" t="s">
        <v>31</v>
      </c>
      <c r="O20" s="55"/>
      <c r="P20" s="55"/>
      <c r="Q20" s="55"/>
      <c r="R20" s="56">
        <v>0.25</v>
      </c>
      <c r="S20" s="56"/>
      <c r="T20" s="56"/>
      <c r="U20" s="56"/>
      <c r="V20" s="56">
        <f>R20</f>
        <v>0.25</v>
      </c>
      <c r="W20" s="51"/>
      <c r="X20" s="17">
        <f t="shared" si="0"/>
        <v>240</v>
      </c>
      <c r="Y20" s="17">
        <f t="shared" si="1"/>
        <v>228</v>
      </c>
      <c r="Z20" s="18">
        <f t="shared" si="2"/>
        <v>0.85064393746065781</v>
      </c>
      <c r="AA20" s="19">
        <v>1</v>
      </c>
    </row>
    <row r="21" spans="1:28">
      <c r="A21" s="44">
        <v>10</v>
      </c>
      <c r="B21" s="97" t="s">
        <v>42</v>
      </c>
      <c r="C21" s="97"/>
      <c r="D21" s="97"/>
      <c r="E21" s="97"/>
      <c r="F21" s="97"/>
      <c r="G21" s="97"/>
      <c r="H21" s="97"/>
      <c r="I21" s="97"/>
      <c r="J21" s="98" t="s">
        <v>30</v>
      </c>
      <c r="K21" s="98"/>
      <c r="L21" s="98"/>
      <c r="M21" s="98"/>
      <c r="N21" s="98" t="s">
        <v>31</v>
      </c>
      <c r="O21" s="98"/>
      <c r="P21" s="98"/>
      <c r="Q21" s="98"/>
      <c r="R21" s="57">
        <v>0.27</v>
      </c>
      <c r="S21" s="57"/>
      <c r="T21" s="57">
        <f>R21</f>
        <v>0.27</v>
      </c>
      <c r="U21" s="57"/>
      <c r="V21" s="57"/>
      <c r="W21" s="99"/>
      <c r="X21" s="17">
        <f t="shared" si="0"/>
        <v>222.2222222222222</v>
      </c>
      <c r="Y21" s="17">
        <f t="shared" si="1"/>
        <v>211.11111111111109</v>
      </c>
      <c r="Z21" s="18">
        <f t="shared" si="2"/>
        <v>0.9186954524575105</v>
      </c>
      <c r="AA21" s="19">
        <v>1</v>
      </c>
    </row>
    <row r="22" spans="1:28">
      <c r="A22" s="44">
        <v>11</v>
      </c>
      <c r="B22" s="54" t="s">
        <v>43</v>
      </c>
      <c r="C22" s="54"/>
      <c r="D22" s="54"/>
      <c r="E22" s="54"/>
      <c r="F22" s="54"/>
      <c r="G22" s="54"/>
      <c r="H22" s="54"/>
      <c r="I22" s="54"/>
      <c r="J22" s="55" t="s">
        <v>44</v>
      </c>
      <c r="K22" s="55"/>
      <c r="L22" s="55"/>
      <c r="M22" s="55"/>
      <c r="N22" s="55" t="s">
        <v>31</v>
      </c>
      <c r="O22" s="55"/>
      <c r="P22" s="55"/>
      <c r="Q22" s="55"/>
      <c r="R22" s="57">
        <v>0.25</v>
      </c>
      <c r="S22" s="57"/>
      <c r="T22" s="56"/>
      <c r="U22" s="56"/>
      <c r="V22" s="56">
        <f>R22</f>
        <v>0.25</v>
      </c>
      <c r="W22" s="51"/>
      <c r="X22" s="17">
        <f t="shared" si="0"/>
        <v>240</v>
      </c>
      <c r="Y22" s="17">
        <f t="shared" si="1"/>
        <v>228</v>
      </c>
      <c r="Z22" s="18">
        <f t="shared" si="2"/>
        <v>0.85064393746065781</v>
      </c>
      <c r="AA22" s="19">
        <v>1</v>
      </c>
    </row>
    <row r="23" spans="1:28">
      <c r="A23" s="44">
        <v>12</v>
      </c>
      <c r="B23" s="54" t="s">
        <v>45</v>
      </c>
      <c r="C23" s="54"/>
      <c r="D23" s="54"/>
      <c r="E23" s="54"/>
      <c r="F23" s="54"/>
      <c r="G23" s="54"/>
      <c r="H23" s="54"/>
      <c r="I23" s="54"/>
      <c r="J23" s="55" t="s">
        <v>46</v>
      </c>
      <c r="K23" s="55"/>
      <c r="L23" s="55"/>
      <c r="M23" s="55"/>
      <c r="N23" s="55" t="s">
        <v>31</v>
      </c>
      <c r="O23" s="55"/>
      <c r="P23" s="55"/>
      <c r="Q23" s="55"/>
      <c r="R23" s="56">
        <v>0.24</v>
      </c>
      <c r="S23" s="56"/>
      <c r="T23" s="56"/>
      <c r="U23" s="56"/>
      <c r="V23" s="56">
        <f>R23</f>
        <v>0.24</v>
      </c>
      <c r="W23" s="51"/>
      <c r="X23" s="17">
        <f t="shared" si="0"/>
        <v>250</v>
      </c>
      <c r="Y23" s="17">
        <f t="shared" si="1"/>
        <v>237.5</v>
      </c>
      <c r="Z23" s="18">
        <f t="shared" si="2"/>
        <v>0.81661817996223152</v>
      </c>
      <c r="AA23" s="19">
        <v>1</v>
      </c>
    </row>
    <row r="24" spans="1:28">
      <c r="A24" s="44">
        <v>13</v>
      </c>
      <c r="B24" s="54" t="s">
        <v>47</v>
      </c>
      <c r="C24" s="54"/>
      <c r="D24" s="54"/>
      <c r="E24" s="54"/>
      <c r="F24" s="54"/>
      <c r="G24" s="54"/>
      <c r="H24" s="54"/>
      <c r="I24" s="54"/>
      <c r="J24" s="55" t="s">
        <v>48</v>
      </c>
      <c r="K24" s="55"/>
      <c r="L24" s="55"/>
      <c r="M24" s="55"/>
      <c r="N24" s="55" t="s">
        <v>31</v>
      </c>
      <c r="O24" s="55"/>
      <c r="P24" s="55"/>
      <c r="Q24" s="55"/>
      <c r="R24" s="56">
        <v>0.26</v>
      </c>
      <c r="S24" s="56"/>
      <c r="T24" s="56"/>
      <c r="U24" s="56"/>
      <c r="V24" s="56">
        <f>R24</f>
        <v>0.26</v>
      </c>
      <c r="W24" s="51"/>
      <c r="X24" s="17">
        <f t="shared" si="0"/>
        <v>230.76923076923077</v>
      </c>
      <c r="Y24" s="17">
        <f t="shared" si="1"/>
        <v>219.23076923076923</v>
      </c>
      <c r="Z24" s="18">
        <f t="shared" si="2"/>
        <v>0.8846696949590841</v>
      </c>
      <c r="AA24" s="19">
        <v>1</v>
      </c>
    </row>
    <row r="25" spans="1:28">
      <c r="A25" s="44">
        <v>14</v>
      </c>
      <c r="B25" s="54" t="s">
        <v>104</v>
      </c>
      <c r="C25" s="54"/>
      <c r="D25" s="54"/>
      <c r="E25" s="54"/>
      <c r="F25" s="54"/>
      <c r="G25" s="54"/>
      <c r="H25" s="54"/>
      <c r="I25" s="54"/>
      <c r="J25" s="48" t="s">
        <v>58</v>
      </c>
      <c r="K25" s="49"/>
      <c r="L25" s="49"/>
      <c r="M25" s="50"/>
      <c r="N25" s="55" t="s">
        <v>31</v>
      </c>
      <c r="O25" s="55"/>
      <c r="P25" s="55"/>
      <c r="Q25" s="55"/>
      <c r="R25" s="56">
        <v>0.3</v>
      </c>
      <c r="S25" s="56"/>
      <c r="T25" s="56">
        <f>R25</f>
        <v>0.3</v>
      </c>
      <c r="U25" s="56"/>
      <c r="V25" s="56">
        <f>R25</f>
        <v>0.3</v>
      </c>
      <c r="W25" s="51"/>
      <c r="X25" s="17">
        <f t="shared" si="0"/>
        <v>200</v>
      </c>
      <c r="Y25" s="17">
        <f t="shared" si="1"/>
        <v>190</v>
      </c>
      <c r="Z25" s="18">
        <f t="shared" si="2"/>
        <v>1.0207727249527894</v>
      </c>
      <c r="AA25" s="19">
        <v>1</v>
      </c>
    </row>
    <row r="26" spans="1:28">
      <c r="A26" s="44">
        <v>15</v>
      </c>
      <c r="B26" s="54" t="s">
        <v>50</v>
      </c>
      <c r="C26" s="54"/>
      <c r="D26" s="54"/>
      <c r="E26" s="54"/>
      <c r="F26" s="54"/>
      <c r="G26" s="54"/>
      <c r="H26" s="54"/>
      <c r="I26" s="54"/>
      <c r="J26" s="48" t="s">
        <v>51</v>
      </c>
      <c r="K26" s="49"/>
      <c r="L26" s="49"/>
      <c r="M26" s="50"/>
      <c r="N26" s="55" t="s">
        <v>31</v>
      </c>
      <c r="O26" s="55"/>
      <c r="P26" s="55"/>
      <c r="Q26" s="55"/>
      <c r="R26" s="105">
        <v>0.28000000000000003</v>
      </c>
      <c r="S26" s="105"/>
      <c r="T26" s="105">
        <f>R26</f>
        <v>0.28000000000000003</v>
      </c>
      <c r="U26" s="105"/>
      <c r="V26" s="105"/>
      <c r="W26" s="106"/>
      <c r="X26" s="17">
        <f t="shared" si="0"/>
        <v>214.28571428571428</v>
      </c>
      <c r="Y26" s="17">
        <f t="shared" si="1"/>
        <v>203.57142857142856</v>
      </c>
      <c r="Z26" s="18">
        <f t="shared" si="2"/>
        <v>0.95272120995593679</v>
      </c>
      <c r="AA26" s="19">
        <v>1</v>
      </c>
    </row>
    <row r="27" spans="1:28" ht="23.25" customHeight="1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102" t="s">
        <v>52</v>
      </c>
      <c r="O27" s="102"/>
      <c r="P27" s="102"/>
      <c r="Q27" s="102"/>
      <c r="R27" s="67">
        <f>SUM(R12:S26)</f>
        <v>4.67</v>
      </c>
      <c r="S27" s="67"/>
      <c r="T27" s="67">
        <f>SUM(T12:U26)</f>
        <v>3.2800000000000002</v>
      </c>
      <c r="U27" s="67"/>
      <c r="V27" s="67">
        <f>SUM(V12:W26)</f>
        <v>1.69</v>
      </c>
      <c r="W27" s="67"/>
      <c r="X27" s="24"/>
      <c r="Y27" s="17"/>
      <c r="Z27" s="18"/>
      <c r="AA27" s="25">
        <f>SUM(AA12:AA26)</f>
        <v>18.5</v>
      </c>
    </row>
    <row r="28" spans="1:28">
      <c r="A28" s="26"/>
      <c r="B28" s="27" t="s">
        <v>53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9"/>
      <c r="S28" s="29"/>
      <c r="T28" s="29"/>
      <c r="U28" s="29"/>
      <c r="V28" s="29"/>
      <c r="W28" s="29"/>
      <c r="X28" s="30"/>
      <c r="Y28" s="31"/>
      <c r="Z28" s="31"/>
      <c r="AA28" s="31"/>
    </row>
    <row r="29" spans="1:28" ht="23.25" customHeight="1">
      <c r="A29" s="32">
        <v>1</v>
      </c>
      <c r="B29" s="45" t="s">
        <v>126</v>
      </c>
      <c r="C29" s="46"/>
      <c r="D29" s="46"/>
      <c r="E29" s="46"/>
      <c r="F29" s="46"/>
      <c r="G29" s="46"/>
      <c r="H29" s="46"/>
      <c r="I29" s="47"/>
      <c r="J29" s="48" t="s">
        <v>127</v>
      </c>
      <c r="K29" s="49"/>
      <c r="L29" s="49"/>
      <c r="M29" s="50"/>
      <c r="N29" s="48" t="s">
        <v>128</v>
      </c>
      <c r="O29" s="49"/>
      <c r="P29" s="49"/>
      <c r="Q29" s="50"/>
      <c r="R29" s="103">
        <v>0.6</v>
      </c>
      <c r="S29" s="104"/>
      <c r="T29" s="51">
        <f>R29</f>
        <v>0.6</v>
      </c>
      <c r="U29" s="52"/>
      <c r="V29" s="51"/>
      <c r="W29" s="53"/>
      <c r="X29" s="17">
        <f t="shared" si="0"/>
        <v>100</v>
      </c>
      <c r="Y29" s="17">
        <f t="shared" si="1"/>
        <v>95</v>
      </c>
      <c r="Z29" s="18">
        <f t="shared" si="2"/>
        <v>2.0415454499055787</v>
      </c>
      <c r="AA29" s="20">
        <v>2</v>
      </c>
    </row>
    <row r="30" spans="1:28" s="21" customFormat="1">
      <c r="A30" s="33">
        <v>2</v>
      </c>
      <c r="B30" s="86" t="s">
        <v>129</v>
      </c>
      <c r="C30" s="87"/>
      <c r="D30" s="87"/>
      <c r="E30" s="87"/>
      <c r="F30" s="87"/>
      <c r="G30" s="87"/>
      <c r="H30" s="87"/>
      <c r="I30" s="88"/>
      <c r="J30" s="89" t="s">
        <v>122</v>
      </c>
      <c r="K30" s="90"/>
      <c r="L30" s="90"/>
      <c r="M30" s="91"/>
      <c r="N30" s="89" t="s">
        <v>31</v>
      </c>
      <c r="O30" s="90"/>
      <c r="P30" s="90"/>
      <c r="Q30" s="91"/>
      <c r="R30" s="92">
        <v>0.2</v>
      </c>
      <c r="S30" s="93"/>
      <c r="T30" s="92">
        <f>R30</f>
        <v>0.2</v>
      </c>
      <c r="U30" s="93"/>
      <c r="V30" s="92"/>
      <c r="W30" s="101"/>
      <c r="X30" s="17">
        <f t="shared" si="0"/>
        <v>300</v>
      </c>
      <c r="Y30" s="17">
        <f t="shared" si="1"/>
        <v>285</v>
      </c>
      <c r="Z30" s="18">
        <f t="shared" si="2"/>
        <v>0.68051514996852625</v>
      </c>
      <c r="AA30" s="20">
        <v>1</v>
      </c>
      <c r="AB30" s="4"/>
    </row>
    <row r="31" spans="1:28" s="21" customFormat="1">
      <c r="A31" s="33">
        <v>3</v>
      </c>
      <c r="B31" s="86" t="s">
        <v>121</v>
      </c>
      <c r="C31" s="87"/>
      <c r="D31" s="87"/>
      <c r="E31" s="87"/>
      <c r="F31" s="87"/>
      <c r="G31" s="87"/>
      <c r="H31" s="87"/>
      <c r="I31" s="88"/>
      <c r="J31" s="89" t="s">
        <v>122</v>
      </c>
      <c r="K31" s="90"/>
      <c r="L31" s="90"/>
      <c r="M31" s="91"/>
      <c r="N31" s="89" t="s">
        <v>31</v>
      </c>
      <c r="O31" s="90"/>
      <c r="P31" s="90"/>
      <c r="Q31" s="91"/>
      <c r="R31" s="92">
        <v>0.15</v>
      </c>
      <c r="S31" s="93"/>
      <c r="T31" s="92"/>
      <c r="U31" s="93"/>
      <c r="V31" s="92">
        <f>R31</f>
        <v>0.15</v>
      </c>
      <c r="W31" s="101"/>
      <c r="X31" s="17">
        <f t="shared" ref="X31:X34" si="3">60/R31</f>
        <v>400</v>
      </c>
      <c r="Y31" s="17">
        <f t="shared" ref="Y31:Y34" si="4">X31*0.95</f>
        <v>380</v>
      </c>
      <c r="Z31" s="18">
        <f t="shared" ref="Z31:Z34" si="5">AA$5/Y31</f>
        <v>0.51038636247639468</v>
      </c>
      <c r="AA31" s="20">
        <v>1</v>
      </c>
      <c r="AB31" s="4"/>
    </row>
    <row r="32" spans="1:28" s="21" customFormat="1">
      <c r="A32" s="33">
        <v>4</v>
      </c>
      <c r="B32" s="86" t="s">
        <v>123</v>
      </c>
      <c r="C32" s="87"/>
      <c r="D32" s="87"/>
      <c r="E32" s="87"/>
      <c r="F32" s="87"/>
      <c r="G32" s="87"/>
      <c r="H32" s="87"/>
      <c r="I32" s="88"/>
      <c r="J32" s="89" t="s">
        <v>44</v>
      </c>
      <c r="K32" s="90"/>
      <c r="L32" s="90"/>
      <c r="M32" s="91"/>
      <c r="N32" s="89" t="s">
        <v>31</v>
      </c>
      <c r="O32" s="90"/>
      <c r="P32" s="90"/>
      <c r="Q32" s="91"/>
      <c r="R32" s="92">
        <v>0.55000000000000004</v>
      </c>
      <c r="S32" s="93"/>
      <c r="T32" s="92"/>
      <c r="U32" s="93"/>
      <c r="V32" s="92">
        <f>R32</f>
        <v>0.55000000000000004</v>
      </c>
      <c r="W32" s="101"/>
      <c r="X32" s="17">
        <f t="shared" si="3"/>
        <v>109.09090909090908</v>
      </c>
      <c r="Y32" s="17">
        <f t="shared" si="4"/>
        <v>103.63636363636363</v>
      </c>
      <c r="Z32" s="18">
        <f t="shared" si="5"/>
        <v>1.8714166624134474</v>
      </c>
      <c r="AA32" s="20">
        <v>2</v>
      </c>
      <c r="AB32" s="4"/>
    </row>
    <row r="33" spans="1:28" s="21" customFormat="1">
      <c r="A33" s="33">
        <v>5</v>
      </c>
      <c r="B33" s="86" t="s">
        <v>124</v>
      </c>
      <c r="C33" s="87"/>
      <c r="D33" s="87"/>
      <c r="E33" s="87"/>
      <c r="F33" s="87"/>
      <c r="G33" s="87"/>
      <c r="H33" s="87"/>
      <c r="I33" s="88"/>
      <c r="J33" s="89" t="s">
        <v>30</v>
      </c>
      <c r="K33" s="90"/>
      <c r="L33" s="90"/>
      <c r="M33" s="91"/>
      <c r="N33" s="89" t="s">
        <v>31</v>
      </c>
      <c r="O33" s="90"/>
      <c r="P33" s="90"/>
      <c r="Q33" s="91"/>
      <c r="R33" s="92">
        <v>0.22</v>
      </c>
      <c r="S33" s="93"/>
      <c r="T33" s="92">
        <f>R33</f>
        <v>0.22</v>
      </c>
      <c r="U33" s="93"/>
      <c r="V33" s="92"/>
      <c r="W33" s="101"/>
      <c r="X33" s="17">
        <f t="shared" si="3"/>
        <v>272.72727272727275</v>
      </c>
      <c r="Y33" s="17">
        <f t="shared" si="4"/>
        <v>259.09090909090912</v>
      </c>
      <c r="Z33" s="18">
        <f t="shared" si="5"/>
        <v>0.74856666496537871</v>
      </c>
      <c r="AA33" s="20">
        <v>1</v>
      </c>
      <c r="AB33" s="4"/>
    </row>
    <row r="34" spans="1:28" s="21" customFormat="1">
      <c r="A34" s="33">
        <v>6</v>
      </c>
      <c r="B34" s="86" t="s">
        <v>125</v>
      </c>
      <c r="C34" s="87"/>
      <c r="D34" s="87"/>
      <c r="E34" s="87"/>
      <c r="F34" s="87"/>
      <c r="G34" s="87"/>
      <c r="H34" s="87"/>
      <c r="I34" s="88"/>
      <c r="J34" s="89" t="s">
        <v>30</v>
      </c>
      <c r="K34" s="90"/>
      <c r="L34" s="90"/>
      <c r="M34" s="91"/>
      <c r="N34" s="89" t="s">
        <v>31</v>
      </c>
      <c r="O34" s="90"/>
      <c r="P34" s="90"/>
      <c r="Q34" s="91"/>
      <c r="R34" s="92">
        <v>0.84</v>
      </c>
      <c r="S34" s="93"/>
      <c r="T34" s="92">
        <f>R34</f>
        <v>0.84</v>
      </c>
      <c r="U34" s="93"/>
      <c r="V34" s="92"/>
      <c r="W34" s="101"/>
      <c r="X34" s="17">
        <f t="shared" si="3"/>
        <v>71.428571428571431</v>
      </c>
      <c r="Y34" s="17">
        <f t="shared" si="4"/>
        <v>67.857142857142861</v>
      </c>
      <c r="Z34" s="18">
        <f t="shared" si="5"/>
        <v>2.8581636298678101</v>
      </c>
      <c r="AA34" s="20">
        <v>3</v>
      </c>
      <c r="AB34" s="4"/>
    </row>
    <row r="35" spans="1:28" s="21" customFormat="1">
      <c r="A35" s="33">
        <v>7</v>
      </c>
      <c r="B35" s="86" t="s">
        <v>55</v>
      </c>
      <c r="C35" s="87"/>
      <c r="D35" s="87"/>
      <c r="E35" s="87"/>
      <c r="F35" s="87"/>
      <c r="G35" s="87"/>
      <c r="H35" s="87"/>
      <c r="I35" s="88"/>
      <c r="J35" s="89" t="s">
        <v>30</v>
      </c>
      <c r="K35" s="90"/>
      <c r="L35" s="90"/>
      <c r="M35" s="91"/>
      <c r="N35" s="89" t="s">
        <v>56</v>
      </c>
      <c r="O35" s="90"/>
      <c r="P35" s="90"/>
      <c r="Q35" s="91"/>
      <c r="R35" s="92">
        <v>0.4</v>
      </c>
      <c r="S35" s="93"/>
      <c r="T35" s="92">
        <f t="shared" ref="T35:T40" si="6">R35</f>
        <v>0.4</v>
      </c>
      <c r="U35" s="93"/>
      <c r="V35" s="92"/>
      <c r="W35" s="101"/>
      <c r="X35" s="17">
        <f t="shared" si="0"/>
        <v>150</v>
      </c>
      <c r="Y35" s="17">
        <f t="shared" si="1"/>
        <v>142.5</v>
      </c>
      <c r="Z35" s="18">
        <f t="shared" si="2"/>
        <v>1.3610302999370525</v>
      </c>
      <c r="AA35" s="20">
        <v>1.5</v>
      </c>
      <c r="AB35" s="4"/>
    </row>
    <row r="36" spans="1:28">
      <c r="A36" s="33">
        <v>8</v>
      </c>
      <c r="B36" s="45" t="s">
        <v>57</v>
      </c>
      <c r="C36" s="46"/>
      <c r="D36" s="46"/>
      <c r="E36" s="46"/>
      <c r="F36" s="46"/>
      <c r="G36" s="46"/>
      <c r="H36" s="46"/>
      <c r="I36" s="47"/>
      <c r="J36" s="48" t="s">
        <v>58</v>
      </c>
      <c r="K36" s="49"/>
      <c r="L36" s="49"/>
      <c r="M36" s="50"/>
      <c r="N36" s="48" t="s">
        <v>31</v>
      </c>
      <c r="O36" s="49"/>
      <c r="P36" s="49"/>
      <c r="Q36" s="50"/>
      <c r="R36" s="51">
        <v>0.66</v>
      </c>
      <c r="S36" s="52"/>
      <c r="T36" s="51">
        <f t="shared" si="6"/>
        <v>0.66</v>
      </c>
      <c r="U36" s="52"/>
      <c r="V36" s="51"/>
      <c r="W36" s="53"/>
      <c r="X36" s="17">
        <f t="shared" si="0"/>
        <v>90.909090909090907</v>
      </c>
      <c r="Y36" s="17">
        <f t="shared" si="1"/>
        <v>86.36363636363636</v>
      </c>
      <c r="Z36" s="18">
        <f t="shared" si="2"/>
        <v>2.2456999948961367</v>
      </c>
      <c r="AA36" s="19">
        <v>2.5</v>
      </c>
    </row>
    <row r="37" spans="1:28">
      <c r="A37" s="33">
        <v>9</v>
      </c>
      <c r="B37" s="45" t="s">
        <v>59</v>
      </c>
      <c r="C37" s="46"/>
      <c r="D37" s="46"/>
      <c r="E37" s="46"/>
      <c r="F37" s="46"/>
      <c r="G37" s="46"/>
      <c r="H37" s="46"/>
      <c r="I37" s="47"/>
      <c r="J37" s="48" t="s">
        <v>54</v>
      </c>
      <c r="K37" s="49"/>
      <c r="L37" s="49"/>
      <c r="M37" s="50"/>
      <c r="N37" s="48" t="s">
        <v>31</v>
      </c>
      <c r="O37" s="49"/>
      <c r="P37" s="49"/>
      <c r="Q37" s="50"/>
      <c r="R37" s="51">
        <v>0.3</v>
      </c>
      <c r="S37" s="52"/>
      <c r="T37" s="51"/>
      <c r="U37" s="52"/>
      <c r="V37" s="51">
        <f>R37</f>
        <v>0.3</v>
      </c>
      <c r="W37" s="96"/>
      <c r="X37" s="17">
        <f t="shared" si="0"/>
        <v>200</v>
      </c>
      <c r="Y37" s="17">
        <f t="shared" si="1"/>
        <v>190</v>
      </c>
      <c r="Z37" s="18">
        <f t="shared" si="2"/>
        <v>1.0207727249527894</v>
      </c>
      <c r="AA37" s="19">
        <v>1</v>
      </c>
    </row>
    <row r="38" spans="1:28">
      <c r="A38" s="33">
        <v>10</v>
      </c>
      <c r="B38" s="45" t="s">
        <v>60</v>
      </c>
      <c r="C38" s="46"/>
      <c r="D38" s="46"/>
      <c r="E38" s="46"/>
      <c r="F38" s="46"/>
      <c r="G38" s="46"/>
      <c r="H38" s="46"/>
      <c r="I38" s="47"/>
      <c r="J38" s="48" t="s">
        <v>49</v>
      </c>
      <c r="K38" s="49"/>
      <c r="L38" s="49"/>
      <c r="M38" s="50"/>
      <c r="N38" s="48" t="s">
        <v>31</v>
      </c>
      <c r="O38" s="49"/>
      <c r="P38" s="49"/>
      <c r="Q38" s="50"/>
      <c r="R38" s="51">
        <v>0.56000000000000005</v>
      </c>
      <c r="S38" s="52"/>
      <c r="T38" s="51">
        <f t="shared" si="6"/>
        <v>0.56000000000000005</v>
      </c>
      <c r="U38" s="52"/>
      <c r="V38" s="51"/>
      <c r="W38" s="53"/>
      <c r="X38" s="17">
        <f t="shared" si="0"/>
        <v>107.14285714285714</v>
      </c>
      <c r="Y38" s="17">
        <f t="shared" si="1"/>
        <v>101.78571428571428</v>
      </c>
      <c r="Z38" s="18">
        <f t="shared" si="2"/>
        <v>1.9054424199118736</v>
      </c>
      <c r="AA38" s="19">
        <v>2</v>
      </c>
    </row>
    <row r="39" spans="1:28">
      <c r="A39" s="33">
        <v>11</v>
      </c>
      <c r="B39" s="45" t="s">
        <v>61</v>
      </c>
      <c r="C39" s="46"/>
      <c r="D39" s="46"/>
      <c r="E39" s="46"/>
      <c r="F39" s="46"/>
      <c r="G39" s="46"/>
      <c r="H39" s="46"/>
      <c r="I39" s="47"/>
      <c r="J39" s="48" t="s">
        <v>49</v>
      </c>
      <c r="K39" s="49"/>
      <c r="L39" s="49"/>
      <c r="M39" s="50"/>
      <c r="N39" s="48" t="s">
        <v>31</v>
      </c>
      <c r="O39" s="49"/>
      <c r="P39" s="49"/>
      <c r="Q39" s="50"/>
      <c r="R39" s="51">
        <v>0.3</v>
      </c>
      <c r="S39" s="52"/>
      <c r="T39" s="51">
        <f t="shared" si="6"/>
        <v>0.3</v>
      </c>
      <c r="U39" s="52"/>
      <c r="V39" s="51"/>
      <c r="W39" s="53"/>
      <c r="X39" s="17">
        <f t="shared" si="0"/>
        <v>200</v>
      </c>
      <c r="Y39" s="17">
        <f t="shared" si="1"/>
        <v>190</v>
      </c>
      <c r="Z39" s="18">
        <f t="shared" si="2"/>
        <v>1.0207727249527894</v>
      </c>
      <c r="AA39" s="19">
        <v>1</v>
      </c>
    </row>
    <row r="40" spans="1:28">
      <c r="A40" s="33">
        <v>12</v>
      </c>
      <c r="B40" s="45" t="s">
        <v>62</v>
      </c>
      <c r="C40" s="46"/>
      <c r="D40" s="46"/>
      <c r="E40" s="46"/>
      <c r="F40" s="46"/>
      <c r="G40" s="46"/>
      <c r="H40" s="46"/>
      <c r="I40" s="47"/>
      <c r="J40" s="48" t="s">
        <v>30</v>
      </c>
      <c r="K40" s="49"/>
      <c r="L40" s="49"/>
      <c r="M40" s="50"/>
      <c r="N40" s="48" t="s">
        <v>31</v>
      </c>
      <c r="O40" s="49"/>
      <c r="P40" s="49"/>
      <c r="Q40" s="50"/>
      <c r="R40" s="51">
        <v>0.5</v>
      </c>
      <c r="S40" s="52"/>
      <c r="T40" s="51">
        <f t="shared" si="6"/>
        <v>0.5</v>
      </c>
      <c r="U40" s="52"/>
      <c r="V40" s="51"/>
      <c r="W40" s="53"/>
      <c r="X40" s="17">
        <f t="shared" si="0"/>
        <v>120</v>
      </c>
      <c r="Y40" s="17">
        <f t="shared" si="1"/>
        <v>114</v>
      </c>
      <c r="Z40" s="18">
        <f t="shared" si="2"/>
        <v>1.7012878749213156</v>
      </c>
      <c r="AA40" s="19">
        <v>2</v>
      </c>
    </row>
    <row r="41" spans="1:28">
      <c r="A41" s="33">
        <v>13</v>
      </c>
      <c r="B41" s="45" t="s">
        <v>63</v>
      </c>
      <c r="C41" s="46"/>
      <c r="D41" s="46"/>
      <c r="E41" s="46"/>
      <c r="F41" s="46"/>
      <c r="G41" s="46"/>
      <c r="H41" s="46"/>
      <c r="I41" s="47"/>
      <c r="J41" s="48" t="s">
        <v>54</v>
      </c>
      <c r="K41" s="49"/>
      <c r="L41" s="49"/>
      <c r="M41" s="50"/>
      <c r="N41" s="48" t="s">
        <v>31</v>
      </c>
      <c r="O41" s="49"/>
      <c r="P41" s="49"/>
      <c r="Q41" s="50"/>
      <c r="R41" s="51">
        <v>0.25</v>
      </c>
      <c r="S41" s="52"/>
      <c r="T41" s="51"/>
      <c r="U41" s="52"/>
      <c r="V41" s="51">
        <f>R41</f>
        <v>0.25</v>
      </c>
      <c r="W41" s="53"/>
      <c r="X41" s="17">
        <f t="shared" si="0"/>
        <v>240</v>
      </c>
      <c r="Y41" s="17">
        <f t="shared" si="1"/>
        <v>228</v>
      </c>
      <c r="Z41" s="18">
        <f t="shared" si="2"/>
        <v>0.85064393746065781</v>
      </c>
      <c r="AA41" s="19">
        <v>1</v>
      </c>
    </row>
    <row r="42" spans="1:28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84" t="s">
        <v>52</v>
      </c>
      <c r="O42" s="84"/>
      <c r="P42" s="84"/>
      <c r="Q42" s="84"/>
      <c r="R42" s="84">
        <f>SUM(R29:S41)</f>
        <v>5.53</v>
      </c>
      <c r="S42" s="84"/>
      <c r="T42" s="84">
        <f>SUM(T29:U41)</f>
        <v>4.2799999999999994</v>
      </c>
      <c r="U42" s="84"/>
      <c r="V42" s="84">
        <f>SUM(V29:W41)</f>
        <v>1.25</v>
      </c>
      <c r="W42" s="84"/>
      <c r="X42" s="17"/>
      <c r="Y42" s="17"/>
      <c r="Z42" s="18"/>
      <c r="AA42" s="25">
        <f>SUM(AA29:AA41)</f>
        <v>21</v>
      </c>
    </row>
    <row r="43" spans="1:28">
      <c r="A43" s="26"/>
      <c r="B43" s="27" t="s">
        <v>64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31"/>
      <c r="S43" s="31"/>
      <c r="T43" s="31"/>
      <c r="U43" s="31"/>
      <c r="V43" s="31"/>
      <c r="W43" s="31"/>
      <c r="X43" s="30"/>
      <c r="Y43" s="31"/>
      <c r="Z43" s="31"/>
      <c r="AA43" s="31"/>
    </row>
    <row r="44" spans="1:28">
      <c r="A44" s="34">
        <v>1</v>
      </c>
      <c r="B44" s="97" t="s">
        <v>65</v>
      </c>
      <c r="C44" s="97"/>
      <c r="D44" s="97"/>
      <c r="E44" s="97"/>
      <c r="F44" s="97"/>
      <c r="G44" s="97"/>
      <c r="H44" s="97"/>
      <c r="I44" s="97"/>
      <c r="J44" s="98" t="s">
        <v>30</v>
      </c>
      <c r="K44" s="98"/>
      <c r="L44" s="98"/>
      <c r="M44" s="98"/>
      <c r="N44" s="98" t="s">
        <v>66</v>
      </c>
      <c r="O44" s="98"/>
      <c r="P44" s="98"/>
      <c r="Q44" s="98"/>
      <c r="R44" s="56">
        <v>0.53</v>
      </c>
      <c r="S44" s="56"/>
      <c r="T44" s="57">
        <f>R44</f>
        <v>0.53</v>
      </c>
      <c r="U44" s="57"/>
      <c r="V44" s="57"/>
      <c r="W44" s="99"/>
      <c r="X44" s="17">
        <f t="shared" si="0"/>
        <v>113.20754716981132</v>
      </c>
      <c r="Y44" s="17">
        <f t="shared" si="1"/>
        <v>107.54716981132074</v>
      </c>
      <c r="Z44" s="18">
        <f t="shared" si="2"/>
        <v>1.8033651474165948</v>
      </c>
      <c r="AA44" s="19">
        <v>2</v>
      </c>
    </row>
    <row r="45" spans="1:28">
      <c r="A45" s="34">
        <v>2</v>
      </c>
      <c r="B45" s="97" t="s">
        <v>67</v>
      </c>
      <c r="C45" s="97"/>
      <c r="D45" s="97"/>
      <c r="E45" s="97"/>
      <c r="F45" s="97"/>
      <c r="G45" s="97"/>
      <c r="H45" s="97"/>
      <c r="I45" s="97"/>
      <c r="J45" s="55" t="s">
        <v>30</v>
      </c>
      <c r="K45" s="55"/>
      <c r="L45" s="55"/>
      <c r="M45" s="55"/>
      <c r="N45" s="98" t="s">
        <v>31</v>
      </c>
      <c r="O45" s="98"/>
      <c r="P45" s="98"/>
      <c r="Q45" s="98"/>
      <c r="R45" s="56">
        <v>0.3</v>
      </c>
      <c r="S45" s="56"/>
      <c r="T45" s="57">
        <f>R45</f>
        <v>0.3</v>
      </c>
      <c r="U45" s="57"/>
      <c r="V45" s="57"/>
      <c r="W45" s="99"/>
      <c r="X45" s="17">
        <f t="shared" si="0"/>
        <v>200</v>
      </c>
      <c r="Y45" s="17">
        <f t="shared" si="1"/>
        <v>190</v>
      </c>
      <c r="Z45" s="18">
        <f t="shared" si="2"/>
        <v>1.0207727249527894</v>
      </c>
      <c r="AA45" s="19">
        <v>1</v>
      </c>
    </row>
    <row r="46" spans="1:28">
      <c r="A46" s="34">
        <v>3</v>
      </c>
      <c r="B46" s="97" t="s">
        <v>68</v>
      </c>
      <c r="C46" s="97"/>
      <c r="D46" s="97"/>
      <c r="E46" s="97"/>
      <c r="F46" s="97"/>
      <c r="G46" s="97"/>
      <c r="H46" s="97"/>
      <c r="I46" s="97"/>
      <c r="J46" s="98" t="s">
        <v>69</v>
      </c>
      <c r="K46" s="98"/>
      <c r="L46" s="98"/>
      <c r="M46" s="98"/>
      <c r="N46" s="98" t="s">
        <v>110</v>
      </c>
      <c r="O46" s="98"/>
      <c r="P46" s="98"/>
      <c r="Q46" s="98"/>
      <c r="R46" s="56">
        <v>0.4</v>
      </c>
      <c r="S46" s="56"/>
      <c r="T46" s="57"/>
      <c r="U46" s="57"/>
      <c r="V46" s="57">
        <f>R46</f>
        <v>0.4</v>
      </c>
      <c r="W46" s="99"/>
      <c r="X46" s="17">
        <f t="shared" si="0"/>
        <v>150</v>
      </c>
      <c r="Y46" s="17">
        <f t="shared" si="1"/>
        <v>142.5</v>
      </c>
      <c r="Z46" s="18">
        <f t="shared" si="2"/>
        <v>1.3610302999370525</v>
      </c>
      <c r="AA46" s="19">
        <v>1.5</v>
      </c>
    </row>
    <row r="47" spans="1:28">
      <c r="A47" s="34">
        <v>4</v>
      </c>
      <c r="B47" s="97" t="s">
        <v>70</v>
      </c>
      <c r="C47" s="97"/>
      <c r="D47" s="97"/>
      <c r="E47" s="97"/>
      <c r="F47" s="97"/>
      <c r="G47" s="97"/>
      <c r="H47" s="97"/>
      <c r="I47" s="97"/>
      <c r="J47" s="98" t="s">
        <v>30</v>
      </c>
      <c r="K47" s="98"/>
      <c r="L47" s="98"/>
      <c r="M47" s="98"/>
      <c r="N47" s="98" t="s">
        <v>31</v>
      </c>
      <c r="O47" s="98"/>
      <c r="P47" s="98"/>
      <c r="Q47" s="98"/>
      <c r="R47" s="56">
        <v>1.2</v>
      </c>
      <c r="S47" s="56"/>
      <c r="T47" s="57">
        <f>R47</f>
        <v>1.2</v>
      </c>
      <c r="U47" s="57"/>
      <c r="V47" s="57"/>
      <c r="W47" s="99"/>
      <c r="X47" s="17">
        <f t="shared" si="0"/>
        <v>50</v>
      </c>
      <c r="Y47" s="17">
        <f t="shared" si="1"/>
        <v>47.5</v>
      </c>
      <c r="Z47" s="18">
        <f t="shared" si="2"/>
        <v>4.0830908998111575</v>
      </c>
      <c r="AA47" s="19">
        <v>4</v>
      </c>
    </row>
    <row r="48" spans="1:28">
      <c r="A48" s="34">
        <v>5</v>
      </c>
      <c r="B48" s="97" t="s">
        <v>71</v>
      </c>
      <c r="C48" s="97"/>
      <c r="D48" s="97"/>
      <c r="E48" s="97"/>
      <c r="F48" s="97"/>
      <c r="G48" s="97"/>
      <c r="H48" s="97"/>
      <c r="I48" s="97"/>
      <c r="J48" s="98" t="s">
        <v>46</v>
      </c>
      <c r="K48" s="98"/>
      <c r="L48" s="98"/>
      <c r="M48" s="98"/>
      <c r="N48" s="98" t="s">
        <v>31</v>
      </c>
      <c r="O48" s="98"/>
      <c r="P48" s="98"/>
      <c r="Q48" s="98"/>
      <c r="R48" s="100">
        <v>0.2</v>
      </c>
      <c r="S48" s="100"/>
      <c r="T48" s="57"/>
      <c r="U48" s="57"/>
      <c r="V48" s="57">
        <f>R48</f>
        <v>0.2</v>
      </c>
      <c r="W48" s="99"/>
      <c r="X48" s="17">
        <f t="shared" si="0"/>
        <v>300</v>
      </c>
      <c r="Y48" s="17">
        <f t="shared" si="1"/>
        <v>285</v>
      </c>
      <c r="Z48" s="18">
        <f t="shared" si="2"/>
        <v>0.68051514996852625</v>
      </c>
      <c r="AA48" s="19">
        <v>1</v>
      </c>
    </row>
    <row r="49" spans="1:27">
      <c r="A49" s="34">
        <v>6</v>
      </c>
      <c r="B49" s="97" t="s">
        <v>72</v>
      </c>
      <c r="C49" s="97"/>
      <c r="D49" s="97"/>
      <c r="E49" s="97"/>
      <c r="F49" s="97"/>
      <c r="G49" s="97"/>
      <c r="H49" s="97"/>
      <c r="I49" s="97"/>
      <c r="J49" s="98" t="s">
        <v>58</v>
      </c>
      <c r="K49" s="98"/>
      <c r="L49" s="98"/>
      <c r="M49" s="98"/>
      <c r="N49" s="98" t="s">
        <v>31</v>
      </c>
      <c r="O49" s="98"/>
      <c r="P49" s="98"/>
      <c r="Q49" s="98"/>
      <c r="R49" s="56">
        <v>0.23</v>
      </c>
      <c r="S49" s="56"/>
      <c r="T49" s="57">
        <f>R49</f>
        <v>0.23</v>
      </c>
      <c r="U49" s="57"/>
      <c r="V49" s="57"/>
      <c r="W49" s="99"/>
      <c r="X49" s="17">
        <f t="shared" si="0"/>
        <v>260.86956521739131</v>
      </c>
      <c r="Y49" s="17">
        <f t="shared" si="1"/>
        <v>247.82608695652172</v>
      </c>
      <c r="Z49" s="18">
        <f t="shared" si="2"/>
        <v>0.78259242246380523</v>
      </c>
      <c r="AA49" s="19">
        <v>1</v>
      </c>
    </row>
    <row r="50" spans="1:27">
      <c r="A50" s="34">
        <v>7</v>
      </c>
      <c r="B50" s="54" t="s">
        <v>73</v>
      </c>
      <c r="C50" s="54"/>
      <c r="D50" s="54"/>
      <c r="E50" s="54"/>
      <c r="F50" s="54"/>
      <c r="G50" s="54"/>
      <c r="H50" s="54"/>
      <c r="I50" s="54"/>
      <c r="J50" s="55" t="s">
        <v>49</v>
      </c>
      <c r="K50" s="55"/>
      <c r="L50" s="55"/>
      <c r="M50" s="55"/>
      <c r="N50" s="55" t="s">
        <v>31</v>
      </c>
      <c r="O50" s="55"/>
      <c r="P50" s="55"/>
      <c r="Q50" s="55"/>
      <c r="R50" s="56">
        <v>0.27</v>
      </c>
      <c r="S50" s="56"/>
      <c r="T50" s="56">
        <f>R50</f>
        <v>0.27</v>
      </c>
      <c r="U50" s="56"/>
      <c r="V50" s="56"/>
      <c r="W50" s="51"/>
      <c r="X50" s="17">
        <f t="shared" si="0"/>
        <v>222.2222222222222</v>
      </c>
      <c r="Y50" s="17">
        <f t="shared" si="1"/>
        <v>211.11111111111109</v>
      </c>
      <c r="Z50" s="18">
        <f t="shared" si="2"/>
        <v>0.9186954524575105</v>
      </c>
      <c r="AA50" s="19">
        <v>1</v>
      </c>
    </row>
    <row r="51" spans="1:27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84" t="s">
        <v>52</v>
      </c>
      <c r="O51" s="84"/>
      <c r="P51" s="84"/>
      <c r="Q51" s="84"/>
      <c r="R51" s="84">
        <f>SUM(R44:S50)</f>
        <v>3.13</v>
      </c>
      <c r="S51" s="84"/>
      <c r="T51" s="84">
        <f>SUM(T44:U50)</f>
        <v>2.5300000000000002</v>
      </c>
      <c r="U51" s="84"/>
      <c r="V51" s="84">
        <f>SUM(V44:W50)</f>
        <v>0.60000000000000009</v>
      </c>
      <c r="W51" s="84"/>
      <c r="X51" s="17"/>
      <c r="Y51" s="17"/>
      <c r="Z51" s="18"/>
      <c r="AA51" s="25">
        <f>SUM(AA44:AA50)</f>
        <v>11.5</v>
      </c>
    </row>
    <row r="52" spans="1:27">
      <c r="A52" s="26"/>
      <c r="B52" s="27" t="s">
        <v>74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31"/>
      <c r="S52" s="31"/>
      <c r="T52" s="31"/>
      <c r="U52" s="31"/>
      <c r="V52" s="31"/>
      <c r="W52" s="31"/>
      <c r="X52" s="30"/>
      <c r="Y52" s="31"/>
      <c r="Z52" s="31"/>
      <c r="AA52" s="31"/>
    </row>
    <row r="53" spans="1:27">
      <c r="A53" s="35">
        <v>1</v>
      </c>
      <c r="B53" s="45" t="s">
        <v>75</v>
      </c>
      <c r="C53" s="46"/>
      <c r="D53" s="46"/>
      <c r="E53" s="46"/>
      <c r="F53" s="46"/>
      <c r="G53" s="46"/>
      <c r="H53" s="46"/>
      <c r="I53" s="47"/>
      <c r="J53" s="48" t="s">
        <v>76</v>
      </c>
      <c r="K53" s="49"/>
      <c r="L53" s="49"/>
      <c r="M53" s="50"/>
      <c r="N53" s="48" t="s">
        <v>31</v>
      </c>
      <c r="O53" s="49"/>
      <c r="P53" s="49"/>
      <c r="Q53" s="50"/>
      <c r="R53" s="51">
        <v>0.3</v>
      </c>
      <c r="S53" s="52"/>
      <c r="T53" s="51"/>
      <c r="U53" s="52"/>
      <c r="V53" s="51">
        <f>R53</f>
        <v>0.3</v>
      </c>
      <c r="W53" s="53"/>
      <c r="X53" s="17">
        <f t="shared" si="0"/>
        <v>200</v>
      </c>
      <c r="Y53" s="17">
        <f t="shared" si="1"/>
        <v>190</v>
      </c>
      <c r="Z53" s="18">
        <f t="shared" si="2"/>
        <v>1.0207727249527894</v>
      </c>
      <c r="AA53" s="19">
        <v>1</v>
      </c>
    </row>
    <row r="54" spans="1:27">
      <c r="A54" s="35">
        <v>2</v>
      </c>
      <c r="B54" s="45" t="s">
        <v>106</v>
      </c>
      <c r="C54" s="46"/>
      <c r="D54" s="46"/>
      <c r="E54" s="46"/>
      <c r="F54" s="46"/>
      <c r="G54" s="46"/>
      <c r="H54" s="46"/>
      <c r="I54" s="47"/>
      <c r="J54" s="48" t="s">
        <v>30</v>
      </c>
      <c r="K54" s="49"/>
      <c r="L54" s="49"/>
      <c r="M54" s="50"/>
      <c r="N54" s="48" t="s">
        <v>31</v>
      </c>
      <c r="O54" s="49"/>
      <c r="P54" s="49"/>
      <c r="Q54" s="50"/>
      <c r="R54" s="51">
        <v>0.52</v>
      </c>
      <c r="S54" s="52"/>
      <c r="T54" s="51">
        <f>R54</f>
        <v>0.52</v>
      </c>
      <c r="U54" s="52"/>
      <c r="V54" s="51"/>
      <c r="W54" s="53"/>
      <c r="X54" s="17">
        <f t="shared" si="0"/>
        <v>115.38461538461539</v>
      </c>
      <c r="Y54" s="17">
        <f t="shared" si="1"/>
        <v>109.61538461538461</v>
      </c>
      <c r="Z54" s="18">
        <f t="shared" si="2"/>
        <v>1.7693393899181682</v>
      </c>
      <c r="AA54" s="19">
        <v>2</v>
      </c>
    </row>
    <row r="55" spans="1:27">
      <c r="A55" s="35">
        <v>3</v>
      </c>
      <c r="B55" s="45" t="s">
        <v>107</v>
      </c>
      <c r="C55" s="46"/>
      <c r="D55" s="46"/>
      <c r="E55" s="46"/>
      <c r="F55" s="46"/>
      <c r="G55" s="46"/>
      <c r="H55" s="46"/>
      <c r="I55" s="47"/>
      <c r="J55" s="48" t="s">
        <v>46</v>
      </c>
      <c r="K55" s="49"/>
      <c r="L55" s="49"/>
      <c r="M55" s="50"/>
      <c r="N55" s="48" t="s">
        <v>31</v>
      </c>
      <c r="O55" s="49"/>
      <c r="P55" s="49"/>
      <c r="Q55" s="50"/>
      <c r="R55" s="51">
        <v>0.26</v>
      </c>
      <c r="S55" s="52"/>
      <c r="T55" s="51"/>
      <c r="U55" s="52"/>
      <c r="V55" s="51">
        <f>R55</f>
        <v>0.26</v>
      </c>
      <c r="W55" s="53"/>
      <c r="X55" s="17">
        <f t="shared" si="0"/>
        <v>230.76923076923077</v>
      </c>
      <c r="Y55" s="17">
        <f t="shared" si="1"/>
        <v>219.23076923076923</v>
      </c>
      <c r="Z55" s="18">
        <f t="shared" si="2"/>
        <v>0.8846696949590841</v>
      </c>
      <c r="AA55" s="19">
        <v>1</v>
      </c>
    </row>
    <row r="56" spans="1:27">
      <c r="A56" s="35">
        <v>4</v>
      </c>
      <c r="B56" s="45" t="s">
        <v>108</v>
      </c>
      <c r="C56" s="46"/>
      <c r="D56" s="46"/>
      <c r="E56" s="46"/>
      <c r="F56" s="46"/>
      <c r="G56" s="46"/>
      <c r="H56" s="46"/>
      <c r="I56" s="47"/>
      <c r="J56" s="48" t="s">
        <v>41</v>
      </c>
      <c r="K56" s="49"/>
      <c r="L56" s="49"/>
      <c r="M56" s="50"/>
      <c r="N56" s="48" t="s">
        <v>31</v>
      </c>
      <c r="O56" s="49"/>
      <c r="P56" s="49"/>
      <c r="Q56" s="50"/>
      <c r="R56" s="51">
        <v>0.25</v>
      </c>
      <c r="S56" s="52"/>
      <c r="T56" s="51"/>
      <c r="U56" s="52"/>
      <c r="V56" s="51">
        <f>R56</f>
        <v>0.25</v>
      </c>
      <c r="W56" s="53"/>
      <c r="X56" s="17">
        <f t="shared" si="0"/>
        <v>240</v>
      </c>
      <c r="Y56" s="17">
        <f t="shared" si="1"/>
        <v>228</v>
      </c>
      <c r="Z56" s="18">
        <f t="shared" si="2"/>
        <v>0.85064393746065781</v>
      </c>
      <c r="AA56" s="19">
        <v>1</v>
      </c>
    </row>
    <row r="57" spans="1:27">
      <c r="A57" s="35">
        <v>5</v>
      </c>
      <c r="B57" s="45" t="s">
        <v>77</v>
      </c>
      <c r="C57" s="46"/>
      <c r="D57" s="46"/>
      <c r="E57" s="46"/>
      <c r="F57" s="46"/>
      <c r="G57" s="46"/>
      <c r="H57" s="46"/>
      <c r="I57" s="47"/>
      <c r="J57" s="48" t="s">
        <v>78</v>
      </c>
      <c r="K57" s="49"/>
      <c r="L57" s="49"/>
      <c r="M57" s="50"/>
      <c r="N57" s="48" t="s">
        <v>31</v>
      </c>
      <c r="O57" s="49"/>
      <c r="P57" s="49"/>
      <c r="Q57" s="50"/>
      <c r="R57" s="51">
        <v>0.25</v>
      </c>
      <c r="S57" s="52"/>
      <c r="T57" s="51"/>
      <c r="U57" s="52"/>
      <c r="V57" s="51">
        <f>R57</f>
        <v>0.25</v>
      </c>
      <c r="W57" s="53"/>
      <c r="X57" s="17">
        <f t="shared" si="0"/>
        <v>240</v>
      </c>
      <c r="Y57" s="17">
        <f t="shared" si="1"/>
        <v>228</v>
      </c>
      <c r="Z57" s="18">
        <f t="shared" si="2"/>
        <v>0.85064393746065781</v>
      </c>
      <c r="AA57" s="19">
        <v>1</v>
      </c>
    </row>
    <row r="58" spans="1:27">
      <c r="A58" s="35">
        <v>6</v>
      </c>
      <c r="B58" s="45" t="s">
        <v>79</v>
      </c>
      <c r="C58" s="46"/>
      <c r="D58" s="46"/>
      <c r="E58" s="46"/>
      <c r="F58" s="46"/>
      <c r="G58" s="46"/>
      <c r="H58" s="46"/>
      <c r="I58" s="47"/>
      <c r="J58" s="48" t="s">
        <v>44</v>
      </c>
      <c r="K58" s="49"/>
      <c r="L58" s="49"/>
      <c r="M58" s="50"/>
      <c r="N58" s="48" t="s">
        <v>31</v>
      </c>
      <c r="O58" s="49"/>
      <c r="P58" s="49"/>
      <c r="Q58" s="50"/>
      <c r="R58" s="51">
        <v>0.45</v>
      </c>
      <c r="S58" s="52"/>
      <c r="T58" s="51"/>
      <c r="U58" s="52"/>
      <c r="V58" s="51">
        <f>R58</f>
        <v>0.45</v>
      </c>
      <c r="W58" s="53"/>
      <c r="X58" s="17">
        <f t="shared" si="0"/>
        <v>133.33333333333334</v>
      </c>
      <c r="Y58" s="17">
        <f t="shared" si="1"/>
        <v>126.66666666666667</v>
      </c>
      <c r="Z58" s="18">
        <f t="shared" si="2"/>
        <v>1.5311590874291841</v>
      </c>
      <c r="AA58" s="19">
        <v>1.5</v>
      </c>
    </row>
    <row r="59" spans="1:27">
      <c r="A59" s="35">
        <v>7</v>
      </c>
      <c r="B59" s="45" t="s">
        <v>109</v>
      </c>
      <c r="C59" s="46"/>
      <c r="D59" s="46"/>
      <c r="E59" s="46"/>
      <c r="F59" s="46"/>
      <c r="G59" s="46"/>
      <c r="H59" s="46"/>
      <c r="I59" s="47"/>
      <c r="J59" s="48" t="s">
        <v>30</v>
      </c>
      <c r="K59" s="49"/>
      <c r="L59" s="49"/>
      <c r="M59" s="50"/>
      <c r="N59" s="48" t="s">
        <v>31</v>
      </c>
      <c r="O59" s="49"/>
      <c r="P59" s="49"/>
      <c r="Q59" s="50"/>
      <c r="R59" s="51">
        <v>0.52</v>
      </c>
      <c r="S59" s="52"/>
      <c r="T59" s="51">
        <f>R59</f>
        <v>0.52</v>
      </c>
      <c r="U59" s="52"/>
      <c r="V59" s="51"/>
      <c r="W59" s="53"/>
      <c r="X59" s="17">
        <f t="shared" si="0"/>
        <v>115.38461538461539</v>
      </c>
      <c r="Y59" s="17">
        <f t="shared" si="1"/>
        <v>109.61538461538461</v>
      </c>
      <c r="Z59" s="18">
        <f t="shared" si="2"/>
        <v>1.7693393899181682</v>
      </c>
      <c r="AA59" s="36">
        <v>2</v>
      </c>
    </row>
    <row r="60" spans="1:27">
      <c r="A60" s="35">
        <v>8</v>
      </c>
      <c r="B60" s="45" t="s">
        <v>80</v>
      </c>
      <c r="C60" s="46"/>
      <c r="D60" s="46"/>
      <c r="E60" s="46"/>
      <c r="F60" s="46"/>
      <c r="G60" s="46"/>
      <c r="H60" s="46"/>
      <c r="I60" s="47"/>
      <c r="J60" s="48" t="s">
        <v>58</v>
      </c>
      <c r="K60" s="49"/>
      <c r="L60" s="49"/>
      <c r="M60" s="50"/>
      <c r="N60" s="48" t="s">
        <v>31</v>
      </c>
      <c r="O60" s="49"/>
      <c r="P60" s="49"/>
      <c r="Q60" s="50"/>
      <c r="R60" s="51">
        <v>0.28999999999999998</v>
      </c>
      <c r="S60" s="52"/>
      <c r="T60" s="51">
        <f>R60</f>
        <v>0.28999999999999998</v>
      </c>
      <c r="U60" s="52"/>
      <c r="V60" s="51"/>
      <c r="W60" s="53"/>
      <c r="X60" s="17">
        <f t="shared" si="0"/>
        <v>206.89655172413794</v>
      </c>
      <c r="Y60" s="17">
        <f t="shared" si="1"/>
        <v>196.55172413793102</v>
      </c>
      <c r="Z60" s="37">
        <f t="shared" si="2"/>
        <v>0.98674696745436308</v>
      </c>
      <c r="AA60" s="19">
        <v>1</v>
      </c>
    </row>
    <row r="61" spans="1:27">
      <c r="A61" s="35">
        <v>9</v>
      </c>
      <c r="B61" s="45" t="s">
        <v>81</v>
      </c>
      <c r="C61" s="46"/>
      <c r="D61" s="46"/>
      <c r="E61" s="46"/>
      <c r="F61" s="46"/>
      <c r="G61" s="46"/>
      <c r="H61" s="46"/>
      <c r="I61" s="47"/>
      <c r="J61" s="48" t="s">
        <v>82</v>
      </c>
      <c r="K61" s="49"/>
      <c r="L61" s="49"/>
      <c r="M61" s="50"/>
      <c r="N61" s="48" t="s">
        <v>31</v>
      </c>
      <c r="O61" s="49"/>
      <c r="P61" s="49"/>
      <c r="Q61" s="50"/>
      <c r="R61" s="51">
        <v>0.25</v>
      </c>
      <c r="S61" s="52"/>
      <c r="T61" s="51">
        <f>R61</f>
        <v>0.25</v>
      </c>
      <c r="U61" s="52"/>
      <c r="V61" s="51"/>
      <c r="W61" s="96"/>
      <c r="X61" s="17">
        <f t="shared" si="0"/>
        <v>240</v>
      </c>
      <c r="Y61" s="17">
        <f t="shared" si="1"/>
        <v>228</v>
      </c>
      <c r="Z61" s="18">
        <f t="shared" si="2"/>
        <v>0.85064393746065781</v>
      </c>
      <c r="AA61" s="38">
        <v>1</v>
      </c>
    </row>
    <row r="62" spans="1:27">
      <c r="A62" s="35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84" t="s">
        <v>52</v>
      </c>
      <c r="O62" s="84"/>
      <c r="P62" s="84"/>
      <c r="Q62" s="84"/>
      <c r="R62" s="84">
        <f>SUM(R53:S61)</f>
        <v>3.0900000000000003</v>
      </c>
      <c r="S62" s="84"/>
      <c r="T62" s="84">
        <f>SUM(T53:U61)</f>
        <v>1.58</v>
      </c>
      <c r="U62" s="84"/>
      <c r="V62" s="84">
        <f>SUM(V53:W61)</f>
        <v>1.51</v>
      </c>
      <c r="W62" s="84"/>
      <c r="X62" s="17"/>
      <c r="Y62" s="17"/>
      <c r="Z62" s="18"/>
      <c r="AA62" s="25">
        <f>SUM(AA53:AA61)</f>
        <v>11.5</v>
      </c>
    </row>
    <row r="63" spans="1:27">
      <c r="A63" s="26"/>
      <c r="B63" s="27" t="s">
        <v>83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31"/>
      <c r="S63" s="31"/>
      <c r="T63" s="31"/>
      <c r="U63" s="31"/>
      <c r="V63" s="31"/>
      <c r="W63" s="31"/>
      <c r="X63" s="30"/>
      <c r="Y63" s="31"/>
      <c r="Z63" s="31"/>
      <c r="AA63" s="31"/>
    </row>
    <row r="64" spans="1:27">
      <c r="A64" s="35">
        <v>1</v>
      </c>
      <c r="B64" s="45" t="s">
        <v>84</v>
      </c>
      <c r="C64" s="46"/>
      <c r="D64" s="46"/>
      <c r="E64" s="46"/>
      <c r="F64" s="46"/>
      <c r="G64" s="46"/>
      <c r="H64" s="46"/>
      <c r="I64" s="47"/>
      <c r="J64" s="48" t="s">
        <v>85</v>
      </c>
      <c r="K64" s="49"/>
      <c r="L64" s="49"/>
      <c r="M64" s="50"/>
      <c r="N64" s="48" t="s">
        <v>31</v>
      </c>
      <c r="O64" s="49"/>
      <c r="P64" s="49"/>
      <c r="Q64" s="50"/>
      <c r="R64" s="51">
        <v>0.26</v>
      </c>
      <c r="S64" s="52"/>
      <c r="T64" s="51">
        <f t="shared" ref="T64" si="7">R64</f>
        <v>0.26</v>
      </c>
      <c r="U64" s="52"/>
      <c r="V64" s="51"/>
      <c r="W64" s="53"/>
      <c r="X64" s="17">
        <f t="shared" si="0"/>
        <v>230.76923076923077</v>
      </c>
      <c r="Y64" s="17">
        <f t="shared" si="1"/>
        <v>219.23076923076923</v>
      </c>
      <c r="Z64" s="18">
        <f t="shared" si="2"/>
        <v>0.8846696949590841</v>
      </c>
      <c r="AA64" s="19">
        <v>1</v>
      </c>
    </row>
    <row r="65" spans="1:27" ht="23.25" customHeight="1">
      <c r="A65" s="35">
        <v>2</v>
      </c>
      <c r="B65" s="45" t="s">
        <v>86</v>
      </c>
      <c r="C65" s="46"/>
      <c r="D65" s="46"/>
      <c r="E65" s="46"/>
      <c r="F65" s="46"/>
      <c r="G65" s="46"/>
      <c r="H65" s="46"/>
      <c r="I65" s="47"/>
      <c r="J65" s="48" t="s">
        <v>30</v>
      </c>
      <c r="K65" s="49"/>
      <c r="L65" s="49"/>
      <c r="M65" s="50"/>
      <c r="N65" s="48" t="s">
        <v>87</v>
      </c>
      <c r="O65" s="49"/>
      <c r="P65" s="49"/>
      <c r="Q65" s="50"/>
      <c r="R65" s="51">
        <v>0.6</v>
      </c>
      <c r="S65" s="52"/>
      <c r="T65" s="51">
        <f t="shared" ref="T65" si="8">R65</f>
        <v>0.6</v>
      </c>
      <c r="U65" s="52"/>
      <c r="V65" s="51"/>
      <c r="W65" s="53"/>
      <c r="X65" s="17">
        <f t="shared" ref="X65" si="9">60/R65</f>
        <v>100</v>
      </c>
      <c r="Y65" s="17">
        <f t="shared" ref="Y65" si="10">X65*0.95</f>
        <v>95</v>
      </c>
      <c r="Z65" s="18">
        <f t="shared" ref="Z65" si="11">AA$5/Y65</f>
        <v>2.0415454499055787</v>
      </c>
      <c r="AA65" s="19">
        <v>2</v>
      </c>
    </row>
    <row r="66" spans="1:27" ht="23.25" customHeight="1">
      <c r="A66" s="35">
        <v>3</v>
      </c>
      <c r="B66" s="45" t="s">
        <v>130</v>
      </c>
      <c r="C66" s="46"/>
      <c r="D66" s="46"/>
      <c r="E66" s="46"/>
      <c r="F66" s="46"/>
      <c r="G66" s="46"/>
      <c r="H66" s="46"/>
      <c r="I66" s="47"/>
      <c r="J66" s="48" t="s">
        <v>30</v>
      </c>
      <c r="K66" s="49"/>
      <c r="L66" s="49"/>
      <c r="M66" s="50"/>
      <c r="N66" s="48" t="s">
        <v>31</v>
      </c>
      <c r="O66" s="49"/>
      <c r="P66" s="49"/>
      <c r="Q66" s="50"/>
      <c r="R66" s="51">
        <v>0.5</v>
      </c>
      <c r="S66" s="52"/>
      <c r="T66" s="51">
        <f>R66</f>
        <v>0.5</v>
      </c>
      <c r="U66" s="52"/>
      <c r="V66" s="51"/>
      <c r="W66" s="53"/>
      <c r="X66" s="17">
        <f t="shared" ref="X66" si="12">60/R66</f>
        <v>120</v>
      </c>
      <c r="Y66" s="17">
        <f t="shared" ref="Y66" si="13">X66*0.95</f>
        <v>114</v>
      </c>
      <c r="Z66" s="18">
        <f t="shared" ref="Z66" si="14">AA$5/Y66</f>
        <v>1.7012878749213156</v>
      </c>
      <c r="AA66" s="19">
        <v>2</v>
      </c>
    </row>
    <row r="67" spans="1:27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84" t="s">
        <v>52</v>
      </c>
      <c r="O67" s="84"/>
      <c r="P67" s="84"/>
      <c r="Q67" s="84"/>
      <c r="R67" s="95">
        <f>SUM(R64:S66)</f>
        <v>1.3599999999999999</v>
      </c>
      <c r="S67" s="84"/>
      <c r="T67" s="95">
        <f>SUM(T64:U66)</f>
        <v>1.3599999999999999</v>
      </c>
      <c r="U67" s="84"/>
      <c r="V67" s="95">
        <f>SUM(V64:W66)</f>
        <v>0</v>
      </c>
      <c r="W67" s="84"/>
      <c r="X67" s="17"/>
      <c r="Y67" s="17"/>
      <c r="Z67" s="18"/>
      <c r="AA67" s="25">
        <f>SUM(AA64:AA66)</f>
        <v>5</v>
      </c>
    </row>
    <row r="68" spans="1:27">
      <c r="A68" s="26"/>
      <c r="B68" s="27" t="s">
        <v>88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31"/>
      <c r="S68" s="31"/>
      <c r="T68" s="31"/>
      <c r="U68" s="31"/>
      <c r="V68" s="31"/>
      <c r="W68" s="31"/>
      <c r="X68" s="30"/>
      <c r="Y68" s="31"/>
      <c r="Z68" s="31"/>
      <c r="AA68" s="31"/>
    </row>
    <row r="69" spans="1:27">
      <c r="A69" s="35">
        <v>1</v>
      </c>
      <c r="B69" s="45" t="s">
        <v>89</v>
      </c>
      <c r="C69" s="46"/>
      <c r="D69" s="46"/>
      <c r="E69" s="46"/>
      <c r="F69" s="46"/>
      <c r="G69" s="46"/>
      <c r="H69" s="46"/>
      <c r="I69" s="47"/>
      <c r="J69" s="48" t="s">
        <v>54</v>
      </c>
      <c r="K69" s="49"/>
      <c r="L69" s="49"/>
      <c r="M69" s="50"/>
      <c r="N69" s="48" t="s">
        <v>31</v>
      </c>
      <c r="O69" s="49"/>
      <c r="P69" s="49"/>
      <c r="Q69" s="50"/>
      <c r="R69" s="51">
        <v>0.6</v>
      </c>
      <c r="S69" s="52"/>
      <c r="T69" s="51"/>
      <c r="U69" s="52"/>
      <c r="V69" s="51">
        <f>R69</f>
        <v>0.6</v>
      </c>
      <c r="W69" s="53"/>
      <c r="X69" s="17">
        <f t="shared" ref="X69" si="15">60/R69</f>
        <v>100</v>
      </c>
      <c r="Y69" s="17">
        <f t="shared" ref="Y69" si="16">X69*0.95</f>
        <v>95</v>
      </c>
      <c r="Z69" s="18">
        <f t="shared" ref="Z69" si="17">AA$5/Y69</f>
        <v>2.0415454499055787</v>
      </c>
      <c r="AA69" s="19">
        <v>2</v>
      </c>
    </row>
    <row r="70" spans="1:27">
      <c r="A70" s="35">
        <v>2</v>
      </c>
      <c r="B70" s="45" t="s">
        <v>113</v>
      </c>
      <c r="C70" s="46"/>
      <c r="D70" s="46"/>
      <c r="E70" s="46"/>
      <c r="F70" s="46"/>
      <c r="G70" s="46"/>
      <c r="H70" s="46"/>
      <c r="I70" s="47"/>
      <c r="J70" s="48" t="s">
        <v>30</v>
      </c>
      <c r="K70" s="49"/>
      <c r="L70" s="49"/>
      <c r="M70" s="50"/>
      <c r="N70" s="48" t="s">
        <v>31</v>
      </c>
      <c r="O70" s="49"/>
      <c r="P70" s="49"/>
      <c r="Q70" s="50"/>
      <c r="R70" s="51">
        <v>0.7</v>
      </c>
      <c r="S70" s="52"/>
      <c r="T70" s="51">
        <f t="shared" ref="T70:T76" si="18">R70</f>
        <v>0.7</v>
      </c>
      <c r="U70" s="52"/>
      <c r="V70" s="51"/>
      <c r="W70" s="53"/>
      <c r="X70" s="17">
        <f t="shared" si="0"/>
        <v>85.714285714285722</v>
      </c>
      <c r="Y70" s="17">
        <f t="shared" si="1"/>
        <v>81.428571428571431</v>
      </c>
      <c r="Z70" s="18">
        <f t="shared" si="2"/>
        <v>2.3818030248898419</v>
      </c>
      <c r="AA70" s="19">
        <v>2.5</v>
      </c>
    </row>
    <row r="71" spans="1:27">
      <c r="A71" s="35">
        <v>3</v>
      </c>
      <c r="B71" s="45" t="s">
        <v>114</v>
      </c>
      <c r="C71" s="46"/>
      <c r="D71" s="46"/>
      <c r="E71" s="46"/>
      <c r="F71" s="46"/>
      <c r="G71" s="46"/>
      <c r="H71" s="46"/>
      <c r="I71" s="47"/>
      <c r="J71" s="48" t="s">
        <v>30</v>
      </c>
      <c r="K71" s="49"/>
      <c r="L71" s="49"/>
      <c r="M71" s="50"/>
      <c r="N71" s="48" t="s">
        <v>31</v>
      </c>
      <c r="O71" s="49"/>
      <c r="P71" s="49"/>
      <c r="Q71" s="50"/>
      <c r="R71" s="51">
        <v>0.39</v>
      </c>
      <c r="S71" s="52"/>
      <c r="T71" s="51">
        <f>R71</f>
        <v>0.39</v>
      </c>
      <c r="U71" s="52"/>
      <c r="V71" s="51"/>
      <c r="W71" s="53"/>
      <c r="X71" s="17">
        <f t="shared" ref="X71" si="19">60/R71</f>
        <v>153.84615384615384</v>
      </c>
      <c r="Y71" s="17">
        <f t="shared" ref="Y71" si="20">X71*0.95</f>
        <v>146.15384615384613</v>
      </c>
      <c r="Z71" s="18">
        <f t="shared" ref="Z71" si="21">AA$5/Y71</f>
        <v>1.3270045424386263</v>
      </c>
      <c r="AA71" s="19">
        <v>1.5</v>
      </c>
    </row>
    <row r="72" spans="1:27">
      <c r="A72" s="35">
        <v>4</v>
      </c>
      <c r="B72" s="45" t="s">
        <v>115</v>
      </c>
      <c r="C72" s="46"/>
      <c r="D72" s="46"/>
      <c r="E72" s="46"/>
      <c r="F72" s="46"/>
      <c r="G72" s="46"/>
      <c r="H72" s="46"/>
      <c r="I72" s="47"/>
      <c r="J72" s="48" t="s">
        <v>30</v>
      </c>
      <c r="K72" s="49"/>
      <c r="L72" s="49"/>
      <c r="M72" s="50"/>
      <c r="N72" s="48" t="s">
        <v>31</v>
      </c>
      <c r="O72" s="49"/>
      <c r="P72" s="49"/>
      <c r="Q72" s="50"/>
      <c r="R72" s="51">
        <v>0.74</v>
      </c>
      <c r="S72" s="52"/>
      <c r="T72" s="51">
        <f t="shared" si="18"/>
        <v>0.74</v>
      </c>
      <c r="U72" s="52"/>
      <c r="V72" s="51"/>
      <c r="W72" s="53"/>
      <c r="X72" s="17">
        <f t="shared" si="0"/>
        <v>81.081081081081081</v>
      </c>
      <c r="Y72" s="17">
        <f t="shared" si="1"/>
        <v>77.027027027027017</v>
      </c>
      <c r="Z72" s="18">
        <f t="shared" si="2"/>
        <v>2.5179060548835475</v>
      </c>
      <c r="AA72" s="19">
        <v>2.5</v>
      </c>
    </row>
    <row r="73" spans="1:27">
      <c r="A73" s="35">
        <v>5</v>
      </c>
      <c r="B73" s="45" t="s">
        <v>116</v>
      </c>
      <c r="C73" s="46"/>
      <c r="D73" s="46"/>
      <c r="E73" s="46"/>
      <c r="F73" s="46"/>
      <c r="G73" s="46"/>
      <c r="H73" s="46"/>
      <c r="I73" s="47"/>
      <c r="J73" s="48" t="s">
        <v>30</v>
      </c>
      <c r="K73" s="49"/>
      <c r="L73" s="49"/>
      <c r="M73" s="50"/>
      <c r="N73" s="48" t="s">
        <v>31</v>
      </c>
      <c r="O73" s="49"/>
      <c r="P73" s="49"/>
      <c r="Q73" s="50"/>
      <c r="R73" s="51">
        <v>0.65</v>
      </c>
      <c r="S73" s="52"/>
      <c r="T73" s="51">
        <f t="shared" si="18"/>
        <v>0.65</v>
      </c>
      <c r="U73" s="52"/>
      <c r="V73" s="51"/>
      <c r="W73" s="53"/>
      <c r="X73" s="17">
        <f t="shared" si="0"/>
        <v>92.307692307692307</v>
      </c>
      <c r="Y73" s="17">
        <f t="shared" si="1"/>
        <v>87.692307692307693</v>
      </c>
      <c r="Z73" s="18">
        <f t="shared" si="2"/>
        <v>2.2116742373977103</v>
      </c>
      <c r="AA73" s="19">
        <v>2.5</v>
      </c>
    </row>
    <row r="74" spans="1:27">
      <c r="A74" s="35">
        <v>6</v>
      </c>
      <c r="B74" s="45" t="s">
        <v>117</v>
      </c>
      <c r="C74" s="46"/>
      <c r="D74" s="46"/>
      <c r="E74" s="46"/>
      <c r="F74" s="46"/>
      <c r="G74" s="46"/>
      <c r="H74" s="46"/>
      <c r="I74" s="47"/>
      <c r="J74" s="48" t="s">
        <v>90</v>
      </c>
      <c r="K74" s="49"/>
      <c r="L74" s="49"/>
      <c r="M74" s="50"/>
      <c r="N74" s="48" t="s">
        <v>131</v>
      </c>
      <c r="O74" s="49"/>
      <c r="P74" s="49"/>
      <c r="Q74" s="50"/>
      <c r="R74" s="51">
        <v>0.84</v>
      </c>
      <c r="S74" s="52"/>
      <c r="T74" s="51">
        <f t="shared" si="18"/>
        <v>0.84</v>
      </c>
      <c r="U74" s="52"/>
      <c r="V74" s="51"/>
      <c r="W74" s="53"/>
      <c r="X74" s="17">
        <f t="shared" si="0"/>
        <v>71.428571428571431</v>
      </c>
      <c r="Y74" s="17">
        <f t="shared" si="1"/>
        <v>67.857142857142861</v>
      </c>
      <c r="Z74" s="18">
        <f t="shared" si="2"/>
        <v>2.8581636298678101</v>
      </c>
      <c r="AA74" s="19">
        <v>3</v>
      </c>
    </row>
    <row r="75" spans="1:27">
      <c r="A75" s="35">
        <v>7</v>
      </c>
      <c r="B75" s="45" t="s">
        <v>92</v>
      </c>
      <c r="C75" s="46"/>
      <c r="D75" s="46"/>
      <c r="E75" s="46"/>
      <c r="F75" s="46"/>
      <c r="G75" s="46"/>
      <c r="H75" s="46"/>
      <c r="I75" s="47"/>
      <c r="J75" s="48" t="s">
        <v>93</v>
      </c>
      <c r="K75" s="49"/>
      <c r="L75" s="49"/>
      <c r="M75" s="50"/>
      <c r="N75" s="48" t="s">
        <v>31</v>
      </c>
      <c r="O75" s="49"/>
      <c r="P75" s="49"/>
      <c r="Q75" s="50"/>
      <c r="R75" s="51">
        <v>0.75</v>
      </c>
      <c r="S75" s="52"/>
      <c r="T75" s="51">
        <f>R75</f>
        <v>0.75</v>
      </c>
      <c r="U75" s="52"/>
      <c r="V75" s="51"/>
      <c r="W75" s="53"/>
      <c r="X75" s="17">
        <f t="shared" si="0"/>
        <v>80</v>
      </c>
      <c r="Y75" s="17">
        <f t="shared" si="1"/>
        <v>76</v>
      </c>
      <c r="Z75" s="18">
        <f t="shared" si="2"/>
        <v>2.5519318123819734</v>
      </c>
      <c r="AA75" s="19">
        <v>2.5</v>
      </c>
    </row>
    <row r="76" spans="1:27" s="21" customFormat="1">
      <c r="A76" s="35">
        <v>8</v>
      </c>
      <c r="B76" s="86" t="s">
        <v>94</v>
      </c>
      <c r="C76" s="87"/>
      <c r="D76" s="87"/>
      <c r="E76" s="87"/>
      <c r="F76" s="87"/>
      <c r="G76" s="87"/>
      <c r="H76" s="87"/>
      <c r="I76" s="88"/>
      <c r="J76" s="89" t="s">
        <v>95</v>
      </c>
      <c r="K76" s="90"/>
      <c r="L76" s="90"/>
      <c r="M76" s="91"/>
      <c r="N76" s="89" t="s">
        <v>91</v>
      </c>
      <c r="O76" s="90"/>
      <c r="P76" s="90"/>
      <c r="Q76" s="91"/>
      <c r="R76" s="92">
        <v>0.95</v>
      </c>
      <c r="S76" s="93"/>
      <c r="T76" s="92">
        <f t="shared" si="18"/>
        <v>0.95</v>
      </c>
      <c r="U76" s="93"/>
      <c r="V76" s="92"/>
      <c r="W76" s="94"/>
      <c r="X76" s="17">
        <f t="shared" si="0"/>
        <v>63.15789473684211</v>
      </c>
      <c r="Y76" s="17">
        <f t="shared" si="1"/>
        <v>60</v>
      </c>
      <c r="Z76" s="18">
        <f t="shared" si="2"/>
        <v>3.2324469623504997</v>
      </c>
      <c r="AA76" s="20">
        <v>3.5</v>
      </c>
    </row>
    <row r="77" spans="1:27">
      <c r="A77" s="35">
        <v>9</v>
      </c>
      <c r="B77" s="45" t="s">
        <v>118</v>
      </c>
      <c r="C77" s="46"/>
      <c r="D77" s="46"/>
      <c r="E77" s="46"/>
      <c r="F77" s="46"/>
      <c r="G77" s="46"/>
      <c r="H77" s="46"/>
      <c r="I77" s="47"/>
      <c r="J77" s="48" t="s">
        <v>46</v>
      </c>
      <c r="K77" s="49"/>
      <c r="L77" s="49"/>
      <c r="M77" s="50"/>
      <c r="N77" s="48" t="s">
        <v>31</v>
      </c>
      <c r="O77" s="49"/>
      <c r="P77" s="49"/>
      <c r="Q77" s="50"/>
      <c r="R77" s="51">
        <v>0.41</v>
      </c>
      <c r="S77" s="52"/>
      <c r="T77" s="51"/>
      <c r="U77" s="52"/>
      <c r="V77" s="51">
        <f>R77</f>
        <v>0.41</v>
      </c>
      <c r="W77" s="53"/>
      <c r="X77" s="17">
        <f t="shared" si="0"/>
        <v>146.34146341463415</v>
      </c>
      <c r="Y77" s="17">
        <f t="shared" si="1"/>
        <v>139.02439024390245</v>
      </c>
      <c r="Z77" s="18">
        <f t="shared" si="2"/>
        <v>1.3950560574354787</v>
      </c>
      <c r="AA77" s="19">
        <v>1.5</v>
      </c>
    </row>
    <row r="78" spans="1:27">
      <c r="A78" s="35">
        <v>10</v>
      </c>
      <c r="B78" s="45" t="s">
        <v>119</v>
      </c>
      <c r="C78" s="46"/>
      <c r="D78" s="46"/>
      <c r="E78" s="46"/>
      <c r="F78" s="46"/>
      <c r="G78" s="46"/>
      <c r="H78" s="46"/>
      <c r="I78" s="47"/>
      <c r="J78" s="48" t="s">
        <v>30</v>
      </c>
      <c r="K78" s="49"/>
      <c r="L78" s="49"/>
      <c r="M78" s="50"/>
      <c r="N78" s="48" t="s">
        <v>31</v>
      </c>
      <c r="O78" s="49"/>
      <c r="P78" s="49"/>
      <c r="Q78" s="50"/>
      <c r="R78" s="51">
        <v>1.1000000000000001</v>
      </c>
      <c r="S78" s="52"/>
      <c r="T78" s="51">
        <f>R78</f>
        <v>1.1000000000000001</v>
      </c>
      <c r="U78" s="52"/>
      <c r="V78" s="51"/>
      <c r="W78" s="53"/>
      <c r="X78" s="17">
        <f t="shared" si="0"/>
        <v>54.54545454545454</v>
      </c>
      <c r="Y78" s="17">
        <f t="shared" si="1"/>
        <v>51.818181818181813</v>
      </c>
      <c r="Z78" s="18">
        <f t="shared" si="2"/>
        <v>3.7428333248268948</v>
      </c>
      <c r="AA78" s="19">
        <v>4</v>
      </c>
    </row>
    <row r="79" spans="1:27">
      <c r="A79" s="35">
        <v>11</v>
      </c>
      <c r="B79" s="45" t="s">
        <v>96</v>
      </c>
      <c r="C79" s="46"/>
      <c r="D79" s="46"/>
      <c r="E79" s="46"/>
      <c r="F79" s="46"/>
      <c r="G79" s="46"/>
      <c r="H79" s="46"/>
      <c r="I79" s="47"/>
      <c r="J79" s="48" t="s">
        <v>30</v>
      </c>
      <c r="K79" s="49"/>
      <c r="L79" s="49"/>
      <c r="M79" s="50"/>
      <c r="N79" s="48" t="s">
        <v>97</v>
      </c>
      <c r="O79" s="49"/>
      <c r="P79" s="49"/>
      <c r="Q79" s="50"/>
      <c r="R79" s="51">
        <v>0.62</v>
      </c>
      <c r="S79" s="52"/>
      <c r="T79" s="51">
        <f>R79</f>
        <v>0.62</v>
      </c>
      <c r="U79" s="52"/>
      <c r="V79" s="51"/>
      <c r="W79" s="53"/>
      <c r="X79" s="17">
        <f>60/R79</f>
        <v>96.774193548387103</v>
      </c>
      <c r="Y79" s="17">
        <f>X79*0.95</f>
        <v>91.935483870967744</v>
      </c>
      <c r="Z79" s="18">
        <f>AA$5/Y79</f>
        <v>2.1095969649024311</v>
      </c>
      <c r="AA79" s="19">
        <v>2.5</v>
      </c>
    </row>
    <row r="80" spans="1:27">
      <c r="A80" s="35">
        <v>12</v>
      </c>
      <c r="B80" s="45" t="s">
        <v>132</v>
      </c>
      <c r="C80" s="46"/>
      <c r="D80" s="46"/>
      <c r="E80" s="46"/>
      <c r="F80" s="46"/>
      <c r="G80" s="46"/>
      <c r="H80" s="46"/>
      <c r="I80" s="47"/>
      <c r="J80" s="48" t="s">
        <v>82</v>
      </c>
      <c r="K80" s="49"/>
      <c r="L80" s="49"/>
      <c r="M80" s="50"/>
      <c r="N80" s="48" t="s">
        <v>31</v>
      </c>
      <c r="O80" s="49"/>
      <c r="P80" s="49"/>
      <c r="Q80" s="50"/>
      <c r="R80" s="51">
        <v>0.4</v>
      </c>
      <c r="S80" s="52"/>
      <c r="T80" s="51">
        <f>R80</f>
        <v>0.4</v>
      </c>
      <c r="U80" s="52"/>
      <c r="V80" s="51"/>
      <c r="W80" s="53"/>
      <c r="X80" s="17">
        <f>60/R80</f>
        <v>150</v>
      </c>
      <c r="Y80" s="17">
        <f>X80*0.95</f>
        <v>142.5</v>
      </c>
      <c r="Z80" s="18">
        <f>AA$5/Y80</f>
        <v>1.3610302999370525</v>
      </c>
      <c r="AA80" s="19">
        <v>1</v>
      </c>
    </row>
    <row r="81" spans="1:27">
      <c r="A81" s="35">
        <v>13</v>
      </c>
      <c r="B81" s="45" t="s">
        <v>105</v>
      </c>
      <c r="C81" s="46"/>
      <c r="D81" s="46"/>
      <c r="E81" s="46"/>
      <c r="F81" s="46"/>
      <c r="G81" s="46"/>
      <c r="H81" s="46"/>
      <c r="I81" s="47"/>
      <c r="J81" s="48" t="s">
        <v>82</v>
      </c>
      <c r="K81" s="49"/>
      <c r="L81" s="49"/>
      <c r="M81" s="50"/>
      <c r="N81" s="48" t="s">
        <v>31</v>
      </c>
      <c r="O81" s="49"/>
      <c r="P81" s="49"/>
      <c r="Q81" s="50"/>
      <c r="R81" s="51">
        <v>1.76</v>
      </c>
      <c r="S81" s="52"/>
      <c r="T81" s="51">
        <f>R81</f>
        <v>1.76</v>
      </c>
      <c r="U81" s="52"/>
      <c r="V81" s="51"/>
      <c r="W81" s="53"/>
      <c r="X81" s="17">
        <f>60/R81</f>
        <v>34.090909090909093</v>
      </c>
      <c r="Y81" s="17">
        <f>X81*0.95</f>
        <v>32.38636363636364</v>
      </c>
      <c r="Z81" s="18">
        <f>AA$5/Y81</f>
        <v>5.9885333197230297</v>
      </c>
      <c r="AA81" s="19">
        <v>6</v>
      </c>
    </row>
    <row r="82" spans="1:27">
      <c r="A82" s="35"/>
      <c r="B82" s="45"/>
      <c r="C82" s="46"/>
      <c r="D82" s="46"/>
      <c r="E82" s="46"/>
      <c r="F82" s="46"/>
      <c r="G82" s="46"/>
      <c r="H82" s="46"/>
      <c r="I82" s="47"/>
      <c r="J82" s="48"/>
      <c r="K82" s="49"/>
      <c r="L82" s="49"/>
      <c r="M82" s="50"/>
      <c r="N82" s="83" t="s">
        <v>52</v>
      </c>
      <c r="O82" s="84"/>
      <c r="P82" s="84"/>
      <c r="Q82" s="84"/>
      <c r="R82" s="85">
        <f>SUM(R69:S81)</f>
        <v>9.91</v>
      </c>
      <c r="S82" s="85"/>
      <c r="T82" s="85">
        <f t="shared" ref="T82" si="22">SUM(T69:U81)</f>
        <v>8.9000000000000021</v>
      </c>
      <c r="U82" s="85"/>
      <c r="V82" s="85">
        <f t="shared" ref="V82" si="23">SUM(V69:W81)</f>
        <v>1.01</v>
      </c>
      <c r="W82" s="85"/>
      <c r="X82" s="17"/>
      <c r="Y82" s="17"/>
      <c r="Z82" s="18"/>
      <c r="AA82" s="25">
        <f>SUM(AA69:AA81)</f>
        <v>35</v>
      </c>
    </row>
    <row r="83" spans="1:27" ht="24" customHeight="1">
      <c r="A83" s="81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82">
        <f>SUM(R12:S26,R29:S41,R44:S50,R53:S61,R64:S66,R69:S81)</f>
        <v>27.69</v>
      </c>
      <c r="S83" s="67"/>
      <c r="T83" s="82">
        <f t="shared" ref="T83" si="24">SUM(T12:U26,T29:U41,T44:U50,T53:U61,T64:U66,T69:U81)</f>
        <v>21.93</v>
      </c>
      <c r="U83" s="67"/>
      <c r="V83" s="82">
        <f t="shared" ref="V83" si="25">SUM(V12:W26,V29:W41,V44:W50,V53:W61,V64:W66,V69:W81)</f>
        <v>6.06</v>
      </c>
      <c r="W83" s="67"/>
      <c r="X83" s="24"/>
      <c r="Y83" s="17"/>
      <c r="Z83" s="18"/>
      <c r="AA83" s="39">
        <f>AA82+AA67+AA62+AA51+AA42+AA27</f>
        <v>102.5</v>
      </c>
    </row>
    <row r="84" spans="1:27">
      <c r="A84" s="68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7"/>
      <c r="S84" s="67"/>
      <c r="T84" s="67"/>
      <c r="U84" s="67"/>
      <c r="V84" s="67"/>
      <c r="W84" s="67"/>
      <c r="X84" s="42"/>
      <c r="Y84" s="19"/>
      <c r="Z84" s="19"/>
      <c r="AA84" s="19"/>
    </row>
    <row r="85" spans="1:27">
      <c r="A85" s="16"/>
      <c r="B85" s="68" t="s">
        <v>98</v>
      </c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70"/>
      <c r="N85" s="71">
        <v>0</v>
      </c>
      <c r="O85" s="72"/>
      <c r="P85" s="72"/>
      <c r="Q85" s="72"/>
      <c r="R85" s="75"/>
      <c r="S85" s="76"/>
      <c r="T85" s="77">
        <f>N85</f>
        <v>0</v>
      </c>
      <c r="U85" s="78"/>
      <c r="V85" s="77">
        <f>N85</f>
        <v>0</v>
      </c>
      <c r="W85" s="79"/>
      <c r="X85" s="19"/>
      <c r="Y85" s="19"/>
      <c r="Z85" s="19"/>
      <c r="AA85" s="19"/>
    </row>
    <row r="86" spans="1:27">
      <c r="A86" s="16"/>
      <c r="B86" s="68" t="s">
        <v>99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70"/>
      <c r="N86" s="71">
        <v>0.05</v>
      </c>
      <c r="O86" s="72"/>
      <c r="P86" s="72"/>
      <c r="Q86" s="72"/>
      <c r="R86" s="72"/>
      <c r="S86" s="73"/>
      <c r="T86" s="74">
        <f>N86</f>
        <v>0.05</v>
      </c>
      <c r="U86" s="80"/>
      <c r="V86" s="74">
        <f>N86</f>
        <v>0.05</v>
      </c>
      <c r="W86" s="53"/>
      <c r="X86" s="19"/>
      <c r="Y86" s="19"/>
      <c r="Z86" s="19"/>
      <c r="AA86" s="19"/>
    </row>
    <row r="87" spans="1:27">
      <c r="A87" s="16"/>
      <c r="B87" s="68" t="s">
        <v>100</v>
      </c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70"/>
      <c r="N87" s="71">
        <v>0</v>
      </c>
      <c r="O87" s="72"/>
      <c r="P87" s="72"/>
      <c r="Q87" s="72"/>
      <c r="R87" s="72"/>
      <c r="S87" s="73"/>
      <c r="T87" s="74">
        <f>N87</f>
        <v>0</v>
      </c>
      <c r="U87" s="52"/>
      <c r="V87" s="74">
        <f>N87</f>
        <v>0</v>
      </c>
      <c r="W87" s="53"/>
      <c r="X87" s="19"/>
      <c r="Y87" s="19"/>
      <c r="Z87" s="19"/>
      <c r="AA87" s="19"/>
    </row>
    <row r="88" spans="1:27">
      <c r="A88" s="16"/>
      <c r="B88" s="68" t="s">
        <v>101</v>
      </c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70"/>
      <c r="N88" s="71">
        <v>0</v>
      </c>
      <c r="O88" s="72"/>
      <c r="P88" s="72"/>
      <c r="Q88" s="72"/>
      <c r="R88" s="72"/>
      <c r="S88" s="73"/>
      <c r="T88" s="74">
        <f>N88</f>
        <v>0</v>
      </c>
      <c r="U88" s="52"/>
      <c r="V88" s="74">
        <f>N88</f>
        <v>0</v>
      </c>
      <c r="W88" s="53"/>
      <c r="X88" s="19"/>
      <c r="Y88" s="19"/>
      <c r="Z88" s="19"/>
      <c r="AA88" s="19"/>
    </row>
    <row r="89" spans="1:27">
      <c r="A89" s="40"/>
      <c r="B89" s="58" t="s">
        <v>102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  <c r="R89" s="61"/>
      <c r="S89" s="62"/>
      <c r="T89" s="63">
        <f>SUM(T85:U88)</f>
        <v>0.05</v>
      </c>
      <c r="U89" s="64"/>
      <c r="V89" s="63">
        <f>SUM(V85:W88)</f>
        <v>0.05</v>
      </c>
      <c r="W89" s="65"/>
      <c r="X89" s="36"/>
      <c r="Y89" s="36"/>
      <c r="Z89" s="36"/>
      <c r="AA89" s="36"/>
    </row>
    <row r="90" spans="1:27">
      <c r="A90" s="66" t="s">
        <v>103</v>
      </c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7">
        <f>T90+V90</f>
        <v>29.389499999999998</v>
      </c>
      <c r="S90" s="67"/>
      <c r="T90" s="67">
        <f>(T83*T89)+T83</f>
        <v>23.026499999999999</v>
      </c>
      <c r="U90" s="67"/>
      <c r="V90" s="67">
        <f>(V83*V89)+V83</f>
        <v>6.3629999999999995</v>
      </c>
      <c r="W90" s="67"/>
      <c r="X90" s="19"/>
      <c r="Y90" s="19"/>
      <c r="Z90" s="19"/>
      <c r="AA90" s="19"/>
    </row>
    <row r="91" spans="1:27" ht="46.5">
      <c r="R91" s="41" t="s">
        <v>120</v>
      </c>
    </row>
  </sheetData>
  <mergeCells count="446">
    <mergeCell ref="S5:T5"/>
    <mergeCell ref="U5:W5"/>
    <mergeCell ref="T10:U10"/>
    <mergeCell ref="V10:W10"/>
    <mergeCell ref="B71:I71"/>
    <mergeCell ref="J71:M71"/>
    <mergeCell ref="N71:Q71"/>
    <mergeCell ref="R71:S71"/>
    <mergeCell ref="T71:U71"/>
    <mergeCell ref="V71:W71"/>
    <mergeCell ref="B31:I31"/>
    <mergeCell ref="J31:M31"/>
    <mergeCell ref="N31:Q31"/>
    <mergeCell ref="R31:S31"/>
    <mergeCell ref="T31:U31"/>
    <mergeCell ref="V31:W31"/>
    <mergeCell ref="B32:I32"/>
    <mergeCell ref="J32:M32"/>
    <mergeCell ref="N32:Q32"/>
    <mergeCell ref="R32:S32"/>
    <mergeCell ref="T32:U32"/>
    <mergeCell ref="V32:W32"/>
    <mergeCell ref="B33:I33"/>
    <mergeCell ref="J33:M33"/>
    <mergeCell ref="J13:M13"/>
    <mergeCell ref="N13:Q13"/>
    <mergeCell ref="R13:S13"/>
    <mergeCell ref="T13:U13"/>
    <mergeCell ref="A1:W1"/>
    <mergeCell ref="A2:W2"/>
    <mergeCell ref="A4:B4"/>
    <mergeCell ref="C4:G4"/>
    <mergeCell ref="J4:K4"/>
    <mergeCell ref="L4:P4"/>
    <mergeCell ref="S4:T4"/>
    <mergeCell ref="U4:W4"/>
    <mergeCell ref="B11:I11"/>
    <mergeCell ref="J11:M11"/>
    <mergeCell ref="N11:Q11"/>
    <mergeCell ref="R11:S11"/>
    <mergeCell ref="T11:U11"/>
    <mergeCell ref="V11:W11"/>
    <mergeCell ref="A7:C7"/>
    <mergeCell ref="D7:AA8"/>
    <mergeCell ref="B10:I10"/>
    <mergeCell ref="R10:S10"/>
    <mergeCell ref="J5:K5"/>
    <mergeCell ref="L5:P5"/>
    <mergeCell ref="A5:B5"/>
    <mergeCell ref="C5:G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5:I15"/>
    <mergeCell ref="J15:M15"/>
    <mergeCell ref="J10:M10"/>
    <mergeCell ref="N10:Q10"/>
    <mergeCell ref="V13:W13"/>
    <mergeCell ref="B12:I12"/>
    <mergeCell ref="J12:M12"/>
    <mergeCell ref="N12:Q12"/>
    <mergeCell ref="R12:S12"/>
    <mergeCell ref="T12:U12"/>
    <mergeCell ref="V12:W12"/>
    <mergeCell ref="B13:I13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26:I26"/>
    <mergeCell ref="J26:M26"/>
    <mergeCell ref="N26:Q26"/>
    <mergeCell ref="R26:S26"/>
    <mergeCell ref="T26:U26"/>
    <mergeCell ref="V26:W26"/>
    <mergeCell ref="B24:I24"/>
    <mergeCell ref="J24:M24"/>
    <mergeCell ref="N24:Q24"/>
    <mergeCell ref="R24:S24"/>
    <mergeCell ref="T24:U24"/>
    <mergeCell ref="V24:W24"/>
    <mergeCell ref="B25:I25"/>
    <mergeCell ref="J25:M25"/>
    <mergeCell ref="N25:Q25"/>
    <mergeCell ref="R25:S25"/>
    <mergeCell ref="T25:U25"/>
    <mergeCell ref="V25:W25"/>
    <mergeCell ref="N27:Q27"/>
    <mergeCell ref="R27:S27"/>
    <mergeCell ref="T27:U27"/>
    <mergeCell ref="V27:W27"/>
    <mergeCell ref="B29:I29"/>
    <mergeCell ref="J29:M29"/>
    <mergeCell ref="N29:Q29"/>
    <mergeCell ref="R29:S29"/>
    <mergeCell ref="T29:U29"/>
    <mergeCell ref="V29:W29"/>
    <mergeCell ref="B35:I35"/>
    <mergeCell ref="J35:M35"/>
    <mergeCell ref="N35:Q35"/>
    <mergeCell ref="R35:S35"/>
    <mergeCell ref="T35:U35"/>
    <mergeCell ref="V35:W35"/>
    <mergeCell ref="B30:I30"/>
    <mergeCell ref="J30:M30"/>
    <mergeCell ref="N30:Q30"/>
    <mergeCell ref="R30:S30"/>
    <mergeCell ref="T30:U30"/>
    <mergeCell ref="V30:W30"/>
    <mergeCell ref="N33:Q33"/>
    <mergeCell ref="R33:S33"/>
    <mergeCell ref="T33:U33"/>
    <mergeCell ref="V33:W33"/>
    <mergeCell ref="B34:I34"/>
    <mergeCell ref="J34:M34"/>
    <mergeCell ref="N34:Q34"/>
    <mergeCell ref="R34:S34"/>
    <mergeCell ref="T34:U34"/>
    <mergeCell ref="V34:W34"/>
    <mergeCell ref="B37:I37"/>
    <mergeCell ref="J37:M37"/>
    <mergeCell ref="N37:Q37"/>
    <mergeCell ref="R37:S37"/>
    <mergeCell ref="T37:U37"/>
    <mergeCell ref="V37:W37"/>
    <mergeCell ref="B36:I36"/>
    <mergeCell ref="J36:M36"/>
    <mergeCell ref="N36:Q36"/>
    <mergeCell ref="R36:S36"/>
    <mergeCell ref="T36:U36"/>
    <mergeCell ref="V36:W36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  <mergeCell ref="V38:W38"/>
    <mergeCell ref="B41:I41"/>
    <mergeCell ref="J41:M41"/>
    <mergeCell ref="N41:Q41"/>
    <mergeCell ref="R41:S41"/>
    <mergeCell ref="T41:U41"/>
    <mergeCell ref="V41:W41"/>
    <mergeCell ref="B40:I40"/>
    <mergeCell ref="J40:M40"/>
    <mergeCell ref="N40:Q40"/>
    <mergeCell ref="R40:S40"/>
    <mergeCell ref="T40:U40"/>
    <mergeCell ref="V40:W40"/>
    <mergeCell ref="N42:Q42"/>
    <mergeCell ref="R42:S42"/>
    <mergeCell ref="T42:U42"/>
    <mergeCell ref="V42:W42"/>
    <mergeCell ref="B44:I44"/>
    <mergeCell ref="J44:M44"/>
    <mergeCell ref="N44:Q44"/>
    <mergeCell ref="R44:S44"/>
    <mergeCell ref="T44:U44"/>
    <mergeCell ref="V44:W44"/>
    <mergeCell ref="B46:I46"/>
    <mergeCell ref="J46:M46"/>
    <mergeCell ref="N46:Q46"/>
    <mergeCell ref="R46:S46"/>
    <mergeCell ref="T46:U46"/>
    <mergeCell ref="V46:W46"/>
    <mergeCell ref="B45:I45"/>
    <mergeCell ref="J45:M45"/>
    <mergeCell ref="N45:Q45"/>
    <mergeCell ref="R45:S45"/>
    <mergeCell ref="T45:U45"/>
    <mergeCell ref="V45:W45"/>
    <mergeCell ref="B48:I48"/>
    <mergeCell ref="J48:M48"/>
    <mergeCell ref="N48:Q48"/>
    <mergeCell ref="R48:S48"/>
    <mergeCell ref="T48:U48"/>
    <mergeCell ref="V48:W48"/>
    <mergeCell ref="B47:I47"/>
    <mergeCell ref="J47:M47"/>
    <mergeCell ref="N47:Q47"/>
    <mergeCell ref="R47:S47"/>
    <mergeCell ref="T47:U47"/>
    <mergeCell ref="V47:W47"/>
    <mergeCell ref="B50:I50"/>
    <mergeCell ref="J50:M50"/>
    <mergeCell ref="N50:Q50"/>
    <mergeCell ref="R50:S50"/>
    <mergeCell ref="T50:U50"/>
    <mergeCell ref="V50:W50"/>
    <mergeCell ref="B49:I49"/>
    <mergeCell ref="J49:M49"/>
    <mergeCell ref="N49:Q49"/>
    <mergeCell ref="R49:S49"/>
    <mergeCell ref="T49:U49"/>
    <mergeCell ref="V49:W49"/>
    <mergeCell ref="N51:Q51"/>
    <mergeCell ref="R51:S51"/>
    <mergeCell ref="T51:U51"/>
    <mergeCell ref="V51:W51"/>
    <mergeCell ref="B53:I53"/>
    <mergeCell ref="J53:M53"/>
    <mergeCell ref="N53:Q53"/>
    <mergeCell ref="R53:S53"/>
    <mergeCell ref="T53:U53"/>
    <mergeCell ref="V53:W53"/>
    <mergeCell ref="B55:I55"/>
    <mergeCell ref="J55:M55"/>
    <mergeCell ref="N55:Q55"/>
    <mergeCell ref="R55:S55"/>
    <mergeCell ref="T55:U55"/>
    <mergeCell ref="V55:W55"/>
    <mergeCell ref="B54:I54"/>
    <mergeCell ref="J54:M54"/>
    <mergeCell ref="N54:Q54"/>
    <mergeCell ref="R54:S54"/>
    <mergeCell ref="T54:U54"/>
    <mergeCell ref="V54:W54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B59:I59"/>
    <mergeCell ref="J59:M59"/>
    <mergeCell ref="N59:Q59"/>
    <mergeCell ref="R59:S59"/>
    <mergeCell ref="T59:U59"/>
    <mergeCell ref="V59:W59"/>
    <mergeCell ref="B58:I58"/>
    <mergeCell ref="J58:M58"/>
    <mergeCell ref="N58:Q58"/>
    <mergeCell ref="R58:S58"/>
    <mergeCell ref="T58:U58"/>
    <mergeCell ref="V58:W58"/>
    <mergeCell ref="B61:I61"/>
    <mergeCell ref="J61:M61"/>
    <mergeCell ref="N61:Q61"/>
    <mergeCell ref="R61:S61"/>
    <mergeCell ref="T61:U61"/>
    <mergeCell ref="V61:W61"/>
    <mergeCell ref="B60:I60"/>
    <mergeCell ref="J60:M60"/>
    <mergeCell ref="N60:Q60"/>
    <mergeCell ref="R60:S60"/>
    <mergeCell ref="T60:U60"/>
    <mergeCell ref="V60:W60"/>
    <mergeCell ref="N62:Q62"/>
    <mergeCell ref="R62:S62"/>
    <mergeCell ref="T62:U62"/>
    <mergeCell ref="V62:W62"/>
    <mergeCell ref="B64:I64"/>
    <mergeCell ref="J64:M64"/>
    <mergeCell ref="N64:Q64"/>
    <mergeCell ref="R64:S64"/>
    <mergeCell ref="T64:U64"/>
    <mergeCell ref="V64:W64"/>
    <mergeCell ref="B65:I65"/>
    <mergeCell ref="J65:M65"/>
    <mergeCell ref="N65:Q65"/>
    <mergeCell ref="R65:S65"/>
    <mergeCell ref="T65:U65"/>
    <mergeCell ref="V65:W65"/>
    <mergeCell ref="N67:Q67"/>
    <mergeCell ref="R67:S67"/>
    <mergeCell ref="T67:U67"/>
    <mergeCell ref="V67:W67"/>
    <mergeCell ref="B66:I66"/>
    <mergeCell ref="J66:M66"/>
    <mergeCell ref="N66:Q66"/>
    <mergeCell ref="R66:S66"/>
    <mergeCell ref="T66:U66"/>
    <mergeCell ref="V66:W66"/>
    <mergeCell ref="B69:I69"/>
    <mergeCell ref="J69:M69"/>
    <mergeCell ref="N69:Q69"/>
    <mergeCell ref="R69:S69"/>
    <mergeCell ref="T69:U69"/>
    <mergeCell ref="V69:W69"/>
    <mergeCell ref="B72:I72"/>
    <mergeCell ref="J72:M72"/>
    <mergeCell ref="N72:Q72"/>
    <mergeCell ref="R72:S72"/>
    <mergeCell ref="T72:U72"/>
    <mergeCell ref="V72:W72"/>
    <mergeCell ref="B70:I70"/>
    <mergeCell ref="J70:M70"/>
    <mergeCell ref="N70:Q70"/>
    <mergeCell ref="R70:S70"/>
    <mergeCell ref="T70:U70"/>
    <mergeCell ref="V70:W70"/>
    <mergeCell ref="B74:I74"/>
    <mergeCell ref="J74:M74"/>
    <mergeCell ref="N74:Q74"/>
    <mergeCell ref="R74:S74"/>
    <mergeCell ref="T74:U74"/>
    <mergeCell ref="V74:W74"/>
    <mergeCell ref="B73:I73"/>
    <mergeCell ref="J73:M73"/>
    <mergeCell ref="N73:Q73"/>
    <mergeCell ref="R73:S73"/>
    <mergeCell ref="T73:U73"/>
    <mergeCell ref="V73:W73"/>
    <mergeCell ref="B76:I76"/>
    <mergeCell ref="J76:M76"/>
    <mergeCell ref="N76:Q76"/>
    <mergeCell ref="R76:S76"/>
    <mergeCell ref="T76:U76"/>
    <mergeCell ref="V76:W76"/>
    <mergeCell ref="B75:I75"/>
    <mergeCell ref="J75:M75"/>
    <mergeCell ref="N75:Q75"/>
    <mergeCell ref="R75:S75"/>
    <mergeCell ref="T75:U75"/>
    <mergeCell ref="V75:W75"/>
    <mergeCell ref="B82:I82"/>
    <mergeCell ref="J82:M82"/>
    <mergeCell ref="N82:Q82"/>
    <mergeCell ref="R82:S82"/>
    <mergeCell ref="T82:U82"/>
    <mergeCell ref="V82:W82"/>
    <mergeCell ref="B79:I79"/>
    <mergeCell ref="J79:M79"/>
    <mergeCell ref="N79:Q79"/>
    <mergeCell ref="R79:S79"/>
    <mergeCell ref="T79:U79"/>
    <mergeCell ref="V79:W79"/>
    <mergeCell ref="B81:I81"/>
    <mergeCell ref="J81:M81"/>
    <mergeCell ref="N81:Q81"/>
    <mergeCell ref="R81:S81"/>
    <mergeCell ref="T81:U81"/>
    <mergeCell ref="V81:W81"/>
    <mergeCell ref="B80:I80"/>
    <mergeCell ref="J80:M80"/>
    <mergeCell ref="N80:Q80"/>
    <mergeCell ref="R80:S80"/>
    <mergeCell ref="T80:U80"/>
    <mergeCell ref="V80:W80"/>
    <mergeCell ref="B85:M85"/>
    <mergeCell ref="N85:S85"/>
    <mergeCell ref="T85:U85"/>
    <mergeCell ref="V85:W85"/>
    <mergeCell ref="B86:M86"/>
    <mergeCell ref="N86:S86"/>
    <mergeCell ref="T86:U86"/>
    <mergeCell ref="V86:W86"/>
    <mergeCell ref="A83:Q83"/>
    <mergeCell ref="R83:S83"/>
    <mergeCell ref="T83:U83"/>
    <mergeCell ref="V83:W83"/>
    <mergeCell ref="A84:Q84"/>
    <mergeCell ref="R84:S84"/>
    <mergeCell ref="T84:U84"/>
    <mergeCell ref="V84:W84"/>
    <mergeCell ref="B89:Q89"/>
    <mergeCell ref="R89:S89"/>
    <mergeCell ref="T89:U89"/>
    <mergeCell ref="V89:W89"/>
    <mergeCell ref="A90:Q90"/>
    <mergeCell ref="R90:S90"/>
    <mergeCell ref="T90:U90"/>
    <mergeCell ref="V90:W90"/>
    <mergeCell ref="B87:M87"/>
    <mergeCell ref="N87:S87"/>
    <mergeCell ref="T87:U87"/>
    <mergeCell ref="V87:W87"/>
    <mergeCell ref="B88:M88"/>
    <mergeCell ref="N88:S88"/>
    <mergeCell ref="T88:U88"/>
    <mergeCell ref="V88:W88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77:I77"/>
    <mergeCell ref="J77:M77"/>
    <mergeCell ref="N77:Q77"/>
    <mergeCell ref="R77:S77"/>
    <mergeCell ref="T77:U77"/>
    <mergeCell ref="V77:W77"/>
    <mergeCell ref="B78:I78"/>
    <mergeCell ref="J78:M78"/>
    <mergeCell ref="N78:Q78"/>
    <mergeCell ref="R78:S78"/>
    <mergeCell ref="T78:U78"/>
    <mergeCell ref="V78:W78"/>
  </mergeCells>
  <pageMargins left="0.70866141732283472" right="0.15748031496062992" top="0.35433070866141736" bottom="0.27559055118110237" header="0.31496062992125984" footer="0.31496062992125984"/>
  <pageSetup paperSize="9" scale="33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2025-07-31T06:13:24Z</cp:lastPrinted>
  <dcterms:created xsi:type="dcterms:W3CDTF">2025-07-10T04:59:53Z</dcterms:created>
  <dcterms:modified xsi:type="dcterms:W3CDTF">2026-02-05T08:09:44Z</dcterms:modified>
  <cp:category/>
  <cp:contentStatus/>
</cp:coreProperties>
</file>