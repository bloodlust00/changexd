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"/>
    </mc:Choice>
  </mc:AlternateContent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Sheet1!$A$1:$AA$90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" i="1" l="1"/>
  <c r="X60" i="1"/>
  <c r="Y60" i="1" s="1"/>
  <c r="AA29" i="1"/>
  <c r="R29" i="1"/>
  <c r="R82" i="1" l="1"/>
  <c r="AA40" i="1" l="1"/>
  <c r="X35" i="1"/>
  <c r="Y35" i="1"/>
  <c r="V35" i="1"/>
  <c r="AA81" i="1"/>
  <c r="X19" i="1"/>
  <c r="Y19" i="1"/>
  <c r="T19" i="1"/>
  <c r="X65" i="1"/>
  <c r="Y65" i="1"/>
  <c r="T65" i="1"/>
  <c r="V87" i="1"/>
  <c r="T87" i="1"/>
  <c r="V86" i="1"/>
  <c r="T86" i="1"/>
  <c r="V85" i="1"/>
  <c r="T85" i="1"/>
  <c r="V84" i="1"/>
  <c r="T84" i="1"/>
  <c r="T88" i="1" s="1"/>
  <c r="R81" i="1"/>
  <c r="X80" i="1"/>
  <c r="Y80" i="1" s="1"/>
  <c r="T80" i="1"/>
  <c r="X79" i="1"/>
  <c r="Y79" i="1" s="1"/>
  <c r="T79" i="1"/>
  <c r="X78" i="1"/>
  <c r="Y78" i="1" s="1"/>
  <c r="V78" i="1"/>
  <c r="X77" i="1"/>
  <c r="Y77" i="1" s="1"/>
  <c r="T77" i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1" i="1"/>
  <c r="Y71" i="1" s="1"/>
  <c r="V71" i="1"/>
  <c r="V81" i="1" s="1"/>
  <c r="AA69" i="1"/>
  <c r="V69" i="1"/>
  <c r="R69" i="1"/>
  <c r="X68" i="1"/>
  <c r="Y68" i="1" s="1"/>
  <c r="T68" i="1"/>
  <c r="X67" i="1"/>
  <c r="Y67" i="1" s="1"/>
  <c r="T67" i="1"/>
  <c r="X66" i="1"/>
  <c r="Y66" i="1" s="1"/>
  <c r="T66" i="1"/>
  <c r="X64" i="1"/>
  <c r="Y64" i="1" s="1"/>
  <c r="T64" i="1"/>
  <c r="X63" i="1"/>
  <c r="Y63" i="1" s="1"/>
  <c r="T63" i="1"/>
  <c r="AA61" i="1"/>
  <c r="R61" i="1"/>
  <c r="X59" i="1"/>
  <c r="Y59" i="1" s="1"/>
  <c r="T59" i="1"/>
  <c r="X58" i="1"/>
  <c r="Y58" i="1" s="1"/>
  <c r="T58" i="1"/>
  <c r="X57" i="1"/>
  <c r="Y57" i="1" s="1"/>
  <c r="T57" i="1"/>
  <c r="X56" i="1"/>
  <c r="Y56" i="1" s="1"/>
  <c r="V56" i="1"/>
  <c r="X55" i="1"/>
  <c r="Y55" i="1" s="1"/>
  <c r="V55" i="1"/>
  <c r="X54" i="1"/>
  <c r="Y54" i="1" s="1"/>
  <c r="V54" i="1"/>
  <c r="X53" i="1"/>
  <c r="Y53" i="1" s="1"/>
  <c r="V53" i="1"/>
  <c r="X52" i="1"/>
  <c r="Y52" i="1" s="1"/>
  <c r="T52" i="1"/>
  <c r="T61" i="1" s="1"/>
  <c r="X51" i="1"/>
  <c r="Y51" i="1" s="1"/>
  <c r="V51" i="1"/>
  <c r="AA49" i="1"/>
  <c r="R49" i="1"/>
  <c r="X48" i="1"/>
  <c r="Y48" i="1" s="1"/>
  <c r="T48" i="1"/>
  <c r="X47" i="1"/>
  <c r="Y47" i="1" s="1"/>
  <c r="T47" i="1"/>
  <c r="X46" i="1"/>
  <c r="Y46" i="1" s="1"/>
  <c r="V46" i="1"/>
  <c r="X45" i="1"/>
  <c r="Y45" i="1" s="1"/>
  <c r="T45" i="1"/>
  <c r="X44" i="1"/>
  <c r="Y44" i="1" s="1"/>
  <c r="V44" i="1"/>
  <c r="X43" i="1"/>
  <c r="Y43" i="1" s="1"/>
  <c r="T43" i="1"/>
  <c r="X42" i="1"/>
  <c r="Y42" i="1" s="1"/>
  <c r="T42" i="1"/>
  <c r="R40" i="1"/>
  <c r="X39" i="1"/>
  <c r="Y39" i="1" s="1"/>
  <c r="V39" i="1"/>
  <c r="X38" i="1"/>
  <c r="Y38" i="1" s="1"/>
  <c r="T38" i="1"/>
  <c r="X37" i="1"/>
  <c r="Y37" i="1" s="1"/>
  <c r="T37" i="1"/>
  <c r="X36" i="1"/>
  <c r="Y36" i="1" s="1"/>
  <c r="T36" i="1"/>
  <c r="X34" i="1"/>
  <c r="Y34" i="1" s="1"/>
  <c r="T34" i="1"/>
  <c r="X33" i="1"/>
  <c r="Y33" i="1" s="1"/>
  <c r="T33" i="1"/>
  <c r="X32" i="1"/>
  <c r="Y32" i="1" s="1"/>
  <c r="T32" i="1"/>
  <c r="X31" i="1"/>
  <c r="Y31" i="1" s="1"/>
  <c r="V31" i="1"/>
  <c r="V40" i="1" s="1"/>
  <c r="X28" i="1"/>
  <c r="Y28" i="1" s="1"/>
  <c r="T28" i="1"/>
  <c r="X27" i="1"/>
  <c r="Y27" i="1" s="1"/>
  <c r="V27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T22" i="1"/>
  <c r="X21" i="1"/>
  <c r="Y21" i="1" s="1"/>
  <c r="T21" i="1"/>
  <c r="X20" i="1"/>
  <c r="Y20" i="1" s="1"/>
  <c r="T20" i="1"/>
  <c r="X18" i="1"/>
  <c r="Y18" i="1" s="1"/>
  <c r="T18" i="1"/>
  <c r="X17" i="1"/>
  <c r="Y17" i="1" s="1"/>
  <c r="V17" i="1"/>
  <c r="X16" i="1"/>
  <c r="Y16" i="1" s="1"/>
  <c r="T16" i="1"/>
  <c r="X15" i="1"/>
  <c r="Y15" i="1" s="1"/>
  <c r="V15" i="1"/>
  <c r="X14" i="1"/>
  <c r="Y14" i="1" s="1"/>
  <c r="T14" i="1"/>
  <c r="X13" i="1"/>
  <c r="Y13" i="1" s="1"/>
  <c r="T13" i="1"/>
  <c r="X12" i="1"/>
  <c r="Y12" i="1" s="1"/>
  <c r="V12" i="1"/>
  <c r="U4" i="1"/>
  <c r="T40" i="1" l="1"/>
  <c r="V29" i="1"/>
  <c r="V82" i="1"/>
  <c r="T29" i="1"/>
  <c r="T82" i="1"/>
  <c r="T89" i="1" s="1"/>
  <c r="T69" i="1"/>
  <c r="T81" i="1"/>
  <c r="V88" i="1"/>
  <c r="T49" i="1"/>
  <c r="V49" i="1"/>
  <c r="V61" i="1"/>
  <c r="AA82" i="1"/>
  <c r="V89" i="1" l="1"/>
  <c r="R89" i="1" s="1"/>
  <c r="Y4" i="1" s="1"/>
  <c r="Y5" i="1" s="1"/>
  <c r="AA5" i="1" s="1"/>
  <c r="Z35" i="1" l="1"/>
  <c r="Z60" i="1"/>
  <c r="Z64" i="1"/>
  <c r="Z44" i="1"/>
  <c r="Z25" i="1"/>
  <c r="Z63" i="1"/>
  <c r="Z43" i="1"/>
  <c r="Z24" i="1"/>
  <c r="Z59" i="1"/>
  <c r="Z42" i="1"/>
  <c r="Z23" i="1"/>
  <c r="Z79" i="1"/>
  <c r="Z58" i="1"/>
  <c r="Z39" i="1"/>
  <c r="Z20" i="1"/>
  <c r="Z78" i="1"/>
  <c r="Z57" i="1"/>
  <c r="Z38" i="1"/>
  <c r="Z18" i="1"/>
  <c r="Z77" i="1"/>
  <c r="Z56" i="1"/>
  <c r="Z34" i="1"/>
  <c r="Z17" i="1"/>
  <c r="Z76" i="1"/>
  <c r="Z55" i="1"/>
  <c r="Z33" i="1"/>
  <c r="Z16" i="1"/>
  <c r="Z75" i="1"/>
  <c r="Z32" i="1"/>
  <c r="Z15" i="1"/>
  <c r="Z74" i="1"/>
  <c r="Z48" i="1"/>
  <c r="Z31" i="1"/>
  <c r="Z14" i="1"/>
  <c r="Z47" i="1"/>
  <c r="Z13" i="1"/>
  <c r="Z46" i="1"/>
  <c r="Z12" i="1"/>
  <c r="Z45" i="1"/>
  <c r="Z26" i="1"/>
  <c r="Z54" i="1"/>
  <c r="Z73" i="1"/>
  <c r="Z28" i="1"/>
  <c r="Z72" i="1"/>
  <c r="Z27" i="1"/>
  <c r="Z71" i="1"/>
  <c r="Z51" i="1"/>
  <c r="Z66" i="1"/>
  <c r="Z36" i="1"/>
  <c r="Z52" i="1"/>
  <c r="Z67" i="1"/>
  <c r="Z19" i="1"/>
  <c r="Z80" i="1"/>
  <c r="Z21" i="1"/>
  <c r="Z22" i="1"/>
  <c r="Z37" i="1"/>
  <c r="Z53" i="1"/>
  <c r="Z68" i="1"/>
  <c r="Z65" i="1"/>
</calcChain>
</file>

<file path=xl/sharedStrings.xml><?xml version="1.0" encoding="utf-8"?>
<sst xmlns="http://schemas.openxmlformats.org/spreadsheetml/2006/main" count="223" uniqueCount="128">
  <si>
    <t>Laguna Clothing Pvt Ltd</t>
  </si>
  <si>
    <t>SMV &amp; Operation Breakdown</t>
  </si>
  <si>
    <t>Buyer:</t>
  </si>
  <si>
    <t>HUGO BOSS</t>
  </si>
  <si>
    <t>Style Ref:</t>
  </si>
  <si>
    <t>Date:</t>
  </si>
  <si>
    <t>Batch Target:</t>
  </si>
  <si>
    <t>Manpower:</t>
  </si>
  <si>
    <t>Season:</t>
  </si>
  <si>
    <t>Fabric:</t>
  </si>
  <si>
    <t>Prepared By:</t>
  </si>
  <si>
    <t>Shamantu B R</t>
  </si>
  <si>
    <t>Target at 90%:</t>
  </si>
  <si>
    <t>Target per hour:</t>
  </si>
  <si>
    <t>Description:</t>
  </si>
  <si>
    <t>Bone patch collar, Tape at piping, round neckband, Self fold placket, single Square cuff 1 bttn 1 B/H, 1 Logo bttn at right cuff, Sleeve Attach,side seam-FOA , 1 mm stitch at shoulder &amp;yoke, back dart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</si>
  <si>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</si>
  <si>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</si>
  <si>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</si>
  <si>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</si>
  <si>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</si>
  <si>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</si>
  <si>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</si>
  <si>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</si>
  <si>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</si>
  <si>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</si>
  <si>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</si>
  <si>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</si>
  <si>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</si>
  <si>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</si>
  <si>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</si>
  <si>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</si>
  <si>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</si>
  <si>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Collar-Fusible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</si>
  <si>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</si>
  <si>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</si>
  <si>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</si>
  <si>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</si>
  <si>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</si>
  <si>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</si>
  <si>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</si>
  <si>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Tape Attach at band</t>
  </si>
  <si>
    <t>Pick turn</t>
  </si>
  <si>
    <t>Turning M/C</t>
  </si>
  <si>
    <t>Pick iron</t>
  </si>
  <si>
    <t>Iron Table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</si>
  <si>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</si>
  <si>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</si>
  <si>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</si>
  <si>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</si>
  <si>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</si>
  <si>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</si>
  <si>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</si>
  <si>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</si>
  <si>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Iron- left placket (Self Fold)</t>
  </si>
  <si>
    <t>Left Neck Stitch</t>
  </si>
  <si>
    <t>Right Placket Hem</t>
  </si>
  <si>
    <t>20mm</t>
  </si>
  <si>
    <t>Button hole front X 6</t>
  </si>
  <si>
    <t>B/Hole M/C</t>
  </si>
  <si>
    <t>Button Marking</t>
  </si>
  <si>
    <t>Helper Tabel</t>
  </si>
  <si>
    <t>Button sew front X 6</t>
  </si>
  <si>
    <t>Button M/C</t>
  </si>
  <si>
    <t>Sew extra button X 2</t>
  </si>
  <si>
    <t>Wash Care Lable Attach</t>
  </si>
  <si>
    <t>Pairing</t>
  </si>
  <si>
    <t>Sleeve</t>
  </si>
  <si>
    <t xml:space="preserve">Sew small sleeve placket </t>
  </si>
  <si>
    <t>8mm</t>
  </si>
  <si>
    <t>Sleeve tacking</t>
  </si>
  <si>
    <t>Press sleeve placket</t>
  </si>
  <si>
    <t>Rotary Fusing M/C</t>
  </si>
  <si>
    <t xml:space="preserve">Set &amp; seal placket </t>
  </si>
  <si>
    <t>Sleeve placket trim</t>
  </si>
  <si>
    <t>Button hole on sleeve placket</t>
  </si>
  <si>
    <t>Button stitch on sleeve placket</t>
  </si>
  <si>
    <t>Cuff</t>
  </si>
  <si>
    <t>Cuff hem iron</t>
  </si>
  <si>
    <t>Run cuff- Square</t>
  </si>
  <si>
    <t>Cuff raw edge trimming-Square</t>
  </si>
  <si>
    <t>Cuff turning &amp; Shape- Square</t>
  </si>
  <si>
    <t>Cuff Blocking</t>
  </si>
  <si>
    <t>Blocking M/C</t>
  </si>
  <si>
    <t xml:space="preserve">Ready Iron cuff  </t>
  </si>
  <si>
    <t>Top stitch cuff fused -Close-Square</t>
  </si>
  <si>
    <t>Buttonhole on cuff X 1</t>
  </si>
  <si>
    <t>Button X1</t>
  </si>
  <si>
    <t>Button m/c</t>
  </si>
  <si>
    <t>Back</t>
  </si>
  <si>
    <t>Pattren Sewer M/C</t>
  </si>
  <si>
    <t>Made In India Label</t>
  </si>
  <si>
    <t>Back dart</t>
  </si>
  <si>
    <t>Yoke Edge Stitch</t>
  </si>
  <si>
    <t>Assembly</t>
  </si>
  <si>
    <t>Hanger Loading</t>
  </si>
  <si>
    <t>Join Shoulder</t>
  </si>
  <si>
    <t>1mm</t>
  </si>
  <si>
    <t>DNCS</t>
  </si>
  <si>
    <t>3/8"</t>
  </si>
  <si>
    <t>Sleeve Top</t>
  </si>
  <si>
    <t>Side Seam</t>
  </si>
  <si>
    <t>FOA</t>
  </si>
  <si>
    <t>3/16"</t>
  </si>
  <si>
    <t xml:space="preserve">Bottom hem </t>
  </si>
  <si>
    <t>4mm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</si>
  <si>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</si>
  <si>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</si>
  <si>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</si>
  <si>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</si>
  <si>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</si>
  <si>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</si>
  <si>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Band top deco stitch</t>
  </si>
  <si>
    <t>SPI-18</t>
  </si>
  <si>
    <t>Yoke Attach-5Th O/L</t>
  </si>
  <si>
    <t>5Th O/L</t>
  </si>
  <si>
    <t>Neck band hem with tape</t>
  </si>
  <si>
    <t>Neckband attach</t>
  </si>
  <si>
    <t>Pick attach</t>
  </si>
  <si>
    <t>Cuff Logo button X1</t>
  </si>
  <si>
    <t xml:space="preserve">Sew Main Label-4 side </t>
  </si>
  <si>
    <t>Heat seal M/C</t>
  </si>
  <si>
    <t>Secondary Label -Heat seal label</t>
  </si>
  <si>
    <t>Collar attach</t>
  </si>
  <si>
    <t>Collar finish</t>
  </si>
  <si>
    <t>Sleeve attach</t>
  </si>
  <si>
    <t>Cuff attach</t>
  </si>
  <si>
    <t>Bottom serging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</si>
</sst>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18"/>
      <color rgb="FF000000"/>
      <name val="Calibri Light"/>
      <family val="2"/>
    </font>
    <font>
      <sz val="18"/>
      <color theme="1"/>
      <name val="Aptos Narrow"/>
      <family val="2"/>
      <scheme val="minor"/>
    </font>
    <font>
      <sz val="18"/>
      <color rgb="FF000000"/>
      <name val="Calibri"/>
      <family val="2"/>
    </font>
    <font>
      <b/>
      <sz val="18"/>
      <color rgb="FF2F75B5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Times New Roman"/>
      <family val="1"/>
    </font>
    <font>
      <sz val="18"/>
      <name val="Arial"/>
      <family val="2"/>
    </font>
    <font>
      <b/>
      <sz val="18"/>
      <name val="Times New Roman"/>
      <family val="1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charset val="134"/>
      <scheme val="minor"/>
    </font>
    <font>
      <b/>
      <sz val="18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0" borderId="9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0" xfId="0" applyFont="1" applyFill="1"/>
    <xf numFmtId="164" fontId="2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0" xfId="0" applyFont="1" applyFill="1" applyAlignment="1"/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5" fontId="3" fillId="2" borderId="0" xfId="0" applyNumberFormat="1" applyFont="1" applyFill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9" fontId="11" fillId="2" borderId="10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9" fontId="11" fillId="2" borderId="12" xfId="0" applyNumberFormat="1" applyFont="1" applyFill="1" applyBorder="1" applyAlignment="1">
      <alignment horizontal="center"/>
    </xf>
    <xf numFmtId="9" fontId="3" fillId="2" borderId="10" xfId="0" applyNumberFormat="1" applyFont="1" applyFill="1" applyBorder="1" applyAlignment="1">
      <alignment horizontal="center"/>
    </xf>
    <xf numFmtId="9" fontId="3" fillId="2" borderId="12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9" fontId="3" fillId="2" borderId="14" xfId="0" applyNumberFormat="1" applyFont="1" applyFill="1" applyBorder="1" applyAlignment="1">
      <alignment horizontal="center"/>
    </xf>
    <xf numFmtId="9" fontId="3" fillId="2" borderId="21" xfId="0" applyNumberFormat="1" applyFont="1" applyFill="1" applyBorder="1" applyAlignment="1">
      <alignment horizontal="center"/>
    </xf>
    <xf numFmtId="9" fontId="3" fillId="2" borderId="2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/>
    </xf>
    <xf numFmtId="0" fontId="6" fillId="8" borderId="12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tabSelected="1" view="pageBreakPreview" topLeftCell="A55" zoomScale="60" zoomScaleNormal="55" workbookViewId="0">
      <selection activeCell="AC81" sqref="AC81"/>
    </sheetView>
  </sheetViews>
  <sheetFormatPr defaultColWidth="11.875" defaultRowHeight="23.25"/>
  <cols>
    <col min="1" max="1" width="8" style="3" customWidth="1"/>
    <col min="2" max="9" width="6.625" style="4" customWidth="1"/>
    <col min="10" max="10" width="9" style="4" customWidth="1"/>
    <col min="11" max="12" width="5.25" style="4" customWidth="1"/>
    <col min="13" max="13" width="7.75" style="4" customWidth="1"/>
    <col min="14" max="17" width="6.875" style="4" customWidth="1"/>
    <col min="18" max="18" width="10" style="4" customWidth="1"/>
    <col min="19" max="19" width="11.875" style="4" customWidth="1"/>
    <col min="20" max="21" width="7.75" style="4" customWidth="1"/>
    <col min="22" max="23" width="11.625" style="4" customWidth="1"/>
    <col min="24" max="24" width="17.625" style="3" customWidth="1"/>
    <col min="25" max="25" width="13.625" style="3" bestFit="1" customWidth="1"/>
    <col min="26" max="26" width="22.75" style="3" customWidth="1"/>
    <col min="27" max="27" width="20.75" style="3" bestFit="1" customWidth="1"/>
    <col min="28" max="16384" width="11.875" style="4"/>
  </cols>
  <sheetData>
    <row r="1" spans="1:29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2"/>
      <c r="Y1" s="1"/>
    </row>
    <row r="2" spans="1:29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"/>
      <c r="Y2" s="1"/>
      <c r="Z2" s="1"/>
      <c r="AA2" s="1"/>
      <c r="AB2" s="5"/>
      <c r="AC2" s="1"/>
    </row>
    <row r="3" spans="1:29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X3" s="2"/>
      <c r="Y3" s="1"/>
      <c r="Z3" s="1"/>
      <c r="AA3" s="1"/>
      <c r="AB3" s="5"/>
    </row>
    <row r="4" spans="1:29" ht="24" customHeight="1">
      <c r="A4" s="53" t="s">
        <v>2</v>
      </c>
      <c r="B4" s="53"/>
      <c r="C4" s="59" t="s">
        <v>3</v>
      </c>
      <c r="D4" s="59"/>
      <c r="E4" s="59"/>
      <c r="F4" s="59"/>
      <c r="G4" s="59"/>
      <c r="H4" s="5"/>
      <c r="I4" s="5"/>
      <c r="J4" s="53" t="s">
        <v>4</v>
      </c>
      <c r="K4" s="53"/>
      <c r="L4" s="41"/>
      <c r="M4" s="41"/>
      <c r="N4" s="41"/>
      <c r="O4" s="41"/>
      <c r="P4" s="41"/>
      <c r="Q4" s="5"/>
      <c r="R4" s="5"/>
      <c r="S4" s="53" t="s">
        <v>5</v>
      </c>
      <c r="T4" s="53"/>
      <c r="U4" s="60">
        <f ca="1">TODAY()</f>
        <v>46056</v>
      </c>
      <c r="V4" s="60"/>
      <c r="W4" s="60"/>
      <c r="X4" s="7" t="s">
        <v>6</v>
      </c>
      <c r="Y4" s="8">
        <f>540/R89</f>
        <v>18.128105277292871</v>
      </c>
      <c r="Z4" s="7" t="s">
        <v>7</v>
      </c>
      <c r="AA4" s="8">
        <v>95</v>
      </c>
      <c r="AB4" s="5"/>
    </row>
    <row r="5" spans="1:29">
      <c r="A5" s="53" t="s">
        <v>8</v>
      </c>
      <c r="B5" s="53"/>
      <c r="C5" s="54"/>
      <c r="D5" s="54"/>
      <c r="E5" s="54"/>
      <c r="F5" s="54"/>
      <c r="G5" s="54"/>
      <c r="H5" s="5"/>
      <c r="I5" s="5"/>
      <c r="J5" s="53" t="s">
        <v>9</v>
      </c>
      <c r="K5" s="53"/>
      <c r="L5" s="54"/>
      <c r="M5" s="54"/>
      <c r="N5" s="54"/>
      <c r="O5" s="54"/>
      <c r="P5" s="54"/>
      <c r="Q5" s="5"/>
      <c r="R5" s="5"/>
      <c r="S5" s="53" t="s">
        <v>10</v>
      </c>
      <c r="T5" s="53"/>
      <c r="U5" s="54" t="s">
        <v>11</v>
      </c>
      <c r="V5" s="54"/>
      <c r="W5" s="54"/>
      <c r="X5" s="7" t="s">
        <v>12</v>
      </c>
      <c r="Y5" s="8">
        <f>Y4*AA4</f>
        <v>1722.1700013428228</v>
      </c>
      <c r="Z5" s="7" t="s">
        <v>13</v>
      </c>
      <c r="AA5" s="8">
        <f>Y5/9</f>
        <v>191.35222237142477</v>
      </c>
      <c r="AB5" s="5"/>
    </row>
    <row r="6" spans="1:29">
      <c r="A6" s="9"/>
      <c r="B6" s="10"/>
      <c r="C6" s="6"/>
      <c r="D6" s="6"/>
      <c r="E6" s="6"/>
      <c r="F6" s="6"/>
      <c r="G6" s="6"/>
      <c r="H6" s="5"/>
      <c r="I6" s="5"/>
      <c r="J6" s="10"/>
      <c r="K6" s="10"/>
      <c r="L6" s="6"/>
      <c r="M6" s="6"/>
      <c r="N6" s="6"/>
      <c r="O6" s="6"/>
      <c r="P6" s="6"/>
      <c r="Q6" s="5"/>
      <c r="R6" s="5"/>
      <c r="S6" s="10"/>
      <c r="T6" s="10"/>
      <c r="U6" s="6"/>
      <c r="V6" s="6"/>
      <c r="W6" s="6"/>
      <c r="X6" s="11"/>
      <c r="Y6" s="12"/>
      <c r="Z6" s="12"/>
      <c r="AA6" s="12"/>
      <c r="AB6" s="5"/>
      <c r="AC6" s="6"/>
    </row>
    <row r="7" spans="1:29" ht="24" customHeight="1">
      <c r="A7" s="53" t="s">
        <v>14</v>
      </c>
      <c r="B7" s="53"/>
      <c r="C7" s="53"/>
      <c r="D7" s="68" t="s">
        <v>15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5"/>
    </row>
    <row r="8" spans="1:29" ht="24" customHeight="1">
      <c r="A8" s="9"/>
      <c r="B8" s="10"/>
      <c r="C8" s="6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5"/>
    </row>
    <row r="9" spans="1:29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2"/>
      <c r="Y9" s="12"/>
      <c r="Z9" s="12"/>
      <c r="AA9" s="12"/>
      <c r="AB9" s="5"/>
    </row>
    <row r="10" spans="1:29" ht="54" customHeight="1">
      <c r="A10" s="13" t="s">
        <v>16</v>
      </c>
      <c r="B10" s="69" t="s">
        <v>17</v>
      </c>
      <c r="C10" s="69"/>
      <c r="D10" s="69"/>
      <c r="E10" s="69"/>
      <c r="F10" s="69"/>
      <c r="G10" s="69"/>
      <c r="H10" s="69"/>
      <c r="I10" s="69"/>
      <c r="J10" s="69" t="s">
        <v>18</v>
      </c>
      <c r="K10" s="69"/>
      <c r="L10" s="69"/>
      <c r="M10" s="69"/>
      <c r="N10" s="69" t="s">
        <v>19</v>
      </c>
      <c r="O10" s="69"/>
      <c r="P10" s="69"/>
      <c r="Q10" s="69"/>
      <c r="R10" s="69" t="s">
        <v>20</v>
      </c>
      <c r="S10" s="69"/>
      <c r="T10" s="69" t="s">
        <v>21</v>
      </c>
      <c r="U10" s="69"/>
      <c r="V10" s="70" t="s">
        <v>22</v>
      </c>
      <c r="W10" s="71"/>
      <c r="X10" s="13" t="s">
        <v>23</v>
      </c>
      <c r="Y10" s="13" t="s">
        <v>24</v>
      </c>
      <c r="Z10" s="13" t="s">
        <v>25</v>
      </c>
      <c r="AA10" s="13" t="s">
        <v>26</v>
      </c>
    </row>
    <row r="11" spans="1:29">
      <c r="A11" s="14"/>
      <c r="B11" s="61" t="s">
        <v>27</v>
      </c>
      <c r="C11" s="62"/>
      <c r="D11" s="62"/>
      <c r="E11" s="62"/>
      <c r="F11" s="62"/>
      <c r="G11" s="62"/>
      <c r="H11" s="62"/>
      <c r="I11" s="63"/>
      <c r="J11" s="64"/>
      <c r="K11" s="65"/>
      <c r="L11" s="65"/>
      <c r="M11" s="66"/>
      <c r="N11" s="64"/>
      <c r="O11" s="65"/>
      <c r="P11" s="65"/>
      <c r="Q11" s="66"/>
      <c r="R11" s="67"/>
      <c r="S11" s="67"/>
      <c r="T11" s="67"/>
      <c r="U11" s="67"/>
      <c r="V11" s="67"/>
      <c r="W11" s="64"/>
      <c r="X11" s="16"/>
      <c r="Y11" s="16"/>
      <c r="Z11" s="16"/>
      <c r="AA11" s="16"/>
    </row>
    <row r="12" spans="1:29">
      <c r="A12" s="17">
        <v>1</v>
      </c>
      <c r="B12" s="55" t="s">
        <v>28</v>
      </c>
      <c r="C12" s="55"/>
      <c r="D12" s="55"/>
      <c r="E12" s="55"/>
      <c r="F12" s="55"/>
      <c r="G12" s="55"/>
      <c r="H12" s="55"/>
      <c r="I12" s="55"/>
      <c r="J12" s="56" t="s">
        <v>29</v>
      </c>
      <c r="K12" s="56"/>
      <c r="L12" s="56"/>
      <c r="M12" s="56"/>
      <c r="N12" s="56" t="s">
        <v>30</v>
      </c>
      <c r="O12" s="56"/>
      <c r="P12" s="56"/>
      <c r="Q12" s="56"/>
      <c r="R12" s="57">
        <v>0.28999999999999998</v>
      </c>
      <c r="S12" s="57"/>
      <c r="T12" s="57"/>
      <c r="U12" s="57"/>
      <c r="V12" s="57">
        <f>R12</f>
        <v>0.28999999999999998</v>
      </c>
      <c r="W12" s="50"/>
      <c r="X12" s="18">
        <f>60/R12</f>
        <v>206.89655172413794</v>
      </c>
      <c r="Y12" s="18">
        <f>X12*0.95</f>
        <v>196.55172413793102</v>
      </c>
      <c r="Z12" s="19">
        <f>AA$5/Y12</f>
        <v>0.973546394521284</v>
      </c>
      <c r="AA12" s="20">
        <v>1</v>
      </c>
    </row>
    <row r="13" spans="1:29">
      <c r="A13" s="17">
        <v>2</v>
      </c>
      <c r="B13" s="55" t="s">
        <v>31</v>
      </c>
      <c r="C13" s="55"/>
      <c r="D13" s="55"/>
      <c r="E13" s="55"/>
      <c r="F13" s="55"/>
      <c r="G13" s="55"/>
      <c r="H13" s="55"/>
      <c r="I13" s="55"/>
      <c r="J13" s="56" t="s">
        <v>32</v>
      </c>
      <c r="K13" s="56"/>
      <c r="L13" s="56"/>
      <c r="M13" s="56"/>
      <c r="N13" s="56" t="s">
        <v>30</v>
      </c>
      <c r="O13" s="56"/>
      <c r="P13" s="56"/>
      <c r="Q13" s="56"/>
      <c r="R13" s="57">
        <v>0.81</v>
      </c>
      <c r="S13" s="57"/>
      <c r="T13" s="57">
        <f>R13</f>
        <v>0.81</v>
      </c>
      <c r="U13" s="57"/>
      <c r="V13" s="57"/>
      <c r="W13" s="50"/>
      <c r="X13" s="18">
        <f t="shared" ref="X13:X79" si="0">60/R13</f>
        <v>74.074074074074076</v>
      </c>
      <c r="Y13" s="18">
        <f t="shared" ref="Y13:Y79" si="1">X13*0.95</f>
        <v>70.370370370370367</v>
      </c>
      <c r="Z13" s="19">
        <f t="shared" ref="Z13:Z79" si="2">AA$5/Y13</f>
        <v>2.719215791593931</v>
      </c>
      <c r="AA13" s="20">
        <v>3</v>
      </c>
    </row>
    <row r="14" spans="1:29">
      <c r="A14" s="17">
        <v>3</v>
      </c>
      <c r="B14" s="55" t="s">
        <v>33</v>
      </c>
      <c r="C14" s="55"/>
      <c r="D14" s="55"/>
      <c r="E14" s="55"/>
      <c r="F14" s="55"/>
      <c r="G14" s="55"/>
      <c r="H14" s="55"/>
      <c r="I14" s="55"/>
      <c r="J14" s="56" t="s">
        <v>32</v>
      </c>
      <c r="K14" s="56"/>
      <c r="L14" s="56"/>
      <c r="M14" s="56"/>
      <c r="N14" s="56" t="s">
        <v>30</v>
      </c>
      <c r="O14" s="56"/>
      <c r="P14" s="56"/>
      <c r="Q14" s="56"/>
      <c r="R14" s="57">
        <v>0.52</v>
      </c>
      <c r="S14" s="57"/>
      <c r="T14" s="57">
        <f>R14</f>
        <v>0.52</v>
      </c>
      <c r="U14" s="57"/>
      <c r="V14" s="57"/>
      <c r="W14" s="50"/>
      <c r="X14" s="18">
        <f t="shared" si="0"/>
        <v>115.38461538461539</v>
      </c>
      <c r="Y14" s="18">
        <f t="shared" si="1"/>
        <v>109.61538461538461</v>
      </c>
      <c r="Z14" s="19">
        <f t="shared" si="2"/>
        <v>1.7456693970726471</v>
      </c>
      <c r="AA14" s="20">
        <v>2</v>
      </c>
    </row>
    <row r="15" spans="1:29">
      <c r="A15" s="43">
        <v>4</v>
      </c>
      <c r="B15" s="55" t="s">
        <v>34</v>
      </c>
      <c r="C15" s="55"/>
      <c r="D15" s="55"/>
      <c r="E15" s="55"/>
      <c r="F15" s="55"/>
      <c r="G15" s="55"/>
      <c r="H15" s="55"/>
      <c r="I15" s="55"/>
      <c r="J15" s="56" t="s">
        <v>35</v>
      </c>
      <c r="K15" s="56"/>
      <c r="L15" s="56"/>
      <c r="M15" s="56"/>
      <c r="N15" s="56" t="s">
        <v>30</v>
      </c>
      <c r="O15" s="56"/>
      <c r="P15" s="56"/>
      <c r="Q15" s="56"/>
      <c r="R15" s="57">
        <v>0.24</v>
      </c>
      <c r="S15" s="57"/>
      <c r="T15" s="57"/>
      <c r="U15" s="57"/>
      <c r="V15" s="57">
        <f>R15</f>
        <v>0.24</v>
      </c>
      <c r="W15" s="50"/>
      <c r="X15" s="18">
        <f t="shared" si="0"/>
        <v>250</v>
      </c>
      <c r="Y15" s="18">
        <f t="shared" si="1"/>
        <v>237.5</v>
      </c>
      <c r="Z15" s="19">
        <f t="shared" si="2"/>
        <v>0.80569356787968327</v>
      </c>
      <c r="AA15" s="20">
        <v>1</v>
      </c>
    </row>
    <row r="16" spans="1:29">
      <c r="A16" s="43">
        <v>5</v>
      </c>
      <c r="B16" s="55" t="s">
        <v>36</v>
      </c>
      <c r="C16" s="55"/>
      <c r="D16" s="55"/>
      <c r="E16" s="55"/>
      <c r="F16" s="55"/>
      <c r="G16" s="55"/>
      <c r="H16" s="55"/>
      <c r="I16" s="55"/>
      <c r="J16" s="56" t="s">
        <v>32</v>
      </c>
      <c r="K16" s="56"/>
      <c r="L16" s="56"/>
      <c r="M16" s="56"/>
      <c r="N16" s="56" t="s">
        <v>30</v>
      </c>
      <c r="O16" s="56"/>
      <c r="P16" s="56"/>
      <c r="Q16" s="56"/>
      <c r="R16" s="57">
        <v>0.4</v>
      </c>
      <c r="S16" s="57"/>
      <c r="T16" s="57">
        <f>R16</f>
        <v>0.4</v>
      </c>
      <c r="U16" s="57"/>
      <c r="V16" s="57"/>
      <c r="W16" s="50"/>
      <c r="X16" s="18">
        <f t="shared" si="0"/>
        <v>150</v>
      </c>
      <c r="Y16" s="18">
        <f t="shared" si="1"/>
        <v>142.5</v>
      </c>
      <c r="Z16" s="19">
        <f t="shared" si="2"/>
        <v>1.3428226131328054</v>
      </c>
      <c r="AA16" s="20">
        <v>1.5</v>
      </c>
    </row>
    <row r="17" spans="1:29">
      <c r="A17" s="43">
        <v>6</v>
      </c>
      <c r="B17" s="55" t="s">
        <v>37</v>
      </c>
      <c r="C17" s="55"/>
      <c r="D17" s="55"/>
      <c r="E17" s="55"/>
      <c r="F17" s="55"/>
      <c r="G17" s="55"/>
      <c r="H17" s="55"/>
      <c r="I17" s="55"/>
      <c r="J17" s="56" t="s">
        <v>38</v>
      </c>
      <c r="K17" s="56"/>
      <c r="L17" s="56"/>
      <c r="M17" s="56"/>
      <c r="N17" s="56" t="s">
        <v>30</v>
      </c>
      <c r="O17" s="56"/>
      <c r="P17" s="56"/>
      <c r="Q17" s="56"/>
      <c r="R17" s="57">
        <v>0.15</v>
      </c>
      <c r="S17" s="57"/>
      <c r="T17" s="57"/>
      <c r="U17" s="57"/>
      <c r="V17" s="57">
        <f>R17</f>
        <v>0.15</v>
      </c>
      <c r="W17" s="50"/>
      <c r="X17" s="18">
        <f t="shared" si="0"/>
        <v>400</v>
      </c>
      <c r="Y17" s="18">
        <f t="shared" si="1"/>
        <v>380</v>
      </c>
      <c r="Z17" s="19">
        <f t="shared" si="2"/>
        <v>0.50355847992480207</v>
      </c>
      <c r="AA17" s="20">
        <v>0.5</v>
      </c>
    </row>
    <row r="18" spans="1:29" s="22" customFormat="1">
      <c r="A18" s="43">
        <v>7</v>
      </c>
      <c r="B18" s="72" t="s">
        <v>39</v>
      </c>
      <c r="C18" s="72"/>
      <c r="D18" s="72"/>
      <c r="E18" s="72"/>
      <c r="F18" s="72"/>
      <c r="G18" s="72"/>
      <c r="H18" s="72"/>
      <c r="I18" s="72"/>
      <c r="J18" s="73" t="s">
        <v>32</v>
      </c>
      <c r="K18" s="73"/>
      <c r="L18" s="73"/>
      <c r="M18" s="73"/>
      <c r="N18" s="73" t="s">
        <v>40</v>
      </c>
      <c r="O18" s="73"/>
      <c r="P18" s="73"/>
      <c r="Q18" s="73"/>
      <c r="R18" s="74">
        <v>0.21</v>
      </c>
      <c r="S18" s="74"/>
      <c r="T18" s="74">
        <f>R18</f>
        <v>0.21</v>
      </c>
      <c r="U18" s="74"/>
      <c r="V18" s="74"/>
      <c r="W18" s="75"/>
      <c r="X18" s="18">
        <f t="shared" si="0"/>
        <v>285.71428571428572</v>
      </c>
      <c r="Y18" s="18">
        <f t="shared" si="1"/>
        <v>271.42857142857144</v>
      </c>
      <c r="Z18" s="19">
        <f t="shared" si="2"/>
        <v>0.70498187189472283</v>
      </c>
      <c r="AA18" s="21">
        <v>1</v>
      </c>
    </row>
    <row r="19" spans="1:29" s="22" customFormat="1">
      <c r="A19" s="43">
        <v>8</v>
      </c>
      <c r="B19" s="55" t="s">
        <v>41</v>
      </c>
      <c r="C19" s="55"/>
      <c r="D19" s="55"/>
      <c r="E19" s="55"/>
      <c r="F19" s="55"/>
      <c r="G19" s="55"/>
      <c r="H19" s="55"/>
      <c r="I19" s="55"/>
      <c r="J19" s="73" t="s">
        <v>32</v>
      </c>
      <c r="K19" s="73"/>
      <c r="L19" s="73"/>
      <c r="M19" s="73"/>
      <c r="N19" s="56" t="s">
        <v>30</v>
      </c>
      <c r="O19" s="56"/>
      <c r="P19" s="56"/>
      <c r="Q19" s="56"/>
      <c r="R19" s="57">
        <v>0.34</v>
      </c>
      <c r="S19" s="57"/>
      <c r="T19" s="57">
        <f>R19</f>
        <v>0.34</v>
      </c>
      <c r="U19" s="57"/>
      <c r="V19" s="57"/>
      <c r="W19" s="50"/>
      <c r="X19" s="18">
        <f t="shared" ref="X19" si="3">60/R19</f>
        <v>176.47058823529412</v>
      </c>
      <c r="Y19" s="18">
        <f t="shared" ref="Y19" si="4">X19*0.95</f>
        <v>167.64705882352939</v>
      </c>
      <c r="Z19" s="19">
        <f t="shared" ref="Z19" si="5">AA$5/Y19</f>
        <v>1.1413992211628847</v>
      </c>
      <c r="AA19" s="20">
        <v>1</v>
      </c>
      <c r="AB19" s="4"/>
      <c r="AC19" s="4"/>
    </row>
    <row r="20" spans="1:29">
      <c r="A20" s="43">
        <v>9</v>
      </c>
      <c r="B20" s="55" t="s">
        <v>116</v>
      </c>
      <c r="C20" s="55"/>
      <c r="D20" s="55"/>
      <c r="E20" s="55"/>
      <c r="F20" s="55"/>
      <c r="G20" s="55"/>
      <c r="H20" s="55"/>
      <c r="I20" s="55"/>
      <c r="J20" s="56" t="s">
        <v>32</v>
      </c>
      <c r="K20" s="56"/>
      <c r="L20" s="56"/>
      <c r="M20" s="56"/>
      <c r="N20" s="56" t="s">
        <v>30</v>
      </c>
      <c r="O20" s="56"/>
      <c r="P20" s="56"/>
      <c r="Q20" s="56"/>
      <c r="R20" s="57">
        <v>0.3</v>
      </c>
      <c r="S20" s="57"/>
      <c r="T20" s="57">
        <f>R20</f>
        <v>0.3</v>
      </c>
      <c r="U20" s="57"/>
      <c r="V20" s="57"/>
      <c r="W20" s="50"/>
      <c r="X20" s="18">
        <f t="shared" si="0"/>
        <v>200</v>
      </c>
      <c r="Y20" s="18">
        <f t="shared" si="1"/>
        <v>190</v>
      </c>
      <c r="Z20" s="19">
        <f t="shared" si="2"/>
        <v>1.0071169598496041</v>
      </c>
      <c r="AA20" s="20">
        <v>1</v>
      </c>
    </row>
    <row r="21" spans="1:29">
      <c r="A21" s="43">
        <v>10</v>
      </c>
      <c r="B21" s="44" t="s">
        <v>117</v>
      </c>
      <c r="C21" s="45"/>
      <c r="D21" s="45"/>
      <c r="E21" s="45"/>
      <c r="F21" s="45"/>
      <c r="G21" s="45"/>
      <c r="H21" s="45"/>
      <c r="I21" s="46"/>
      <c r="J21" s="56" t="s">
        <v>32</v>
      </c>
      <c r="K21" s="56"/>
      <c r="L21" s="56"/>
      <c r="M21" s="56"/>
      <c r="N21" s="56" t="s">
        <v>30</v>
      </c>
      <c r="O21" s="56"/>
      <c r="P21" s="56"/>
      <c r="Q21" s="56"/>
      <c r="R21" s="57">
        <v>0.5</v>
      </c>
      <c r="S21" s="57"/>
      <c r="T21" s="57">
        <f>R21</f>
        <v>0.5</v>
      </c>
      <c r="U21" s="57"/>
      <c r="V21" s="57"/>
      <c r="W21" s="50"/>
      <c r="X21" s="18">
        <f t="shared" si="0"/>
        <v>120</v>
      </c>
      <c r="Y21" s="18">
        <f t="shared" si="1"/>
        <v>114</v>
      </c>
      <c r="Z21" s="19">
        <f t="shared" si="2"/>
        <v>1.6785282664160068</v>
      </c>
      <c r="AA21" s="20">
        <v>2</v>
      </c>
    </row>
    <row r="22" spans="1:29">
      <c r="A22" s="43">
        <v>11</v>
      </c>
      <c r="B22" s="55" t="s">
        <v>118</v>
      </c>
      <c r="C22" s="55"/>
      <c r="D22" s="55"/>
      <c r="E22" s="55"/>
      <c r="F22" s="55"/>
      <c r="G22" s="55"/>
      <c r="H22" s="55"/>
      <c r="I22" s="55"/>
      <c r="J22" s="56" t="s">
        <v>32</v>
      </c>
      <c r="K22" s="56"/>
      <c r="L22" s="56"/>
      <c r="M22" s="56"/>
      <c r="N22" s="56" t="s">
        <v>30</v>
      </c>
      <c r="O22" s="56"/>
      <c r="P22" s="56"/>
      <c r="Q22" s="56"/>
      <c r="R22" s="57">
        <v>0.5</v>
      </c>
      <c r="S22" s="57"/>
      <c r="T22" s="57">
        <f>R22</f>
        <v>0.5</v>
      </c>
      <c r="U22" s="57"/>
      <c r="V22" s="57"/>
      <c r="W22" s="50"/>
      <c r="X22" s="18">
        <f t="shared" si="0"/>
        <v>120</v>
      </c>
      <c r="Y22" s="18">
        <f t="shared" si="1"/>
        <v>114</v>
      </c>
      <c r="Z22" s="19">
        <f t="shared" si="2"/>
        <v>1.6785282664160068</v>
      </c>
      <c r="AA22" s="20">
        <v>2</v>
      </c>
    </row>
    <row r="23" spans="1:29">
      <c r="A23" s="43">
        <v>12</v>
      </c>
      <c r="B23" s="55" t="s">
        <v>42</v>
      </c>
      <c r="C23" s="55"/>
      <c r="D23" s="55"/>
      <c r="E23" s="55"/>
      <c r="F23" s="55"/>
      <c r="G23" s="55"/>
      <c r="H23" s="55"/>
      <c r="I23" s="55"/>
      <c r="J23" s="56" t="s">
        <v>43</v>
      </c>
      <c r="K23" s="56"/>
      <c r="L23" s="56"/>
      <c r="M23" s="56"/>
      <c r="N23" s="56" t="s">
        <v>30</v>
      </c>
      <c r="O23" s="56"/>
      <c r="P23" s="56"/>
      <c r="Q23" s="56"/>
      <c r="R23" s="57">
        <v>0.25</v>
      </c>
      <c r="S23" s="57"/>
      <c r="T23" s="57"/>
      <c r="U23" s="57"/>
      <c r="V23" s="57">
        <f>R23</f>
        <v>0.25</v>
      </c>
      <c r="W23" s="50"/>
      <c r="X23" s="18">
        <f t="shared" si="0"/>
        <v>240</v>
      </c>
      <c r="Y23" s="18">
        <f t="shared" si="1"/>
        <v>228</v>
      </c>
      <c r="Z23" s="19">
        <f t="shared" si="2"/>
        <v>0.83926413320800342</v>
      </c>
      <c r="AA23" s="20">
        <v>1</v>
      </c>
    </row>
    <row r="24" spans="1:29">
      <c r="A24" s="43">
        <v>13</v>
      </c>
      <c r="B24" s="76" t="s">
        <v>112</v>
      </c>
      <c r="C24" s="76"/>
      <c r="D24" s="76"/>
      <c r="E24" s="76"/>
      <c r="F24" s="76"/>
      <c r="G24" s="76"/>
      <c r="H24" s="76"/>
      <c r="I24" s="76"/>
      <c r="J24" s="77" t="s">
        <v>32</v>
      </c>
      <c r="K24" s="77"/>
      <c r="L24" s="77"/>
      <c r="M24" s="77"/>
      <c r="N24" s="77" t="s">
        <v>30</v>
      </c>
      <c r="O24" s="77"/>
      <c r="P24" s="77"/>
      <c r="Q24" s="77"/>
      <c r="R24" s="78">
        <v>0.55000000000000004</v>
      </c>
      <c r="S24" s="78"/>
      <c r="T24" s="78">
        <f>R24</f>
        <v>0.55000000000000004</v>
      </c>
      <c r="U24" s="78"/>
      <c r="V24" s="78"/>
      <c r="W24" s="79"/>
      <c r="X24" s="18">
        <f t="shared" si="0"/>
        <v>109.09090909090908</v>
      </c>
      <c r="Y24" s="18">
        <f t="shared" si="1"/>
        <v>103.63636363636363</v>
      </c>
      <c r="Z24" s="19">
        <f t="shared" si="2"/>
        <v>1.8463810930576077</v>
      </c>
      <c r="AA24" s="20">
        <v>2</v>
      </c>
    </row>
    <row r="25" spans="1:29">
      <c r="A25" s="43">
        <v>14</v>
      </c>
      <c r="B25" s="55" t="s">
        <v>44</v>
      </c>
      <c r="C25" s="55"/>
      <c r="D25" s="55"/>
      <c r="E25" s="55"/>
      <c r="F25" s="55"/>
      <c r="G25" s="55"/>
      <c r="H25" s="55"/>
      <c r="I25" s="55"/>
      <c r="J25" s="56" t="s">
        <v>45</v>
      </c>
      <c r="K25" s="56"/>
      <c r="L25" s="56"/>
      <c r="M25" s="56"/>
      <c r="N25" s="56" t="s">
        <v>30</v>
      </c>
      <c r="O25" s="56"/>
      <c r="P25" s="56"/>
      <c r="Q25" s="56"/>
      <c r="R25" s="78">
        <v>0.25</v>
      </c>
      <c r="S25" s="78"/>
      <c r="T25" s="57"/>
      <c r="U25" s="57"/>
      <c r="V25" s="57">
        <f>R25</f>
        <v>0.25</v>
      </c>
      <c r="W25" s="50"/>
      <c r="X25" s="18">
        <f t="shared" si="0"/>
        <v>240</v>
      </c>
      <c r="Y25" s="18">
        <f t="shared" si="1"/>
        <v>228</v>
      </c>
      <c r="Z25" s="19">
        <f t="shared" si="2"/>
        <v>0.83926413320800342</v>
      </c>
      <c r="AA25" s="20">
        <v>1</v>
      </c>
    </row>
    <row r="26" spans="1:29">
      <c r="A26" s="43">
        <v>15</v>
      </c>
      <c r="B26" s="55" t="s">
        <v>46</v>
      </c>
      <c r="C26" s="55"/>
      <c r="D26" s="55"/>
      <c r="E26" s="55"/>
      <c r="F26" s="55"/>
      <c r="G26" s="55"/>
      <c r="H26" s="55"/>
      <c r="I26" s="55"/>
      <c r="J26" s="56" t="s">
        <v>47</v>
      </c>
      <c r="K26" s="56"/>
      <c r="L26" s="56"/>
      <c r="M26" s="56"/>
      <c r="N26" s="56" t="s">
        <v>30</v>
      </c>
      <c r="O26" s="56"/>
      <c r="P26" s="56"/>
      <c r="Q26" s="56"/>
      <c r="R26" s="57">
        <v>0.24</v>
      </c>
      <c r="S26" s="57"/>
      <c r="T26" s="57"/>
      <c r="U26" s="57"/>
      <c r="V26" s="57">
        <f>R26</f>
        <v>0.24</v>
      </c>
      <c r="W26" s="50"/>
      <c r="X26" s="18">
        <f t="shared" si="0"/>
        <v>250</v>
      </c>
      <c r="Y26" s="18">
        <f t="shared" si="1"/>
        <v>237.5</v>
      </c>
      <c r="Z26" s="19">
        <f t="shared" si="2"/>
        <v>0.80569356787968327</v>
      </c>
      <c r="AA26" s="20">
        <v>1</v>
      </c>
    </row>
    <row r="27" spans="1:29">
      <c r="A27" s="43">
        <v>16</v>
      </c>
      <c r="B27" s="55" t="s">
        <v>48</v>
      </c>
      <c r="C27" s="55"/>
      <c r="D27" s="55"/>
      <c r="E27" s="55"/>
      <c r="F27" s="55"/>
      <c r="G27" s="55"/>
      <c r="H27" s="55"/>
      <c r="I27" s="55"/>
      <c r="J27" s="56" t="s">
        <v>49</v>
      </c>
      <c r="K27" s="56"/>
      <c r="L27" s="56"/>
      <c r="M27" s="56"/>
      <c r="N27" s="56" t="s">
        <v>30</v>
      </c>
      <c r="O27" s="56"/>
      <c r="P27" s="56"/>
      <c r="Q27" s="56"/>
      <c r="R27" s="57">
        <v>0.26</v>
      </c>
      <c r="S27" s="57"/>
      <c r="T27" s="57"/>
      <c r="U27" s="57"/>
      <c r="V27" s="57">
        <f>R27</f>
        <v>0.26</v>
      </c>
      <c r="W27" s="50"/>
      <c r="X27" s="18">
        <f t="shared" si="0"/>
        <v>230.76923076923077</v>
      </c>
      <c r="Y27" s="18">
        <f t="shared" si="1"/>
        <v>219.23076923076923</v>
      </c>
      <c r="Z27" s="19">
        <f t="shared" si="2"/>
        <v>0.87283469853632356</v>
      </c>
      <c r="AA27" s="20">
        <v>1</v>
      </c>
    </row>
    <row r="28" spans="1:29">
      <c r="A28" s="43">
        <v>17</v>
      </c>
      <c r="B28" s="55" t="s">
        <v>50</v>
      </c>
      <c r="C28" s="55"/>
      <c r="D28" s="55"/>
      <c r="E28" s="55"/>
      <c r="F28" s="55"/>
      <c r="G28" s="55"/>
      <c r="H28" s="55"/>
      <c r="I28" s="55"/>
      <c r="J28" s="47" t="s">
        <v>51</v>
      </c>
      <c r="K28" s="48"/>
      <c r="L28" s="48"/>
      <c r="M28" s="49"/>
      <c r="N28" s="56" t="s">
        <v>30</v>
      </c>
      <c r="O28" s="56"/>
      <c r="P28" s="56"/>
      <c r="Q28" s="56"/>
      <c r="R28" s="80">
        <v>0.28000000000000003</v>
      </c>
      <c r="S28" s="80"/>
      <c r="T28" s="80">
        <f>R28</f>
        <v>0.28000000000000003</v>
      </c>
      <c r="U28" s="80"/>
      <c r="V28" s="80"/>
      <c r="W28" s="81"/>
      <c r="X28" s="18">
        <f t="shared" si="0"/>
        <v>214.28571428571428</v>
      </c>
      <c r="Y28" s="18">
        <f t="shared" si="1"/>
        <v>203.57142857142856</v>
      </c>
      <c r="Z28" s="19">
        <f t="shared" si="2"/>
        <v>0.93997582919296385</v>
      </c>
      <c r="AA28" s="20">
        <v>1</v>
      </c>
    </row>
    <row r="29" spans="1:29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90" t="s">
        <v>52</v>
      </c>
      <c r="O29" s="90"/>
      <c r="P29" s="90"/>
      <c r="Q29" s="90"/>
      <c r="R29" s="91">
        <f>SUM(R12:S28)</f>
        <v>6.09</v>
      </c>
      <c r="S29" s="91"/>
      <c r="T29" s="91">
        <f>SUM(T12:U28)</f>
        <v>4.41</v>
      </c>
      <c r="U29" s="91"/>
      <c r="V29" s="91">
        <f>SUM(V12:W28)</f>
        <v>1.6800000000000002</v>
      </c>
      <c r="W29" s="91"/>
      <c r="X29" s="27"/>
      <c r="Y29" s="18"/>
      <c r="Z29" s="19"/>
      <c r="AA29" s="28">
        <f>SUM(AA12:AA28)</f>
        <v>23</v>
      </c>
    </row>
    <row r="30" spans="1:29">
      <c r="A30" s="29"/>
      <c r="B30" s="30" t="s">
        <v>53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5"/>
      <c r="S30" s="15"/>
      <c r="T30" s="15"/>
      <c r="U30" s="15"/>
      <c r="V30" s="15"/>
      <c r="W30" s="15"/>
      <c r="X30" s="32"/>
      <c r="Y30" s="33"/>
      <c r="Z30" s="33"/>
      <c r="AA30" s="33"/>
    </row>
    <row r="31" spans="1:29">
      <c r="A31" s="34">
        <v>1</v>
      </c>
      <c r="B31" s="44" t="s">
        <v>54</v>
      </c>
      <c r="C31" s="45"/>
      <c r="D31" s="45"/>
      <c r="E31" s="45"/>
      <c r="F31" s="45"/>
      <c r="G31" s="45"/>
      <c r="H31" s="45"/>
      <c r="I31" s="46"/>
      <c r="J31" s="47" t="s">
        <v>45</v>
      </c>
      <c r="K31" s="48"/>
      <c r="L31" s="48"/>
      <c r="M31" s="49"/>
      <c r="N31" s="47" t="s">
        <v>30</v>
      </c>
      <c r="O31" s="48"/>
      <c r="P31" s="48"/>
      <c r="Q31" s="49"/>
      <c r="R31" s="92">
        <v>0.41</v>
      </c>
      <c r="S31" s="93"/>
      <c r="T31" s="50"/>
      <c r="U31" s="51"/>
      <c r="V31" s="50">
        <f>R31</f>
        <v>0.41</v>
      </c>
      <c r="W31" s="52"/>
      <c r="X31" s="18">
        <f t="shared" si="0"/>
        <v>146.34146341463415</v>
      </c>
      <c r="Y31" s="18">
        <f t="shared" si="1"/>
        <v>139.02439024390245</v>
      </c>
      <c r="Z31" s="19">
        <f t="shared" si="2"/>
        <v>1.3763931784611254</v>
      </c>
      <c r="AA31" s="21">
        <v>1.5</v>
      </c>
    </row>
    <row r="32" spans="1:29" s="22" customFormat="1">
      <c r="A32" s="35">
        <v>2</v>
      </c>
      <c r="B32" s="82" t="s">
        <v>55</v>
      </c>
      <c r="C32" s="83"/>
      <c r="D32" s="83"/>
      <c r="E32" s="83"/>
      <c r="F32" s="83"/>
      <c r="G32" s="83"/>
      <c r="H32" s="83"/>
      <c r="I32" s="84"/>
      <c r="J32" s="85" t="s">
        <v>32</v>
      </c>
      <c r="K32" s="86"/>
      <c r="L32" s="86"/>
      <c r="M32" s="87"/>
      <c r="N32" s="85" t="s">
        <v>30</v>
      </c>
      <c r="O32" s="86"/>
      <c r="P32" s="86"/>
      <c r="Q32" s="87"/>
      <c r="R32" s="75">
        <v>0.15</v>
      </c>
      <c r="S32" s="88"/>
      <c r="T32" s="75">
        <f t="shared" ref="T32:T38" si="6">R32</f>
        <v>0.15</v>
      </c>
      <c r="U32" s="88"/>
      <c r="V32" s="75"/>
      <c r="W32" s="89"/>
      <c r="X32" s="18">
        <f t="shared" si="0"/>
        <v>400</v>
      </c>
      <c r="Y32" s="18">
        <f t="shared" si="1"/>
        <v>380</v>
      </c>
      <c r="Z32" s="19">
        <f t="shared" si="2"/>
        <v>0.50355847992480207</v>
      </c>
      <c r="AA32" s="21">
        <v>0.5</v>
      </c>
      <c r="AB32" s="4"/>
    </row>
    <row r="33" spans="1:28" s="22" customFormat="1">
      <c r="A33" s="35">
        <v>3</v>
      </c>
      <c r="B33" s="82" t="s">
        <v>56</v>
      </c>
      <c r="C33" s="83"/>
      <c r="D33" s="83"/>
      <c r="E33" s="83"/>
      <c r="F33" s="83"/>
      <c r="G33" s="83"/>
      <c r="H33" s="83"/>
      <c r="I33" s="84"/>
      <c r="J33" s="85" t="s">
        <v>32</v>
      </c>
      <c r="K33" s="86"/>
      <c r="L33" s="86"/>
      <c r="M33" s="87"/>
      <c r="N33" s="85" t="s">
        <v>57</v>
      </c>
      <c r="O33" s="86"/>
      <c r="P33" s="86"/>
      <c r="Q33" s="87"/>
      <c r="R33" s="75">
        <v>0.4</v>
      </c>
      <c r="S33" s="88"/>
      <c r="T33" s="75">
        <f t="shared" si="6"/>
        <v>0.4</v>
      </c>
      <c r="U33" s="88"/>
      <c r="V33" s="75"/>
      <c r="W33" s="89"/>
      <c r="X33" s="18">
        <f t="shared" si="0"/>
        <v>150</v>
      </c>
      <c r="Y33" s="18">
        <f t="shared" si="1"/>
        <v>142.5</v>
      </c>
      <c r="Z33" s="19">
        <f t="shared" si="2"/>
        <v>1.3428226131328054</v>
      </c>
      <c r="AA33" s="21">
        <v>1.5</v>
      </c>
      <c r="AB33" s="4"/>
    </row>
    <row r="34" spans="1:28">
      <c r="A34" s="34">
        <v>4</v>
      </c>
      <c r="B34" s="44" t="s">
        <v>58</v>
      </c>
      <c r="C34" s="45"/>
      <c r="D34" s="45"/>
      <c r="E34" s="45"/>
      <c r="F34" s="45"/>
      <c r="G34" s="45"/>
      <c r="H34" s="45"/>
      <c r="I34" s="46"/>
      <c r="J34" s="47" t="s">
        <v>59</v>
      </c>
      <c r="K34" s="48"/>
      <c r="L34" s="48"/>
      <c r="M34" s="49"/>
      <c r="N34" s="47" t="s">
        <v>30</v>
      </c>
      <c r="O34" s="48"/>
      <c r="P34" s="48"/>
      <c r="Q34" s="49"/>
      <c r="R34" s="50">
        <v>0.66</v>
      </c>
      <c r="S34" s="51"/>
      <c r="T34" s="50">
        <f t="shared" si="6"/>
        <v>0.66</v>
      </c>
      <c r="U34" s="51"/>
      <c r="V34" s="50"/>
      <c r="W34" s="52"/>
      <c r="X34" s="18">
        <f t="shared" si="0"/>
        <v>90.909090909090907</v>
      </c>
      <c r="Y34" s="18">
        <f t="shared" si="1"/>
        <v>86.36363636363636</v>
      </c>
      <c r="Z34" s="19">
        <f t="shared" si="2"/>
        <v>2.2156573116691289</v>
      </c>
      <c r="AA34" s="20">
        <v>2.5</v>
      </c>
    </row>
    <row r="35" spans="1:28">
      <c r="A35" s="34">
        <v>5</v>
      </c>
      <c r="B35" s="44" t="s">
        <v>60</v>
      </c>
      <c r="C35" s="45"/>
      <c r="D35" s="45"/>
      <c r="E35" s="45"/>
      <c r="F35" s="45"/>
      <c r="G35" s="45"/>
      <c r="H35" s="45"/>
      <c r="I35" s="46"/>
      <c r="J35" s="47" t="s">
        <v>61</v>
      </c>
      <c r="K35" s="48"/>
      <c r="L35" s="48"/>
      <c r="M35" s="49"/>
      <c r="N35" s="47" t="s">
        <v>30</v>
      </c>
      <c r="O35" s="48"/>
      <c r="P35" s="48"/>
      <c r="Q35" s="49"/>
      <c r="R35" s="50">
        <v>0.3</v>
      </c>
      <c r="S35" s="51"/>
      <c r="T35" s="50"/>
      <c r="U35" s="51"/>
      <c r="V35" s="50">
        <f>R35</f>
        <v>0.3</v>
      </c>
      <c r="W35" s="52"/>
      <c r="X35" s="18">
        <f t="shared" ref="X35" si="7">60/R35</f>
        <v>200</v>
      </c>
      <c r="Y35" s="18">
        <f t="shared" ref="Y35" si="8">X35*0.95</f>
        <v>190</v>
      </c>
      <c r="Z35" s="19">
        <f t="shared" ref="Z35" si="9">AA$5/Y35</f>
        <v>1.0071169598496041</v>
      </c>
      <c r="AA35" s="20">
        <v>1</v>
      </c>
    </row>
    <row r="36" spans="1:28">
      <c r="A36" s="34">
        <v>6</v>
      </c>
      <c r="B36" s="44" t="s">
        <v>62</v>
      </c>
      <c r="C36" s="45"/>
      <c r="D36" s="45"/>
      <c r="E36" s="45"/>
      <c r="F36" s="45"/>
      <c r="G36" s="45"/>
      <c r="H36" s="45"/>
      <c r="I36" s="46"/>
      <c r="J36" s="47" t="s">
        <v>63</v>
      </c>
      <c r="K36" s="48"/>
      <c r="L36" s="48"/>
      <c r="M36" s="49"/>
      <c r="N36" s="47" t="s">
        <v>30</v>
      </c>
      <c r="O36" s="48"/>
      <c r="P36" s="48"/>
      <c r="Q36" s="49"/>
      <c r="R36" s="50">
        <v>0.56000000000000005</v>
      </c>
      <c r="S36" s="51"/>
      <c r="T36" s="50">
        <f t="shared" si="6"/>
        <v>0.56000000000000005</v>
      </c>
      <c r="U36" s="51"/>
      <c r="V36" s="50"/>
      <c r="W36" s="52"/>
      <c r="X36" s="18">
        <f t="shared" si="0"/>
        <v>107.14285714285714</v>
      </c>
      <c r="Y36" s="18">
        <f t="shared" si="1"/>
        <v>101.78571428571428</v>
      </c>
      <c r="Z36" s="19">
        <f t="shared" si="2"/>
        <v>1.8799516583859277</v>
      </c>
      <c r="AA36" s="20">
        <v>2</v>
      </c>
    </row>
    <row r="37" spans="1:28">
      <c r="A37" s="34">
        <v>7</v>
      </c>
      <c r="B37" s="44" t="s">
        <v>64</v>
      </c>
      <c r="C37" s="45"/>
      <c r="D37" s="45"/>
      <c r="E37" s="45"/>
      <c r="F37" s="45"/>
      <c r="G37" s="45"/>
      <c r="H37" s="45"/>
      <c r="I37" s="46"/>
      <c r="J37" s="47" t="s">
        <v>63</v>
      </c>
      <c r="K37" s="48"/>
      <c r="L37" s="48"/>
      <c r="M37" s="49"/>
      <c r="N37" s="47" t="s">
        <v>30</v>
      </c>
      <c r="O37" s="48"/>
      <c r="P37" s="48"/>
      <c r="Q37" s="49"/>
      <c r="R37" s="50">
        <v>0.3</v>
      </c>
      <c r="S37" s="51"/>
      <c r="T37" s="50">
        <f t="shared" si="6"/>
        <v>0.3</v>
      </c>
      <c r="U37" s="51"/>
      <c r="V37" s="50"/>
      <c r="W37" s="52"/>
      <c r="X37" s="18">
        <f t="shared" si="0"/>
        <v>200</v>
      </c>
      <c r="Y37" s="18">
        <f t="shared" si="1"/>
        <v>190</v>
      </c>
      <c r="Z37" s="19">
        <f t="shared" si="2"/>
        <v>1.0071169598496041</v>
      </c>
      <c r="AA37" s="20">
        <v>1</v>
      </c>
    </row>
    <row r="38" spans="1:28">
      <c r="A38" s="34">
        <v>8</v>
      </c>
      <c r="B38" s="44" t="s">
        <v>65</v>
      </c>
      <c r="C38" s="45"/>
      <c r="D38" s="45"/>
      <c r="E38" s="45"/>
      <c r="F38" s="45"/>
      <c r="G38" s="45"/>
      <c r="H38" s="45"/>
      <c r="I38" s="46"/>
      <c r="J38" s="47" t="s">
        <v>32</v>
      </c>
      <c r="K38" s="48"/>
      <c r="L38" s="48"/>
      <c r="M38" s="49"/>
      <c r="N38" s="47" t="s">
        <v>30</v>
      </c>
      <c r="O38" s="48"/>
      <c r="P38" s="48"/>
      <c r="Q38" s="49"/>
      <c r="R38" s="50">
        <v>0.5</v>
      </c>
      <c r="S38" s="51"/>
      <c r="T38" s="50">
        <f t="shared" si="6"/>
        <v>0.5</v>
      </c>
      <c r="U38" s="51"/>
      <c r="V38" s="50"/>
      <c r="W38" s="52"/>
      <c r="X38" s="18">
        <f t="shared" si="0"/>
        <v>120</v>
      </c>
      <c r="Y38" s="18">
        <f t="shared" si="1"/>
        <v>114</v>
      </c>
      <c r="Z38" s="19">
        <f t="shared" si="2"/>
        <v>1.6785282664160068</v>
      </c>
      <c r="AA38" s="20">
        <v>2</v>
      </c>
    </row>
    <row r="39" spans="1:28">
      <c r="A39" s="34">
        <v>9</v>
      </c>
      <c r="B39" s="44" t="s">
        <v>66</v>
      </c>
      <c r="C39" s="45"/>
      <c r="D39" s="45"/>
      <c r="E39" s="45"/>
      <c r="F39" s="45"/>
      <c r="G39" s="45"/>
      <c r="H39" s="45"/>
      <c r="I39" s="46"/>
      <c r="J39" s="47" t="s">
        <v>61</v>
      </c>
      <c r="K39" s="48"/>
      <c r="L39" s="48"/>
      <c r="M39" s="49"/>
      <c r="N39" s="47" t="s">
        <v>30</v>
      </c>
      <c r="O39" s="48"/>
      <c r="P39" s="48"/>
      <c r="Q39" s="49"/>
      <c r="R39" s="50">
        <v>0.25</v>
      </c>
      <c r="S39" s="51"/>
      <c r="T39" s="50"/>
      <c r="U39" s="51"/>
      <c r="V39" s="50">
        <f>R39</f>
        <v>0.25</v>
      </c>
      <c r="W39" s="52"/>
      <c r="X39" s="18">
        <f t="shared" si="0"/>
        <v>240</v>
      </c>
      <c r="Y39" s="18">
        <f t="shared" si="1"/>
        <v>228</v>
      </c>
      <c r="Z39" s="19">
        <f t="shared" si="2"/>
        <v>0.83926413320800342</v>
      </c>
      <c r="AA39" s="20">
        <v>1</v>
      </c>
    </row>
    <row r="40" spans="1:28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94" t="s">
        <v>52</v>
      </c>
      <c r="O40" s="94"/>
      <c r="P40" s="94"/>
      <c r="Q40" s="94"/>
      <c r="R40" s="94">
        <f>SUM(R31:S39)</f>
        <v>3.5300000000000002</v>
      </c>
      <c r="S40" s="94"/>
      <c r="T40" s="94">
        <f>SUM(T31:U39)</f>
        <v>2.57</v>
      </c>
      <c r="U40" s="94"/>
      <c r="V40" s="94">
        <f>SUM(V31:W39)</f>
        <v>0.96</v>
      </c>
      <c r="W40" s="94"/>
      <c r="X40" s="18"/>
      <c r="Y40" s="18"/>
      <c r="Z40" s="19"/>
      <c r="AA40" s="28">
        <f>SUM(AA31:AA39)</f>
        <v>13</v>
      </c>
    </row>
    <row r="41" spans="1:28">
      <c r="A41" s="29"/>
      <c r="B41" s="30" t="s">
        <v>67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3"/>
      <c r="S41" s="33"/>
      <c r="T41" s="33"/>
      <c r="U41" s="33"/>
      <c r="V41" s="33"/>
      <c r="W41" s="33"/>
      <c r="X41" s="32"/>
      <c r="Y41" s="33"/>
      <c r="Z41" s="33"/>
      <c r="AA41" s="33"/>
    </row>
    <row r="42" spans="1:28">
      <c r="A42" s="23">
        <v>1</v>
      </c>
      <c r="B42" s="76" t="s">
        <v>68</v>
      </c>
      <c r="C42" s="76"/>
      <c r="D42" s="76"/>
      <c r="E42" s="76"/>
      <c r="F42" s="76"/>
      <c r="G42" s="76"/>
      <c r="H42" s="76"/>
      <c r="I42" s="76"/>
      <c r="J42" s="77" t="s">
        <v>32</v>
      </c>
      <c r="K42" s="77"/>
      <c r="L42" s="77"/>
      <c r="M42" s="77"/>
      <c r="N42" s="77" t="s">
        <v>69</v>
      </c>
      <c r="O42" s="77"/>
      <c r="P42" s="77"/>
      <c r="Q42" s="77"/>
      <c r="R42" s="57">
        <v>0.53</v>
      </c>
      <c r="S42" s="57"/>
      <c r="T42" s="78">
        <f>R42</f>
        <v>0.53</v>
      </c>
      <c r="U42" s="78"/>
      <c r="V42" s="78"/>
      <c r="W42" s="79"/>
      <c r="X42" s="18">
        <f t="shared" si="0"/>
        <v>113.20754716981132</v>
      </c>
      <c r="Y42" s="18">
        <f t="shared" si="1"/>
        <v>107.54716981132074</v>
      </c>
      <c r="Z42" s="19">
        <f t="shared" si="2"/>
        <v>1.7792399624009674</v>
      </c>
      <c r="AA42" s="20">
        <v>2</v>
      </c>
    </row>
    <row r="43" spans="1:28">
      <c r="A43" s="23">
        <v>2</v>
      </c>
      <c r="B43" s="76" t="s">
        <v>70</v>
      </c>
      <c r="C43" s="76"/>
      <c r="D43" s="76"/>
      <c r="E43" s="76"/>
      <c r="F43" s="76"/>
      <c r="G43" s="76"/>
      <c r="H43" s="76"/>
      <c r="I43" s="76"/>
      <c r="J43" s="56" t="s">
        <v>32</v>
      </c>
      <c r="K43" s="56"/>
      <c r="L43" s="56"/>
      <c r="M43" s="56"/>
      <c r="N43" s="77" t="s">
        <v>30</v>
      </c>
      <c r="O43" s="77"/>
      <c r="P43" s="77"/>
      <c r="Q43" s="77"/>
      <c r="R43" s="57">
        <v>0.3</v>
      </c>
      <c r="S43" s="57"/>
      <c r="T43" s="78">
        <f>R43</f>
        <v>0.3</v>
      </c>
      <c r="U43" s="78"/>
      <c r="V43" s="78"/>
      <c r="W43" s="79"/>
      <c r="X43" s="18">
        <f t="shared" si="0"/>
        <v>200</v>
      </c>
      <c r="Y43" s="18">
        <f t="shared" si="1"/>
        <v>190</v>
      </c>
      <c r="Z43" s="19">
        <f t="shared" si="2"/>
        <v>1.0071169598496041</v>
      </c>
      <c r="AA43" s="20">
        <v>1</v>
      </c>
    </row>
    <row r="44" spans="1:28">
      <c r="A44" s="23">
        <v>3</v>
      </c>
      <c r="B44" s="76" t="s">
        <v>71</v>
      </c>
      <c r="C44" s="76"/>
      <c r="D44" s="76"/>
      <c r="E44" s="76"/>
      <c r="F44" s="76"/>
      <c r="G44" s="76"/>
      <c r="H44" s="76"/>
      <c r="I44" s="76"/>
      <c r="J44" s="77" t="s">
        <v>72</v>
      </c>
      <c r="K44" s="77"/>
      <c r="L44" s="77"/>
      <c r="M44" s="77"/>
      <c r="N44" s="77" t="s">
        <v>57</v>
      </c>
      <c r="O44" s="77"/>
      <c r="P44" s="77"/>
      <c r="Q44" s="77"/>
      <c r="R44" s="57">
        <v>0.4</v>
      </c>
      <c r="S44" s="57"/>
      <c r="T44" s="78"/>
      <c r="U44" s="78"/>
      <c r="V44" s="78">
        <f>R44</f>
        <v>0.4</v>
      </c>
      <c r="W44" s="79"/>
      <c r="X44" s="18">
        <f t="shared" si="0"/>
        <v>150</v>
      </c>
      <c r="Y44" s="18">
        <f t="shared" si="1"/>
        <v>142.5</v>
      </c>
      <c r="Z44" s="19">
        <f t="shared" si="2"/>
        <v>1.3428226131328054</v>
      </c>
      <c r="AA44" s="20">
        <v>1.5</v>
      </c>
    </row>
    <row r="45" spans="1:28">
      <c r="A45" s="23">
        <v>4</v>
      </c>
      <c r="B45" s="76" t="s">
        <v>73</v>
      </c>
      <c r="C45" s="76"/>
      <c r="D45" s="76"/>
      <c r="E45" s="76"/>
      <c r="F45" s="76"/>
      <c r="G45" s="76"/>
      <c r="H45" s="76"/>
      <c r="I45" s="76"/>
      <c r="J45" s="77" t="s">
        <v>32</v>
      </c>
      <c r="K45" s="77"/>
      <c r="L45" s="77"/>
      <c r="M45" s="77"/>
      <c r="N45" s="77" t="s">
        <v>30</v>
      </c>
      <c r="O45" s="77"/>
      <c r="P45" s="77"/>
      <c r="Q45" s="77"/>
      <c r="R45" s="57">
        <v>1.2</v>
      </c>
      <c r="S45" s="57"/>
      <c r="T45" s="78">
        <f>R45</f>
        <v>1.2</v>
      </c>
      <c r="U45" s="78"/>
      <c r="V45" s="78"/>
      <c r="W45" s="79"/>
      <c r="X45" s="18">
        <f t="shared" si="0"/>
        <v>50</v>
      </c>
      <c r="Y45" s="18">
        <f t="shared" si="1"/>
        <v>47.5</v>
      </c>
      <c r="Z45" s="19">
        <f t="shared" si="2"/>
        <v>4.0284678393984166</v>
      </c>
      <c r="AA45" s="20">
        <v>4</v>
      </c>
    </row>
    <row r="46" spans="1:28">
      <c r="A46" s="23">
        <v>5</v>
      </c>
      <c r="B46" s="76" t="s">
        <v>74</v>
      </c>
      <c r="C46" s="76"/>
      <c r="D46" s="76"/>
      <c r="E46" s="76"/>
      <c r="F46" s="76"/>
      <c r="G46" s="76"/>
      <c r="H46" s="76"/>
      <c r="I46" s="76"/>
      <c r="J46" s="77" t="s">
        <v>47</v>
      </c>
      <c r="K46" s="77"/>
      <c r="L46" s="77"/>
      <c r="M46" s="77"/>
      <c r="N46" s="77" t="s">
        <v>30</v>
      </c>
      <c r="O46" s="77"/>
      <c r="P46" s="77"/>
      <c r="Q46" s="77"/>
      <c r="R46" s="74">
        <v>0.2</v>
      </c>
      <c r="S46" s="74"/>
      <c r="T46" s="78"/>
      <c r="U46" s="78"/>
      <c r="V46" s="78">
        <f>R46</f>
        <v>0.2</v>
      </c>
      <c r="W46" s="79"/>
      <c r="X46" s="18">
        <f t="shared" si="0"/>
        <v>300</v>
      </c>
      <c r="Y46" s="18">
        <f t="shared" si="1"/>
        <v>285</v>
      </c>
      <c r="Z46" s="19">
        <f t="shared" si="2"/>
        <v>0.67141130656640269</v>
      </c>
      <c r="AA46" s="20">
        <v>1</v>
      </c>
    </row>
    <row r="47" spans="1:28">
      <c r="A47" s="23">
        <v>6</v>
      </c>
      <c r="B47" s="76" t="s">
        <v>75</v>
      </c>
      <c r="C47" s="76"/>
      <c r="D47" s="76"/>
      <c r="E47" s="76"/>
      <c r="F47" s="76"/>
      <c r="G47" s="76"/>
      <c r="H47" s="76"/>
      <c r="I47" s="76"/>
      <c r="J47" s="77" t="s">
        <v>59</v>
      </c>
      <c r="K47" s="77"/>
      <c r="L47" s="77"/>
      <c r="M47" s="77"/>
      <c r="N47" s="77" t="s">
        <v>30</v>
      </c>
      <c r="O47" s="77"/>
      <c r="P47" s="77"/>
      <c r="Q47" s="77"/>
      <c r="R47" s="57">
        <v>0.23</v>
      </c>
      <c r="S47" s="57"/>
      <c r="T47" s="78">
        <f>R47</f>
        <v>0.23</v>
      </c>
      <c r="U47" s="78"/>
      <c r="V47" s="78"/>
      <c r="W47" s="79"/>
      <c r="X47" s="18">
        <f t="shared" si="0"/>
        <v>260.86956521739131</v>
      </c>
      <c r="Y47" s="18">
        <f t="shared" si="1"/>
        <v>247.82608695652172</v>
      </c>
      <c r="Z47" s="19">
        <f t="shared" si="2"/>
        <v>0.77212300255136312</v>
      </c>
      <c r="AA47" s="20">
        <v>1</v>
      </c>
    </row>
    <row r="48" spans="1:28">
      <c r="A48" s="23">
        <v>7</v>
      </c>
      <c r="B48" s="55" t="s">
        <v>76</v>
      </c>
      <c r="C48" s="55"/>
      <c r="D48" s="55"/>
      <c r="E48" s="55"/>
      <c r="F48" s="55"/>
      <c r="G48" s="55"/>
      <c r="H48" s="55"/>
      <c r="I48" s="55"/>
      <c r="J48" s="56" t="s">
        <v>63</v>
      </c>
      <c r="K48" s="56"/>
      <c r="L48" s="56"/>
      <c r="M48" s="56"/>
      <c r="N48" s="56" t="s">
        <v>30</v>
      </c>
      <c r="O48" s="56"/>
      <c r="P48" s="56"/>
      <c r="Q48" s="56"/>
      <c r="R48" s="57">
        <v>0.27</v>
      </c>
      <c r="S48" s="57"/>
      <c r="T48" s="57">
        <f>R48</f>
        <v>0.27</v>
      </c>
      <c r="U48" s="57"/>
      <c r="V48" s="57"/>
      <c r="W48" s="50"/>
      <c r="X48" s="18">
        <f t="shared" si="0"/>
        <v>222.2222222222222</v>
      </c>
      <c r="Y48" s="18">
        <f t="shared" si="1"/>
        <v>211.11111111111109</v>
      </c>
      <c r="Z48" s="19">
        <f t="shared" si="2"/>
        <v>0.90640526386464382</v>
      </c>
      <c r="AA48" s="20">
        <v>1</v>
      </c>
    </row>
    <row r="49" spans="1:27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94" t="s">
        <v>52</v>
      </c>
      <c r="O49" s="94"/>
      <c r="P49" s="94"/>
      <c r="Q49" s="94"/>
      <c r="R49" s="94">
        <f>SUM(R42:S48)</f>
        <v>3.13</v>
      </c>
      <c r="S49" s="94"/>
      <c r="T49" s="94">
        <f>SUM(T42:U48)</f>
        <v>2.5300000000000002</v>
      </c>
      <c r="U49" s="94"/>
      <c r="V49" s="94">
        <f>SUM(V42:W48)</f>
        <v>0.60000000000000009</v>
      </c>
      <c r="W49" s="94"/>
      <c r="X49" s="18"/>
      <c r="Y49" s="18"/>
      <c r="Z49" s="19"/>
      <c r="AA49" s="28">
        <f>SUM(AA42:AA48)</f>
        <v>11.5</v>
      </c>
    </row>
    <row r="50" spans="1:27">
      <c r="A50" s="29"/>
      <c r="B50" s="30" t="s">
        <v>77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3"/>
      <c r="S50" s="33"/>
      <c r="T50" s="33"/>
      <c r="U50" s="33"/>
      <c r="V50" s="33"/>
      <c r="W50" s="33"/>
      <c r="X50" s="32"/>
      <c r="Y50" s="33"/>
      <c r="Z50" s="33"/>
      <c r="AA50" s="33"/>
    </row>
    <row r="51" spans="1:27">
      <c r="A51" s="36">
        <v>1</v>
      </c>
      <c r="B51" s="44" t="s">
        <v>78</v>
      </c>
      <c r="C51" s="45"/>
      <c r="D51" s="45"/>
      <c r="E51" s="45"/>
      <c r="F51" s="45"/>
      <c r="G51" s="45"/>
      <c r="H51" s="45"/>
      <c r="I51" s="46"/>
      <c r="J51" s="47" t="s">
        <v>29</v>
      </c>
      <c r="K51" s="48"/>
      <c r="L51" s="48"/>
      <c r="M51" s="49"/>
      <c r="N51" s="47" t="s">
        <v>30</v>
      </c>
      <c r="O51" s="48"/>
      <c r="P51" s="48"/>
      <c r="Q51" s="49"/>
      <c r="R51" s="50">
        <v>0.3</v>
      </c>
      <c r="S51" s="51"/>
      <c r="T51" s="50"/>
      <c r="U51" s="51"/>
      <c r="V51" s="50">
        <f>R51</f>
        <v>0.3</v>
      </c>
      <c r="W51" s="52"/>
      <c r="X51" s="18">
        <f t="shared" si="0"/>
        <v>200</v>
      </c>
      <c r="Y51" s="18">
        <f t="shared" si="1"/>
        <v>190</v>
      </c>
      <c r="Z51" s="19">
        <f t="shared" si="2"/>
        <v>1.0071169598496041</v>
      </c>
      <c r="AA51" s="20">
        <v>1</v>
      </c>
    </row>
    <row r="52" spans="1:27">
      <c r="A52" s="36">
        <v>2</v>
      </c>
      <c r="B52" s="44" t="s">
        <v>79</v>
      </c>
      <c r="C52" s="45"/>
      <c r="D52" s="45"/>
      <c r="E52" s="45"/>
      <c r="F52" s="45"/>
      <c r="G52" s="45"/>
      <c r="H52" s="45"/>
      <c r="I52" s="46"/>
      <c r="J52" s="47" t="s">
        <v>32</v>
      </c>
      <c r="K52" s="48"/>
      <c r="L52" s="48"/>
      <c r="M52" s="49"/>
      <c r="N52" s="47" t="s">
        <v>30</v>
      </c>
      <c r="O52" s="48"/>
      <c r="P52" s="48"/>
      <c r="Q52" s="49"/>
      <c r="R52" s="50">
        <v>0.55000000000000004</v>
      </c>
      <c r="S52" s="51"/>
      <c r="T52" s="50">
        <f>R52</f>
        <v>0.55000000000000004</v>
      </c>
      <c r="U52" s="51"/>
      <c r="V52" s="50"/>
      <c r="W52" s="52"/>
      <c r="X52" s="18">
        <f t="shared" si="0"/>
        <v>109.09090909090908</v>
      </c>
      <c r="Y52" s="18">
        <f t="shared" si="1"/>
        <v>103.63636363636363</v>
      </c>
      <c r="Z52" s="19">
        <f t="shared" si="2"/>
        <v>1.8463810930576077</v>
      </c>
      <c r="AA52" s="20">
        <v>2</v>
      </c>
    </row>
    <row r="53" spans="1:27">
      <c r="A53" s="36">
        <v>3</v>
      </c>
      <c r="B53" s="44" t="s">
        <v>80</v>
      </c>
      <c r="C53" s="45"/>
      <c r="D53" s="45"/>
      <c r="E53" s="45"/>
      <c r="F53" s="45"/>
      <c r="G53" s="45"/>
      <c r="H53" s="45"/>
      <c r="I53" s="46"/>
      <c r="J53" s="47" t="s">
        <v>47</v>
      </c>
      <c r="K53" s="48"/>
      <c r="L53" s="48"/>
      <c r="M53" s="49"/>
      <c r="N53" s="47" t="s">
        <v>30</v>
      </c>
      <c r="O53" s="48"/>
      <c r="P53" s="48"/>
      <c r="Q53" s="49"/>
      <c r="R53" s="50">
        <v>0.38</v>
      </c>
      <c r="S53" s="51"/>
      <c r="T53" s="50"/>
      <c r="U53" s="51"/>
      <c r="V53" s="50">
        <f>R53</f>
        <v>0.38</v>
      </c>
      <c r="W53" s="52"/>
      <c r="X53" s="18">
        <f t="shared" si="0"/>
        <v>157.89473684210526</v>
      </c>
      <c r="Y53" s="18">
        <f t="shared" si="1"/>
        <v>150</v>
      </c>
      <c r="Z53" s="19">
        <f t="shared" si="2"/>
        <v>1.2756814824761651</v>
      </c>
      <c r="AA53" s="20">
        <v>1</v>
      </c>
    </row>
    <row r="54" spans="1:27">
      <c r="A54" s="36">
        <v>4</v>
      </c>
      <c r="B54" s="44" t="s">
        <v>81</v>
      </c>
      <c r="C54" s="45"/>
      <c r="D54" s="45"/>
      <c r="E54" s="45"/>
      <c r="F54" s="45"/>
      <c r="G54" s="45"/>
      <c r="H54" s="45"/>
      <c r="I54" s="46"/>
      <c r="J54" s="47" t="s">
        <v>43</v>
      </c>
      <c r="K54" s="48"/>
      <c r="L54" s="48"/>
      <c r="M54" s="49"/>
      <c r="N54" s="47" t="s">
        <v>30</v>
      </c>
      <c r="O54" s="48"/>
      <c r="P54" s="48"/>
      <c r="Q54" s="49"/>
      <c r="R54" s="50">
        <v>0.12</v>
      </c>
      <c r="S54" s="51"/>
      <c r="T54" s="50"/>
      <c r="U54" s="51"/>
      <c r="V54" s="50">
        <f>R54</f>
        <v>0.12</v>
      </c>
      <c r="W54" s="52"/>
      <c r="X54" s="18">
        <f t="shared" si="0"/>
        <v>500</v>
      </c>
      <c r="Y54" s="18">
        <f t="shared" si="1"/>
        <v>475</v>
      </c>
      <c r="Z54" s="19">
        <f t="shared" si="2"/>
        <v>0.40284678393984164</v>
      </c>
      <c r="AA54" s="20">
        <v>0.5</v>
      </c>
    </row>
    <row r="55" spans="1:27">
      <c r="A55" s="36">
        <v>5</v>
      </c>
      <c r="B55" s="44" t="s">
        <v>82</v>
      </c>
      <c r="C55" s="45"/>
      <c r="D55" s="45"/>
      <c r="E55" s="45"/>
      <c r="F55" s="45"/>
      <c r="G55" s="45"/>
      <c r="H55" s="45"/>
      <c r="I55" s="46"/>
      <c r="J55" s="47" t="s">
        <v>83</v>
      </c>
      <c r="K55" s="48"/>
      <c r="L55" s="48"/>
      <c r="M55" s="49"/>
      <c r="N55" s="47" t="s">
        <v>30</v>
      </c>
      <c r="O55" s="48"/>
      <c r="P55" s="48"/>
      <c r="Q55" s="49"/>
      <c r="R55" s="50">
        <v>0.25</v>
      </c>
      <c r="S55" s="51"/>
      <c r="T55" s="50"/>
      <c r="U55" s="51"/>
      <c r="V55" s="50">
        <f>R55</f>
        <v>0.25</v>
      </c>
      <c r="W55" s="52"/>
      <c r="X55" s="18">
        <f t="shared" si="0"/>
        <v>240</v>
      </c>
      <c r="Y55" s="18">
        <f t="shared" si="1"/>
        <v>228</v>
      </c>
      <c r="Z55" s="19">
        <f t="shared" si="2"/>
        <v>0.83926413320800342</v>
      </c>
      <c r="AA55" s="20">
        <v>1</v>
      </c>
    </row>
    <row r="56" spans="1:27">
      <c r="A56" s="36">
        <v>6</v>
      </c>
      <c r="B56" s="44" t="s">
        <v>84</v>
      </c>
      <c r="C56" s="45"/>
      <c r="D56" s="45"/>
      <c r="E56" s="45"/>
      <c r="F56" s="45"/>
      <c r="G56" s="45"/>
      <c r="H56" s="45"/>
      <c r="I56" s="46"/>
      <c r="J56" s="47" t="s">
        <v>45</v>
      </c>
      <c r="K56" s="48"/>
      <c r="L56" s="48"/>
      <c r="M56" s="49"/>
      <c r="N56" s="47" t="s">
        <v>30</v>
      </c>
      <c r="O56" s="48"/>
      <c r="P56" s="48"/>
      <c r="Q56" s="49"/>
      <c r="R56" s="50">
        <v>0.45</v>
      </c>
      <c r="S56" s="51"/>
      <c r="T56" s="50"/>
      <c r="U56" s="51"/>
      <c r="V56" s="50">
        <f>R56</f>
        <v>0.45</v>
      </c>
      <c r="W56" s="52"/>
      <c r="X56" s="18">
        <f t="shared" si="0"/>
        <v>133.33333333333334</v>
      </c>
      <c r="Y56" s="18">
        <f t="shared" si="1"/>
        <v>126.66666666666667</v>
      </c>
      <c r="Z56" s="19">
        <f t="shared" si="2"/>
        <v>1.510675439774406</v>
      </c>
      <c r="AA56" s="20">
        <v>1.5</v>
      </c>
    </row>
    <row r="57" spans="1:27">
      <c r="A57" s="36">
        <v>7</v>
      </c>
      <c r="B57" s="44" t="s">
        <v>85</v>
      </c>
      <c r="C57" s="45"/>
      <c r="D57" s="45"/>
      <c r="E57" s="45"/>
      <c r="F57" s="45"/>
      <c r="G57" s="45"/>
      <c r="H57" s="45"/>
      <c r="I57" s="46"/>
      <c r="J57" s="47" t="s">
        <v>32</v>
      </c>
      <c r="K57" s="48"/>
      <c r="L57" s="48"/>
      <c r="M57" s="49"/>
      <c r="N57" s="47" t="s">
        <v>30</v>
      </c>
      <c r="O57" s="48"/>
      <c r="P57" s="48"/>
      <c r="Q57" s="49"/>
      <c r="R57" s="50">
        <v>0.6</v>
      </c>
      <c r="S57" s="51"/>
      <c r="T57" s="50">
        <f>R57</f>
        <v>0.6</v>
      </c>
      <c r="U57" s="51"/>
      <c r="V57" s="50"/>
      <c r="W57" s="52"/>
      <c r="X57" s="18">
        <f t="shared" si="0"/>
        <v>100</v>
      </c>
      <c r="Y57" s="18">
        <f t="shared" si="1"/>
        <v>95</v>
      </c>
      <c r="Z57" s="19">
        <f t="shared" si="2"/>
        <v>2.0142339196992083</v>
      </c>
      <c r="AA57" s="37">
        <v>2</v>
      </c>
    </row>
    <row r="58" spans="1:27">
      <c r="A58" s="36">
        <v>8</v>
      </c>
      <c r="B58" s="44" t="s">
        <v>86</v>
      </c>
      <c r="C58" s="45"/>
      <c r="D58" s="45"/>
      <c r="E58" s="45"/>
      <c r="F58" s="45"/>
      <c r="G58" s="45"/>
      <c r="H58" s="45"/>
      <c r="I58" s="46"/>
      <c r="J58" s="47" t="s">
        <v>59</v>
      </c>
      <c r="K58" s="48"/>
      <c r="L58" s="48"/>
      <c r="M58" s="49"/>
      <c r="N58" s="47" t="s">
        <v>30</v>
      </c>
      <c r="O58" s="48"/>
      <c r="P58" s="48"/>
      <c r="Q58" s="49"/>
      <c r="R58" s="50">
        <v>0.28999999999999998</v>
      </c>
      <c r="S58" s="51"/>
      <c r="T58" s="50">
        <f>R58</f>
        <v>0.28999999999999998</v>
      </c>
      <c r="U58" s="51"/>
      <c r="V58" s="50"/>
      <c r="W58" s="52"/>
      <c r="X58" s="18">
        <f t="shared" si="0"/>
        <v>206.89655172413794</v>
      </c>
      <c r="Y58" s="18">
        <f t="shared" si="1"/>
        <v>196.55172413793102</v>
      </c>
      <c r="Z58" s="38">
        <f t="shared" si="2"/>
        <v>0.973546394521284</v>
      </c>
      <c r="AA58" s="20">
        <v>1</v>
      </c>
    </row>
    <row r="59" spans="1:27">
      <c r="A59" s="36">
        <v>9</v>
      </c>
      <c r="B59" s="44" t="s">
        <v>87</v>
      </c>
      <c r="C59" s="45"/>
      <c r="D59" s="45"/>
      <c r="E59" s="45"/>
      <c r="F59" s="45"/>
      <c r="G59" s="45"/>
      <c r="H59" s="45"/>
      <c r="I59" s="46"/>
      <c r="J59" s="47" t="s">
        <v>88</v>
      </c>
      <c r="K59" s="48"/>
      <c r="L59" s="48"/>
      <c r="M59" s="49"/>
      <c r="N59" s="47" t="s">
        <v>30</v>
      </c>
      <c r="O59" s="48"/>
      <c r="P59" s="48"/>
      <c r="Q59" s="49"/>
      <c r="R59" s="50">
        <v>0.25</v>
      </c>
      <c r="S59" s="51"/>
      <c r="T59" s="50">
        <f>R59</f>
        <v>0.25</v>
      </c>
      <c r="U59" s="51"/>
      <c r="V59" s="50"/>
      <c r="W59" s="95"/>
      <c r="X59" s="18">
        <f t="shared" si="0"/>
        <v>240</v>
      </c>
      <c r="Y59" s="18">
        <f t="shared" si="1"/>
        <v>228</v>
      </c>
      <c r="Z59" s="19">
        <f t="shared" si="2"/>
        <v>0.83926413320800342</v>
      </c>
      <c r="AA59" s="39">
        <v>1</v>
      </c>
    </row>
    <row r="60" spans="1:27">
      <c r="A60" s="36">
        <v>10</v>
      </c>
      <c r="B60" s="44" t="s">
        <v>119</v>
      </c>
      <c r="C60" s="45"/>
      <c r="D60" s="45"/>
      <c r="E60" s="45"/>
      <c r="F60" s="45"/>
      <c r="G60" s="45"/>
      <c r="H60" s="45"/>
      <c r="I60" s="46"/>
      <c r="J60" s="47" t="s">
        <v>88</v>
      </c>
      <c r="K60" s="48"/>
      <c r="L60" s="48"/>
      <c r="M60" s="49"/>
      <c r="N60" s="47" t="s">
        <v>30</v>
      </c>
      <c r="O60" s="48"/>
      <c r="P60" s="48"/>
      <c r="Q60" s="49"/>
      <c r="R60" s="50">
        <v>0.2</v>
      </c>
      <c r="S60" s="51"/>
      <c r="T60" s="50">
        <f>R60</f>
        <v>0.2</v>
      </c>
      <c r="U60" s="51"/>
      <c r="V60" s="50"/>
      <c r="W60" s="95"/>
      <c r="X60" s="18">
        <f t="shared" si="0"/>
        <v>300</v>
      </c>
      <c r="Y60" s="18">
        <f t="shared" si="1"/>
        <v>285</v>
      </c>
      <c r="Z60" s="19">
        <f t="shared" si="2"/>
        <v>0.67141130656640269</v>
      </c>
      <c r="AA60" s="20">
        <v>1</v>
      </c>
    </row>
    <row r="61" spans="1:27">
      <c r="A61" s="3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94" t="s">
        <v>52</v>
      </c>
      <c r="O61" s="94"/>
      <c r="P61" s="94"/>
      <c r="Q61" s="94"/>
      <c r="R61" s="94">
        <f>SUM(R51:S60)</f>
        <v>3.3900000000000006</v>
      </c>
      <c r="S61" s="94"/>
      <c r="T61" s="94">
        <f>SUM(T51:U60)</f>
        <v>1.89</v>
      </c>
      <c r="U61" s="94"/>
      <c r="V61" s="94">
        <f>SUM(V51:W60)</f>
        <v>1.4999999999999998</v>
      </c>
      <c r="W61" s="94"/>
      <c r="X61" s="18"/>
      <c r="Y61" s="18"/>
      <c r="Z61" s="19"/>
      <c r="AA61" s="28">
        <f>SUM(AA51:AA60)</f>
        <v>12</v>
      </c>
    </row>
    <row r="62" spans="1:27">
      <c r="A62" s="29"/>
      <c r="B62" s="30" t="s">
        <v>89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3"/>
      <c r="S62" s="33"/>
      <c r="T62" s="33"/>
      <c r="U62" s="33"/>
      <c r="V62" s="33"/>
      <c r="W62" s="33"/>
      <c r="X62" s="32"/>
      <c r="Y62" s="33"/>
      <c r="Z62" s="33"/>
      <c r="AA62" s="33"/>
    </row>
    <row r="63" spans="1:27" ht="51.75" customHeight="1">
      <c r="A63" s="42">
        <v>1</v>
      </c>
      <c r="B63" s="118" t="s">
        <v>120</v>
      </c>
      <c r="C63" s="119"/>
      <c r="D63" s="119"/>
      <c r="E63" s="119"/>
      <c r="F63" s="119"/>
      <c r="G63" s="119"/>
      <c r="H63" s="119"/>
      <c r="I63" s="120"/>
      <c r="J63" s="121" t="s">
        <v>90</v>
      </c>
      <c r="K63" s="122"/>
      <c r="L63" s="122"/>
      <c r="M63" s="123"/>
      <c r="N63" s="121" t="s">
        <v>30</v>
      </c>
      <c r="O63" s="122"/>
      <c r="P63" s="122"/>
      <c r="Q63" s="123"/>
      <c r="R63" s="124">
        <v>0.26</v>
      </c>
      <c r="S63" s="125"/>
      <c r="T63" s="124">
        <f t="shared" ref="T63:T68" si="10">R63</f>
        <v>0.26</v>
      </c>
      <c r="U63" s="125"/>
      <c r="V63" s="124"/>
      <c r="W63" s="126"/>
      <c r="X63" s="18">
        <f t="shared" si="0"/>
        <v>230.76923076923077</v>
      </c>
      <c r="Y63" s="18">
        <f t="shared" si="1"/>
        <v>219.23076923076923</v>
      </c>
      <c r="Z63" s="19">
        <f t="shared" si="2"/>
        <v>0.87283469853632356</v>
      </c>
      <c r="AA63" s="20">
        <v>1</v>
      </c>
    </row>
    <row r="64" spans="1:27">
      <c r="A64" s="127">
        <v>2</v>
      </c>
      <c r="B64" s="128" t="s">
        <v>122</v>
      </c>
      <c r="C64" s="129"/>
      <c r="D64" s="129"/>
      <c r="E64" s="129"/>
      <c r="F64" s="129"/>
      <c r="G64" s="129"/>
      <c r="H64" s="129"/>
      <c r="I64" s="130"/>
      <c r="J64" s="131" t="s">
        <v>121</v>
      </c>
      <c r="K64" s="132"/>
      <c r="L64" s="132"/>
      <c r="M64" s="133"/>
      <c r="N64" s="131" t="s">
        <v>30</v>
      </c>
      <c r="O64" s="132"/>
      <c r="P64" s="132"/>
      <c r="Q64" s="133"/>
      <c r="R64" s="134"/>
      <c r="S64" s="135"/>
      <c r="T64" s="134">
        <f t="shared" si="10"/>
        <v>0</v>
      </c>
      <c r="U64" s="135"/>
      <c r="V64" s="50"/>
      <c r="W64" s="52"/>
      <c r="X64" s="18" t="e">
        <f t="shared" si="0"/>
        <v>#DIV/0!</v>
      </c>
      <c r="Y64" s="18" t="e">
        <f t="shared" si="1"/>
        <v>#DIV/0!</v>
      </c>
      <c r="Z64" s="19" t="e">
        <f t="shared" si="2"/>
        <v>#DIV/0!</v>
      </c>
      <c r="AA64" s="20">
        <v>1</v>
      </c>
    </row>
    <row r="65" spans="1:27">
      <c r="A65" s="36">
        <v>3</v>
      </c>
      <c r="B65" s="44" t="s">
        <v>91</v>
      </c>
      <c r="C65" s="45"/>
      <c r="D65" s="45"/>
      <c r="E65" s="45"/>
      <c r="F65" s="45"/>
      <c r="G65" s="45"/>
      <c r="H65" s="45"/>
      <c r="I65" s="46"/>
      <c r="J65" s="47" t="s">
        <v>32</v>
      </c>
      <c r="K65" s="48"/>
      <c r="L65" s="48"/>
      <c r="M65" s="49"/>
      <c r="N65" s="47" t="s">
        <v>30</v>
      </c>
      <c r="O65" s="48"/>
      <c r="P65" s="48"/>
      <c r="Q65" s="49"/>
      <c r="R65" s="50">
        <v>0.22</v>
      </c>
      <c r="S65" s="51"/>
      <c r="T65" s="50">
        <f>R65</f>
        <v>0.22</v>
      </c>
      <c r="U65" s="51"/>
      <c r="V65" s="50"/>
      <c r="W65" s="52"/>
      <c r="X65" s="18">
        <f t="shared" ref="X65" si="11">60/R65</f>
        <v>272.72727272727275</v>
      </c>
      <c r="Y65" s="18">
        <f t="shared" ref="Y65" si="12">X65*0.95</f>
        <v>259.09090909090912</v>
      </c>
      <c r="Z65" s="19">
        <f t="shared" ref="Z65" si="13">AA$5/Y65</f>
        <v>0.73855243722304287</v>
      </c>
      <c r="AA65" s="20">
        <v>1</v>
      </c>
    </row>
    <row r="66" spans="1:27">
      <c r="A66" s="36">
        <v>4</v>
      </c>
      <c r="B66" s="44" t="s">
        <v>92</v>
      </c>
      <c r="C66" s="45"/>
      <c r="D66" s="45"/>
      <c r="E66" s="45"/>
      <c r="F66" s="45"/>
      <c r="G66" s="45"/>
      <c r="H66" s="45"/>
      <c r="I66" s="46"/>
      <c r="J66" s="47" t="s">
        <v>32</v>
      </c>
      <c r="K66" s="48"/>
      <c r="L66" s="48"/>
      <c r="M66" s="49"/>
      <c r="N66" s="47" t="s">
        <v>30</v>
      </c>
      <c r="O66" s="48"/>
      <c r="P66" s="48"/>
      <c r="Q66" s="49"/>
      <c r="R66" s="50">
        <v>0.74</v>
      </c>
      <c r="S66" s="51"/>
      <c r="T66" s="50">
        <f t="shared" si="10"/>
        <v>0.74</v>
      </c>
      <c r="U66" s="51"/>
      <c r="V66" s="50"/>
      <c r="W66" s="52"/>
      <c r="X66" s="18">
        <f t="shared" si="0"/>
        <v>81.081081081081081</v>
      </c>
      <c r="Y66" s="18">
        <f t="shared" si="1"/>
        <v>77.027027027027017</v>
      </c>
      <c r="Z66" s="19">
        <f t="shared" si="2"/>
        <v>2.4842218342956905</v>
      </c>
      <c r="AA66" s="20">
        <v>2.5</v>
      </c>
    </row>
    <row r="67" spans="1:27">
      <c r="A67" s="36">
        <v>5</v>
      </c>
      <c r="B67" s="44" t="s">
        <v>114</v>
      </c>
      <c r="C67" s="45"/>
      <c r="D67" s="45"/>
      <c r="E67" s="45"/>
      <c r="F67" s="45"/>
      <c r="G67" s="45"/>
      <c r="H67" s="45"/>
      <c r="I67" s="46"/>
      <c r="J67" s="47" t="s">
        <v>115</v>
      </c>
      <c r="K67" s="48"/>
      <c r="L67" s="48"/>
      <c r="M67" s="49"/>
      <c r="N67" s="47" t="s">
        <v>30</v>
      </c>
      <c r="O67" s="48"/>
      <c r="P67" s="48"/>
      <c r="Q67" s="49"/>
      <c r="R67" s="50">
        <v>0.85</v>
      </c>
      <c r="S67" s="51"/>
      <c r="T67" s="50">
        <f t="shared" si="10"/>
        <v>0.85</v>
      </c>
      <c r="U67" s="51"/>
      <c r="V67" s="50"/>
      <c r="W67" s="52"/>
      <c r="X67" s="18">
        <f t="shared" si="0"/>
        <v>70.588235294117652</v>
      </c>
      <c r="Y67" s="18">
        <f t="shared" si="1"/>
        <v>67.058823529411768</v>
      </c>
      <c r="Z67" s="19">
        <f t="shared" si="2"/>
        <v>2.8534980529072116</v>
      </c>
      <c r="AA67" s="20">
        <v>3</v>
      </c>
    </row>
    <row r="68" spans="1:27">
      <c r="A68" s="34">
        <v>6</v>
      </c>
      <c r="B68" s="44" t="s">
        <v>93</v>
      </c>
      <c r="C68" s="45"/>
      <c r="D68" s="45"/>
      <c r="E68" s="45"/>
      <c r="F68" s="45"/>
      <c r="G68" s="45"/>
      <c r="H68" s="45"/>
      <c r="I68" s="46"/>
      <c r="J68" s="47" t="s">
        <v>32</v>
      </c>
      <c r="K68" s="48"/>
      <c r="L68" s="48"/>
      <c r="M68" s="49"/>
      <c r="N68" s="47" t="s">
        <v>30</v>
      </c>
      <c r="O68" s="48"/>
      <c r="P68" s="48"/>
      <c r="Q68" s="49"/>
      <c r="R68" s="50">
        <v>0.5</v>
      </c>
      <c r="S68" s="51"/>
      <c r="T68" s="50">
        <f t="shared" si="10"/>
        <v>0.5</v>
      </c>
      <c r="U68" s="51"/>
      <c r="V68" s="50"/>
      <c r="W68" s="52"/>
      <c r="X68" s="18">
        <f t="shared" si="0"/>
        <v>120</v>
      </c>
      <c r="Y68" s="18">
        <f t="shared" si="1"/>
        <v>114</v>
      </c>
      <c r="Z68" s="19">
        <f t="shared" si="2"/>
        <v>1.6785282664160068</v>
      </c>
      <c r="AA68" s="20">
        <v>2</v>
      </c>
    </row>
    <row r="69" spans="1:27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94" t="s">
        <v>52</v>
      </c>
      <c r="O69" s="94"/>
      <c r="P69" s="94"/>
      <c r="Q69" s="94"/>
      <c r="R69" s="94">
        <f>SUM(R63:S68)</f>
        <v>2.57</v>
      </c>
      <c r="S69" s="94"/>
      <c r="T69" s="94">
        <f t="shared" ref="T69" si="14">SUM(T63:U68)</f>
        <v>2.57</v>
      </c>
      <c r="U69" s="94"/>
      <c r="V69" s="94">
        <f t="shared" ref="V69" si="15">SUM(V63:W68)</f>
        <v>0</v>
      </c>
      <c r="W69" s="94"/>
      <c r="X69" s="18"/>
      <c r="Y69" s="18"/>
      <c r="Z69" s="19"/>
      <c r="AA69" s="28">
        <f>SUM(AA63:AA68)</f>
        <v>10.5</v>
      </c>
    </row>
    <row r="70" spans="1:27">
      <c r="A70" s="29"/>
      <c r="B70" s="30" t="s">
        <v>94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3"/>
      <c r="S70" s="33"/>
      <c r="T70" s="33"/>
      <c r="U70" s="33"/>
      <c r="V70" s="33"/>
      <c r="W70" s="33"/>
      <c r="X70" s="32"/>
      <c r="Y70" s="33"/>
      <c r="Z70" s="33"/>
      <c r="AA70" s="33"/>
    </row>
    <row r="71" spans="1:27">
      <c r="A71" s="36">
        <v>1</v>
      </c>
      <c r="B71" s="44" t="s">
        <v>95</v>
      </c>
      <c r="C71" s="45"/>
      <c r="D71" s="45"/>
      <c r="E71" s="45"/>
      <c r="F71" s="45"/>
      <c r="G71" s="45"/>
      <c r="H71" s="45"/>
      <c r="I71" s="46"/>
      <c r="J71" s="47" t="s">
        <v>61</v>
      </c>
      <c r="K71" s="48"/>
      <c r="L71" s="48"/>
      <c r="M71" s="49"/>
      <c r="N71" s="47" t="s">
        <v>30</v>
      </c>
      <c r="O71" s="48"/>
      <c r="P71" s="48"/>
      <c r="Q71" s="49"/>
      <c r="R71" s="50">
        <v>0.6</v>
      </c>
      <c r="S71" s="51"/>
      <c r="T71" s="50"/>
      <c r="U71" s="51"/>
      <c r="V71" s="50">
        <f>R71</f>
        <v>0.6</v>
      </c>
      <c r="W71" s="52"/>
      <c r="X71" s="18">
        <f t="shared" ref="X71" si="16">60/R71</f>
        <v>100</v>
      </c>
      <c r="Y71" s="18">
        <f t="shared" ref="Y71" si="17">X71*0.95</f>
        <v>95</v>
      </c>
      <c r="Z71" s="19">
        <f t="shared" ref="Z71" si="18">AA$5/Y71</f>
        <v>2.0142339196992083</v>
      </c>
      <c r="AA71" s="20">
        <v>2</v>
      </c>
    </row>
    <row r="72" spans="1:27">
      <c r="A72" s="36">
        <v>2</v>
      </c>
      <c r="B72" s="44" t="s">
        <v>96</v>
      </c>
      <c r="C72" s="45"/>
      <c r="D72" s="45"/>
      <c r="E72" s="45"/>
      <c r="F72" s="45"/>
      <c r="G72" s="45"/>
      <c r="H72" s="45"/>
      <c r="I72" s="46"/>
      <c r="J72" s="47" t="s">
        <v>32</v>
      </c>
      <c r="K72" s="48"/>
      <c r="L72" s="48"/>
      <c r="M72" s="49"/>
      <c r="N72" s="47" t="s">
        <v>97</v>
      </c>
      <c r="O72" s="48"/>
      <c r="P72" s="48"/>
      <c r="Q72" s="49"/>
      <c r="R72" s="50">
        <v>0.65</v>
      </c>
      <c r="S72" s="51"/>
      <c r="T72" s="50">
        <f t="shared" ref="T72:T77" si="19">R72</f>
        <v>0.65</v>
      </c>
      <c r="U72" s="51"/>
      <c r="V72" s="50"/>
      <c r="W72" s="52"/>
      <c r="X72" s="18">
        <f t="shared" si="0"/>
        <v>92.307692307692307</v>
      </c>
      <c r="Y72" s="18">
        <f t="shared" si="1"/>
        <v>87.692307692307693</v>
      </c>
      <c r="Z72" s="19">
        <f t="shared" si="2"/>
        <v>2.1820867463408087</v>
      </c>
      <c r="AA72" s="20">
        <v>2.5</v>
      </c>
    </row>
    <row r="73" spans="1:27">
      <c r="A73" s="36">
        <v>3</v>
      </c>
      <c r="B73" s="44" t="s">
        <v>123</v>
      </c>
      <c r="C73" s="45"/>
      <c r="D73" s="45"/>
      <c r="E73" s="45"/>
      <c r="F73" s="45"/>
      <c r="G73" s="45"/>
      <c r="H73" s="45"/>
      <c r="I73" s="46"/>
      <c r="J73" s="47" t="s">
        <v>32</v>
      </c>
      <c r="K73" s="48"/>
      <c r="L73" s="48"/>
      <c r="M73" s="49"/>
      <c r="N73" s="47" t="s">
        <v>30</v>
      </c>
      <c r="O73" s="48"/>
      <c r="P73" s="48"/>
      <c r="Q73" s="49"/>
      <c r="R73" s="50">
        <v>0.74</v>
      </c>
      <c r="S73" s="51"/>
      <c r="T73" s="50">
        <f t="shared" si="19"/>
        <v>0.74</v>
      </c>
      <c r="U73" s="51"/>
      <c r="V73" s="50"/>
      <c r="W73" s="52"/>
      <c r="X73" s="18">
        <f t="shared" si="0"/>
        <v>81.081081081081081</v>
      </c>
      <c r="Y73" s="18">
        <f t="shared" si="1"/>
        <v>77.027027027027017</v>
      </c>
      <c r="Z73" s="19">
        <f t="shared" si="2"/>
        <v>2.4842218342956905</v>
      </c>
      <c r="AA73" s="20">
        <v>2.5</v>
      </c>
    </row>
    <row r="74" spans="1:27">
      <c r="A74" s="36">
        <v>4</v>
      </c>
      <c r="B74" s="44" t="s">
        <v>124</v>
      </c>
      <c r="C74" s="45"/>
      <c r="D74" s="45"/>
      <c r="E74" s="45"/>
      <c r="F74" s="45"/>
      <c r="G74" s="45"/>
      <c r="H74" s="45"/>
      <c r="I74" s="46"/>
      <c r="J74" s="47" t="s">
        <v>32</v>
      </c>
      <c r="K74" s="48"/>
      <c r="L74" s="48"/>
      <c r="M74" s="49"/>
      <c r="N74" s="47" t="s">
        <v>30</v>
      </c>
      <c r="O74" s="48"/>
      <c r="P74" s="48"/>
      <c r="Q74" s="49"/>
      <c r="R74" s="50">
        <v>1</v>
      </c>
      <c r="S74" s="51"/>
      <c r="T74" s="50">
        <f t="shared" si="19"/>
        <v>1</v>
      </c>
      <c r="U74" s="51"/>
      <c r="V74" s="50"/>
      <c r="W74" s="52"/>
      <c r="X74" s="18">
        <f t="shared" si="0"/>
        <v>60</v>
      </c>
      <c r="Y74" s="18">
        <f t="shared" si="1"/>
        <v>57</v>
      </c>
      <c r="Z74" s="19">
        <f t="shared" si="2"/>
        <v>3.3570565328320137</v>
      </c>
      <c r="AA74" s="20">
        <v>3.5</v>
      </c>
    </row>
    <row r="75" spans="1:27">
      <c r="A75" s="36">
        <v>5</v>
      </c>
      <c r="B75" s="44" t="s">
        <v>125</v>
      </c>
      <c r="C75" s="45"/>
      <c r="D75" s="45"/>
      <c r="E75" s="45"/>
      <c r="F75" s="45"/>
      <c r="G75" s="45"/>
      <c r="H75" s="45"/>
      <c r="I75" s="46"/>
      <c r="J75" s="47" t="s">
        <v>98</v>
      </c>
      <c r="K75" s="48"/>
      <c r="L75" s="48"/>
      <c r="M75" s="49"/>
      <c r="N75" s="47" t="s">
        <v>99</v>
      </c>
      <c r="O75" s="48"/>
      <c r="P75" s="48"/>
      <c r="Q75" s="49"/>
      <c r="R75" s="50">
        <v>1.1200000000000001</v>
      </c>
      <c r="S75" s="51"/>
      <c r="T75" s="50">
        <f t="shared" si="19"/>
        <v>1.1200000000000001</v>
      </c>
      <c r="U75" s="51"/>
      <c r="V75" s="50"/>
      <c r="W75" s="52"/>
      <c r="X75" s="18">
        <f t="shared" si="0"/>
        <v>53.571428571428569</v>
      </c>
      <c r="Y75" s="18">
        <f t="shared" si="1"/>
        <v>50.892857142857139</v>
      </c>
      <c r="Z75" s="19">
        <f t="shared" si="2"/>
        <v>3.7599033167718554</v>
      </c>
      <c r="AA75" s="20">
        <v>4</v>
      </c>
    </row>
    <row r="76" spans="1:27">
      <c r="A76" s="36">
        <v>6</v>
      </c>
      <c r="B76" s="44" t="s">
        <v>100</v>
      </c>
      <c r="C76" s="45"/>
      <c r="D76" s="45"/>
      <c r="E76" s="45"/>
      <c r="F76" s="45"/>
      <c r="G76" s="45"/>
      <c r="H76" s="45"/>
      <c r="I76" s="46"/>
      <c r="J76" s="47" t="s">
        <v>32</v>
      </c>
      <c r="K76" s="48"/>
      <c r="L76" s="48"/>
      <c r="M76" s="49"/>
      <c r="N76" s="47" t="s">
        <v>30</v>
      </c>
      <c r="O76" s="48"/>
      <c r="P76" s="48"/>
      <c r="Q76" s="49"/>
      <c r="R76" s="50">
        <v>0.75</v>
      </c>
      <c r="S76" s="51"/>
      <c r="T76" s="50">
        <f>R76</f>
        <v>0.75</v>
      </c>
      <c r="U76" s="51"/>
      <c r="V76" s="50"/>
      <c r="W76" s="52"/>
      <c r="X76" s="18">
        <f t="shared" si="0"/>
        <v>80</v>
      </c>
      <c r="Y76" s="18">
        <f t="shared" si="1"/>
        <v>76</v>
      </c>
      <c r="Z76" s="19">
        <f t="shared" si="2"/>
        <v>2.5177923996240104</v>
      </c>
      <c r="AA76" s="20">
        <v>2.5</v>
      </c>
    </row>
    <row r="77" spans="1:27" s="22" customFormat="1">
      <c r="A77" s="36">
        <v>7</v>
      </c>
      <c r="B77" s="82" t="s">
        <v>101</v>
      </c>
      <c r="C77" s="83"/>
      <c r="D77" s="83"/>
      <c r="E77" s="83"/>
      <c r="F77" s="83"/>
      <c r="G77" s="83"/>
      <c r="H77" s="83"/>
      <c r="I77" s="84"/>
      <c r="J77" s="85" t="s">
        <v>102</v>
      </c>
      <c r="K77" s="86"/>
      <c r="L77" s="86"/>
      <c r="M77" s="87"/>
      <c r="N77" s="85" t="s">
        <v>103</v>
      </c>
      <c r="O77" s="86"/>
      <c r="P77" s="86"/>
      <c r="Q77" s="87"/>
      <c r="R77" s="75">
        <v>1.38</v>
      </c>
      <c r="S77" s="88"/>
      <c r="T77" s="75">
        <f t="shared" si="19"/>
        <v>1.38</v>
      </c>
      <c r="U77" s="88"/>
      <c r="V77" s="75"/>
      <c r="W77" s="96"/>
      <c r="X77" s="18">
        <f t="shared" si="0"/>
        <v>43.478260869565219</v>
      </c>
      <c r="Y77" s="18">
        <f t="shared" si="1"/>
        <v>41.304347826086953</v>
      </c>
      <c r="Z77" s="19">
        <f t="shared" si="2"/>
        <v>4.6327380153081794</v>
      </c>
      <c r="AA77" s="21">
        <v>5</v>
      </c>
    </row>
    <row r="78" spans="1:27">
      <c r="A78" s="36">
        <v>8</v>
      </c>
      <c r="B78" s="44" t="s">
        <v>127</v>
      </c>
      <c r="C78" s="45"/>
      <c r="D78" s="45"/>
      <c r="E78" s="45"/>
      <c r="F78" s="45"/>
      <c r="G78" s="45"/>
      <c r="H78" s="45"/>
      <c r="I78" s="46"/>
      <c r="J78" s="47" t="s">
        <v>47</v>
      </c>
      <c r="K78" s="48"/>
      <c r="L78" s="48"/>
      <c r="M78" s="49"/>
      <c r="N78" s="47" t="s">
        <v>30</v>
      </c>
      <c r="O78" s="48"/>
      <c r="P78" s="48"/>
      <c r="Q78" s="49"/>
      <c r="R78" s="50">
        <v>0.41</v>
      </c>
      <c r="S78" s="51"/>
      <c r="T78" s="50"/>
      <c r="U78" s="51"/>
      <c r="V78" s="50">
        <f>R78</f>
        <v>0.41</v>
      </c>
      <c r="W78" s="52"/>
      <c r="X78" s="18">
        <f t="shared" si="0"/>
        <v>146.34146341463415</v>
      </c>
      <c r="Y78" s="18">
        <f t="shared" si="1"/>
        <v>139.02439024390245</v>
      </c>
      <c r="Z78" s="19">
        <f t="shared" si="2"/>
        <v>1.3763931784611254</v>
      </c>
      <c r="AA78" s="20">
        <v>1.5</v>
      </c>
    </row>
    <row r="79" spans="1:27">
      <c r="A79" s="36">
        <v>9</v>
      </c>
      <c r="B79" s="44" t="s">
        <v>126</v>
      </c>
      <c r="C79" s="45"/>
      <c r="D79" s="45"/>
      <c r="E79" s="45"/>
      <c r="F79" s="45"/>
      <c r="G79" s="45"/>
      <c r="H79" s="45"/>
      <c r="I79" s="46"/>
      <c r="J79" s="47" t="s">
        <v>32</v>
      </c>
      <c r="K79" s="48"/>
      <c r="L79" s="48"/>
      <c r="M79" s="49"/>
      <c r="N79" s="47" t="s">
        <v>30</v>
      </c>
      <c r="O79" s="48"/>
      <c r="P79" s="48"/>
      <c r="Q79" s="49"/>
      <c r="R79" s="50">
        <v>1.1000000000000001</v>
      </c>
      <c r="S79" s="51"/>
      <c r="T79" s="50">
        <f>R79</f>
        <v>1.1000000000000001</v>
      </c>
      <c r="U79" s="51"/>
      <c r="V79" s="50"/>
      <c r="W79" s="52"/>
      <c r="X79" s="18">
        <f t="shared" si="0"/>
        <v>54.54545454545454</v>
      </c>
      <c r="Y79" s="18">
        <f t="shared" si="1"/>
        <v>51.818181818181813</v>
      </c>
      <c r="Z79" s="19">
        <f t="shared" si="2"/>
        <v>3.6927621861152153</v>
      </c>
      <c r="AA79" s="20">
        <v>4</v>
      </c>
    </row>
    <row r="80" spans="1:27">
      <c r="A80" s="36">
        <v>10</v>
      </c>
      <c r="B80" s="44" t="s">
        <v>104</v>
      </c>
      <c r="C80" s="45"/>
      <c r="D80" s="45"/>
      <c r="E80" s="45"/>
      <c r="F80" s="45"/>
      <c r="G80" s="45"/>
      <c r="H80" s="45"/>
      <c r="I80" s="46"/>
      <c r="J80" s="47" t="s">
        <v>32</v>
      </c>
      <c r="K80" s="48"/>
      <c r="L80" s="48"/>
      <c r="M80" s="49"/>
      <c r="N80" s="47" t="s">
        <v>105</v>
      </c>
      <c r="O80" s="48"/>
      <c r="P80" s="48"/>
      <c r="Q80" s="49"/>
      <c r="R80" s="50">
        <v>0.62</v>
      </c>
      <c r="S80" s="51"/>
      <c r="T80" s="50">
        <f>R80</f>
        <v>0.62</v>
      </c>
      <c r="U80" s="51"/>
      <c r="V80" s="50"/>
      <c r="W80" s="52"/>
      <c r="X80" s="18">
        <f>60/R80</f>
        <v>96.774193548387103</v>
      </c>
      <c r="Y80" s="18">
        <f>X80*0.95</f>
        <v>91.935483870967744</v>
      </c>
      <c r="Z80" s="19">
        <f>AA$5/Y80</f>
        <v>2.0813750503558484</v>
      </c>
      <c r="AA80" s="20">
        <v>2</v>
      </c>
    </row>
    <row r="81" spans="1:27">
      <c r="A81" s="36"/>
      <c r="B81" s="44"/>
      <c r="C81" s="45"/>
      <c r="D81" s="45"/>
      <c r="E81" s="45"/>
      <c r="F81" s="45"/>
      <c r="G81" s="45"/>
      <c r="H81" s="45"/>
      <c r="I81" s="46"/>
      <c r="J81" s="47"/>
      <c r="K81" s="48"/>
      <c r="L81" s="48"/>
      <c r="M81" s="49"/>
      <c r="N81" s="97" t="s">
        <v>52</v>
      </c>
      <c r="O81" s="94"/>
      <c r="P81" s="94"/>
      <c r="Q81" s="94"/>
      <c r="R81" s="94">
        <f>SUM(R71:S80)</f>
        <v>8.3699999999999992</v>
      </c>
      <c r="S81" s="94"/>
      <c r="T81" s="94">
        <f t="shared" ref="T81" si="20">SUM(T71:U80)</f>
        <v>7.36</v>
      </c>
      <c r="U81" s="94"/>
      <c r="V81" s="94">
        <f t="shared" ref="V81" si="21">SUM(V71:W80)</f>
        <v>1.01</v>
      </c>
      <c r="W81" s="94"/>
      <c r="X81" s="18"/>
      <c r="Y81" s="18"/>
      <c r="Z81" s="19"/>
      <c r="AA81" s="28">
        <f>SUM(AA71:AA80)</f>
        <v>29.5</v>
      </c>
    </row>
    <row r="82" spans="1:27" ht="24" customHeight="1">
      <c r="A82" s="107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100"/>
      <c r="R82" s="97">
        <f>SUM(R12:S28,R31:S39,R42:S48,R51:S60,R63:S68,R71:S80)</f>
        <v>27.080000000000002</v>
      </c>
      <c r="S82" s="108"/>
      <c r="T82" s="97">
        <f>SUM(T12:U28,T31:U39,T42:U48,T51:U60,T63:U68,T71:U80)</f>
        <v>21.330000000000002</v>
      </c>
      <c r="U82" s="108"/>
      <c r="V82" s="97">
        <f>SUM(V12:W28,V31:W39,V42:W48,V51:W60,V63:W68,V71:W80)</f>
        <v>5.75</v>
      </c>
      <c r="W82" s="108"/>
      <c r="X82" s="18"/>
      <c r="Y82" s="18"/>
      <c r="Z82" s="19"/>
      <c r="AA82" s="40">
        <f>AA81+AA69+AA61+AA49+AA40+AA29</f>
        <v>99.5</v>
      </c>
    </row>
    <row r="83" spans="1:27">
      <c r="A83" s="98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100"/>
      <c r="R83" s="97"/>
      <c r="S83" s="108"/>
      <c r="T83" s="97"/>
      <c r="U83" s="108"/>
      <c r="V83" s="97"/>
      <c r="W83" s="94"/>
      <c r="X83" s="20"/>
      <c r="Y83" s="20"/>
      <c r="Z83" s="20"/>
      <c r="AA83" s="20"/>
    </row>
    <row r="84" spans="1:27">
      <c r="A84" s="17"/>
      <c r="B84" s="98" t="s">
        <v>106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100"/>
      <c r="N84" s="101">
        <v>0</v>
      </c>
      <c r="O84" s="102"/>
      <c r="P84" s="102"/>
      <c r="Q84" s="102"/>
      <c r="R84" s="102"/>
      <c r="S84" s="103"/>
      <c r="T84" s="104">
        <f>N84</f>
        <v>0</v>
      </c>
      <c r="U84" s="105"/>
      <c r="V84" s="104">
        <f>N84</f>
        <v>0</v>
      </c>
      <c r="W84" s="106"/>
      <c r="X84" s="20"/>
      <c r="Y84" s="20"/>
      <c r="Z84" s="20"/>
      <c r="AA84" s="20"/>
    </row>
    <row r="85" spans="1:27">
      <c r="A85" s="17"/>
      <c r="B85" s="98" t="s">
        <v>107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  <c r="N85" s="101">
        <v>0.1</v>
      </c>
      <c r="O85" s="102"/>
      <c r="P85" s="102"/>
      <c r="Q85" s="102"/>
      <c r="R85" s="102"/>
      <c r="S85" s="103"/>
      <c r="T85" s="104">
        <f>N85</f>
        <v>0.1</v>
      </c>
      <c r="U85" s="105"/>
      <c r="V85" s="104">
        <f>N85</f>
        <v>0.1</v>
      </c>
      <c r="W85" s="52"/>
      <c r="X85" s="20"/>
      <c r="Y85" s="20"/>
      <c r="Z85" s="20"/>
      <c r="AA85" s="20"/>
    </row>
    <row r="86" spans="1:27">
      <c r="A86" s="17"/>
      <c r="B86" s="98" t="s">
        <v>108</v>
      </c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100"/>
      <c r="N86" s="101">
        <v>0</v>
      </c>
      <c r="O86" s="102"/>
      <c r="P86" s="102"/>
      <c r="Q86" s="102"/>
      <c r="R86" s="102"/>
      <c r="S86" s="103"/>
      <c r="T86" s="104">
        <f>N86</f>
        <v>0</v>
      </c>
      <c r="U86" s="51"/>
      <c r="V86" s="104">
        <f>N86</f>
        <v>0</v>
      </c>
      <c r="W86" s="52"/>
      <c r="X86" s="20"/>
      <c r="Y86" s="20"/>
      <c r="Z86" s="20"/>
      <c r="AA86" s="20"/>
    </row>
    <row r="87" spans="1:27">
      <c r="A87" s="17"/>
      <c r="B87" s="98" t="s">
        <v>109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100"/>
      <c r="N87" s="101">
        <v>0</v>
      </c>
      <c r="O87" s="102"/>
      <c r="P87" s="102"/>
      <c r="Q87" s="102"/>
      <c r="R87" s="102"/>
      <c r="S87" s="103"/>
      <c r="T87" s="104">
        <f>N87</f>
        <v>0</v>
      </c>
      <c r="U87" s="51"/>
      <c r="V87" s="104">
        <f>N87</f>
        <v>0</v>
      </c>
      <c r="W87" s="52"/>
      <c r="X87" s="20"/>
      <c r="Y87" s="20"/>
      <c r="Z87" s="20"/>
      <c r="AA87" s="20"/>
    </row>
    <row r="88" spans="1:27">
      <c r="A88" s="24"/>
      <c r="B88" s="109" t="s">
        <v>110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1"/>
      <c r="R88" s="112"/>
      <c r="S88" s="113"/>
      <c r="T88" s="114">
        <f>SUM(T84:U87)</f>
        <v>0.1</v>
      </c>
      <c r="U88" s="115"/>
      <c r="V88" s="114">
        <f>SUM(V84:W87)</f>
        <v>0.1</v>
      </c>
      <c r="W88" s="116"/>
      <c r="X88" s="37"/>
      <c r="Y88" s="37"/>
      <c r="Z88" s="37"/>
      <c r="AA88" s="37"/>
    </row>
    <row r="89" spans="1:27">
      <c r="A89" s="117" t="s">
        <v>111</v>
      </c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91">
        <f>T89+V89</f>
        <v>29.788</v>
      </c>
      <c r="S89" s="91"/>
      <c r="T89" s="91">
        <f>(T82*T88)+T82</f>
        <v>23.463000000000001</v>
      </c>
      <c r="U89" s="91"/>
      <c r="V89" s="91">
        <f>(V82*V88)+V82</f>
        <v>6.3250000000000002</v>
      </c>
      <c r="W89" s="91"/>
      <c r="X89" s="20"/>
      <c r="Y89" s="20"/>
      <c r="Z89" s="20"/>
      <c r="AA89" s="20"/>
    </row>
    <row r="90" spans="1:27">
      <c r="T90" s="4" t="s">
        <v>113</v>
      </c>
    </row>
  </sheetData>
  <mergeCells count="439">
    <mergeCell ref="N61:Q61"/>
    <mergeCell ref="R61:S61"/>
    <mergeCell ref="T61:U61"/>
    <mergeCell ref="V61:W61"/>
    <mergeCell ref="B63:I63"/>
    <mergeCell ref="J63:M63"/>
    <mergeCell ref="N63:Q63"/>
    <mergeCell ref="R63:S63"/>
    <mergeCell ref="T63:U63"/>
    <mergeCell ref="V63:W63"/>
    <mergeCell ref="B88:Q88"/>
    <mergeCell ref="R88:S88"/>
    <mergeCell ref="T88:U88"/>
    <mergeCell ref="V88:W88"/>
    <mergeCell ref="A89:Q89"/>
    <mergeCell ref="R89:S89"/>
    <mergeCell ref="T89:U89"/>
    <mergeCell ref="V89:W89"/>
    <mergeCell ref="B86:M86"/>
    <mergeCell ref="N86:S86"/>
    <mergeCell ref="T86:U86"/>
    <mergeCell ref="V86:W86"/>
    <mergeCell ref="B87:M87"/>
    <mergeCell ref="N87:S87"/>
    <mergeCell ref="T87:U87"/>
    <mergeCell ref="V87:W87"/>
    <mergeCell ref="B84:M84"/>
    <mergeCell ref="N84:S84"/>
    <mergeCell ref="T84:U84"/>
    <mergeCell ref="V84:W84"/>
    <mergeCell ref="B85:M85"/>
    <mergeCell ref="N85:S85"/>
    <mergeCell ref="T85:U85"/>
    <mergeCell ref="V85:W85"/>
    <mergeCell ref="A82:Q82"/>
    <mergeCell ref="R82:S82"/>
    <mergeCell ref="T82:U82"/>
    <mergeCell ref="V82:W82"/>
    <mergeCell ref="A83:Q83"/>
    <mergeCell ref="R83:S83"/>
    <mergeCell ref="T83:U83"/>
    <mergeCell ref="V83:W83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N69:Q69"/>
    <mergeCell ref="R69:S69"/>
    <mergeCell ref="T69:U69"/>
    <mergeCell ref="V69:W69"/>
    <mergeCell ref="B71:I71"/>
    <mergeCell ref="J71:M71"/>
    <mergeCell ref="N71:Q71"/>
    <mergeCell ref="R71:S71"/>
    <mergeCell ref="T71:U71"/>
    <mergeCell ref="V71:W71"/>
    <mergeCell ref="B68:I68"/>
    <mergeCell ref="J68:M68"/>
    <mergeCell ref="N68:Q68"/>
    <mergeCell ref="R68:S68"/>
    <mergeCell ref="T68:U68"/>
    <mergeCell ref="V68:W68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4:I64"/>
    <mergeCell ref="J64:M64"/>
    <mergeCell ref="N64:Q64"/>
    <mergeCell ref="R64:S64"/>
    <mergeCell ref="T64:U64"/>
    <mergeCell ref="V64:W64"/>
    <mergeCell ref="B65:I65"/>
    <mergeCell ref="J65:M65"/>
    <mergeCell ref="N65:Q65"/>
    <mergeCell ref="R65:S65"/>
    <mergeCell ref="T65:U65"/>
    <mergeCell ref="V65:W65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60:I60"/>
    <mergeCell ref="J60:M60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N49:Q49"/>
    <mergeCell ref="R49:S49"/>
    <mergeCell ref="T49:U49"/>
    <mergeCell ref="V49:W49"/>
    <mergeCell ref="B51:I51"/>
    <mergeCell ref="J51:M51"/>
    <mergeCell ref="N51:Q51"/>
    <mergeCell ref="R51:S51"/>
    <mergeCell ref="T51:U51"/>
    <mergeCell ref="V51:W51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N40:Q40"/>
    <mergeCell ref="R40:S40"/>
    <mergeCell ref="T40:U40"/>
    <mergeCell ref="V40:W40"/>
    <mergeCell ref="B42:I42"/>
    <mergeCell ref="J42:M42"/>
    <mergeCell ref="N42:Q42"/>
    <mergeCell ref="R42:S42"/>
    <mergeCell ref="T42:U42"/>
    <mergeCell ref="V42:W42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8:I18"/>
    <mergeCell ref="J18:M18"/>
    <mergeCell ref="N18:Q18"/>
    <mergeCell ref="R18:S18"/>
    <mergeCell ref="T18:U18"/>
    <mergeCell ref="V18:W18"/>
    <mergeCell ref="B19:I19"/>
    <mergeCell ref="J19:M19"/>
    <mergeCell ref="N19:Q19"/>
    <mergeCell ref="R19:S19"/>
    <mergeCell ref="T19:U19"/>
    <mergeCell ref="V19:W19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A1:W1"/>
    <mergeCell ref="A2:W2"/>
    <mergeCell ref="A4:B4"/>
    <mergeCell ref="C4:G4"/>
    <mergeCell ref="J4:K4"/>
    <mergeCell ref="S4:T4"/>
    <mergeCell ref="U4:W4"/>
    <mergeCell ref="B11:I11"/>
    <mergeCell ref="J11:M11"/>
    <mergeCell ref="N11:Q11"/>
    <mergeCell ref="R11:S11"/>
    <mergeCell ref="T11:U11"/>
    <mergeCell ref="V11:W11"/>
    <mergeCell ref="A7:C7"/>
    <mergeCell ref="D7:AA8"/>
    <mergeCell ref="B10:I10"/>
    <mergeCell ref="J10:M10"/>
    <mergeCell ref="N10:Q10"/>
    <mergeCell ref="R10:S10"/>
    <mergeCell ref="T10:U10"/>
    <mergeCell ref="V10:W10"/>
    <mergeCell ref="B35:I35"/>
    <mergeCell ref="J35:M35"/>
    <mergeCell ref="N35:Q35"/>
    <mergeCell ref="R35:S35"/>
    <mergeCell ref="T35:U35"/>
    <mergeCell ref="V35:W35"/>
    <mergeCell ref="A5:B5"/>
    <mergeCell ref="C5:G5"/>
    <mergeCell ref="J5:K5"/>
    <mergeCell ref="L5:P5"/>
    <mergeCell ref="S5:T5"/>
    <mergeCell ref="U5:W5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</mergeCells>
  <pageMargins left="0.70866141732283472" right="0.19685039370078741" top="0.35433070866141736" bottom="0.51181102362204722" header="0.31496062992125984" footer="0.15748031496062992"/>
  <pageSetup paperSize="9" scale="34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2025-08-04T05:25:23Z</cp:lastPrinted>
  <dcterms:created xsi:type="dcterms:W3CDTF">2025-02-04T11:45:06Z</dcterms:created>
  <dcterms:modified xsi:type="dcterms:W3CDTF">2026-02-03T10:50:37Z</dcterms:modified>
  <cp:category/>
  <cp:contentStatus/>
</cp:coreProperties>
</file>