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18B5BAFC-51A3-4478-BD7B-6A2EB6487A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verall " sheetId="15" r:id="rId1"/>
    <sheet name="L1" sheetId="16" r:id="rId2"/>
    <sheet name="L2" sheetId="7" r:id="rId3"/>
    <sheet name="L3" sheetId="8" r:id="rId4"/>
    <sheet name="L4" sheetId="10" r:id="rId5"/>
    <sheet name="L5" sheetId="11" r:id="rId6"/>
    <sheet name="L6" sheetId="12" r:id="rId7"/>
    <sheet name="L7" sheetId="13" r:id="rId8"/>
    <sheet name="L8" sheetId="14" r:id="rId9"/>
    <sheet name="L9" sheetId="17" r:id="rId10"/>
    <sheet name="L10" sheetId="18" r:id="rId11"/>
    <sheet name="L11" sheetId="19" r:id="rId12"/>
  </sheets>
  <definedNames>
    <definedName name="_xlnm._FilterDatabase" localSheetId="2" hidden="1">'L2'!$B$7:$I$7</definedName>
    <definedName name="_xlnm._FilterDatabase" localSheetId="3" hidden="1">'L3'!$B$7:$I$7</definedName>
    <definedName name="_xlnm._FilterDatabase" localSheetId="4" hidden="1">'L4'!$C$8:$J$8</definedName>
    <definedName name="_xlnm._FilterDatabase" localSheetId="5" hidden="1">'L5'!$C$8:$J$8</definedName>
    <definedName name="_xlnm._FilterDatabase" localSheetId="6" hidden="1">'L6'!$C$8:$J$8</definedName>
    <definedName name="_xlnm._FilterDatabase" localSheetId="7" hidden="1">'L7'!$C$8:$J$8</definedName>
    <definedName name="_xlnm._FilterDatabase" localSheetId="8" hidden="1">'L8'!$C$7:$J$7</definedName>
    <definedName name="_xlnm._FilterDatabase" localSheetId="9" hidden="1">'L9'!$C$8:$J$8</definedName>
    <definedName name="_xlnm._FilterDatabase" localSheetId="10" hidden="1">'L10'!$C$8:$J$8</definedName>
    <definedName name="_xlnm._FilterDatabase" localSheetId="11" hidden="1">'L11'!$C$8:$J$8</definedName>
    <definedName name="_xlnm._FilterDatabase" localSheetId="1" hidden="1">'L1'!$C$8:$J$8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9" l="1"/>
  <c r="I40" i="19"/>
  <c r="I33" i="19"/>
  <c r="I29" i="19"/>
  <c r="I22" i="19"/>
  <c r="I18" i="19"/>
  <c r="I10" i="19"/>
  <c r="I48" i="18"/>
  <c r="I10" i="18"/>
  <c r="I46" i="18"/>
  <c r="I38" i="18"/>
  <c r="I30" i="18"/>
  <c r="I26" i="18"/>
  <c r="J10" i="18" s="1"/>
  <c r="I21" i="18"/>
  <c r="I18" i="18"/>
  <c r="I42" i="17"/>
  <c r="I29" i="17"/>
  <c r="I21" i="17"/>
  <c r="I57" i="17"/>
  <c r="I47" i="17"/>
  <c r="I36" i="17"/>
  <c r="I14" i="17"/>
  <c r="I10" i="17"/>
  <c r="J10" i="17" s="1"/>
  <c r="I25" i="14"/>
  <c r="I48" i="16"/>
  <c r="I39" i="16"/>
  <c r="I34" i="16"/>
  <c r="I24" i="16"/>
  <c r="I18" i="16"/>
  <c r="I10" i="16"/>
  <c r="I59" i="14"/>
  <c r="I49" i="14"/>
  <c r="I47" i="14"/>
  <c r="I40" i="14"/>
  <c r="I34" i="14"/>
  <c r="I18" i="14"/>
  <c r="I8" i="14"/>
  <c r="J8" i="14" s="1"/>
  <c r="I10" i="12"/>
  <c r="I67" i="13"/>
  <c r="I54" i="13"/>
  <c r="I52" i="13"/>
  <c r="I44" i="13"/>
  <c r="I36" i="13"/>
  <c r="I29" i="13"/>
  <c r="I20" i="13"/>
  <c r="I10" i="13"/>
  <c r="J10" i="13"/>
  <c r="I68" i="12"/>
  <c r="I56" i="12"/>
  <c r="I39" i="12"/>
  <c r="I54" i="12"/>
  <c r="I47" i="12"/>
  <c r="I30" i="12"/>
  <c r="I19" i="12"/>
  <c r="I54" i="11"/>
  <c r="I50" i="11"/>
  <c r="I42" i="11"/>
  <c r="I17" i="11"/>
  <c r="I28" i="11"/>
  <c r="I37" i="11"/>
  <c r="I10" i="11"/>
  <c r="I63" i="11"/>
  <c r="I56" i="10"/>
  <c r="I48" i="10"/>
  <c r="I44" i="10"/>
  <c r="I39" i="10"/>
  <c r="I32" i="10"/>
  <c r="I26" i="10"/>
  <c r="I20" i="10"/>
  <c r="I10" i="10"/>
  <c r="H46" i="8"/>
  <c r="H38" i="8"/>
  <c r="H31" i="8"/>
  <c r="H25" i="8"/>
  <c r="H19" i="8"/>
  <c r="H9" i="8"/>
  <c r="H45" i="7"/>
  <c r="H37" i="7"/>
  <c r="H31" i="7"/>
  <c r="H22" i="7"/>
  <c r="H16" i="7"/>
  <c r="H9" i="7"/>
  <c r="J10" i="12" l="1"/>
</calcChain>
</file>

<file path=xl/sharedStrings.xml><?xml version="1.0" encoding="utf-8"?>
<sst xmlns="http://schemas.openxmlformats.org/spreadsheetml/2006/main" count="1469" uniqueCount="335">
  <si>
    <t>MACHINES  DETAILS  OF  KPR</t>
  </si>
  <si>
    <t>S.NO.</t>
  </si>
  <si>
    <t>machine make</t>
  </si>
  <si>
    <t xml:space="preserve">MACHINES </t>
  </si>
  <si>
    <t>quantity</t>
  </si>
  <si>
    <t>line &amp; section</t>
  </si>
  <si>
    <t>Voltas</t>
  </si>
  <si>
    <t>AC</t>
  </si>
  <si>
    <t>utility</t>
  </si>
  <si>
    <t>KAY INTERNATIONAL LTD,KIRLOSKAR</t>
  </si>
  <si>
    <t>AIR BLOWER</t>
  </si>
  <si>
    <t>MEGHADOOTH</t>
  </si>
  <si>
    <t>AIR WATER GENERATOR</t>
  </si>
  <si>
    <t xml:space="preserve">utility </t>
  </si>
  <si>
    <t>NGHAI SHING</t>
  </si>
  <si>
    <t>ARM HOLE PRESSING MACHINE</t>
  </si>
  <si>
    <t>line 7 , back</t>
  </si>
  <si>
    <t>BACK YOKE PRESSING MACHINE</t>
  </si>
  <si>
    <t>line 7 ,assembly</t>
  </si>
  <si>
    <t>BACK YOKE STACKER</t>
  </si>
  <si>
    <t>line 9,[front , sleeve, assembly]</t>
  </si>
  <si>
    <t>EASTMAN</t>
  </si>
  <si>
    <t>BAND KNIFE MACHINE</t>
  </si>
  <si>
    <t>cutting, assembly</t>
  </si>
  <si>
    <t>LAGUNA</t>
  </si>
  <si>
    <t>BARCODE SCANNER</t>
  </si>
  <si>
    <t>line 1, assembly</t>
  </si>
  <si>
    <t>JUKI</t>
  </si>
  <si>
    <t>BARTACK</t>
  </si>
  <si>
    <t>Line-11</t>
  </si>
  <si>
    <t>Line-8</t>
  </si>
  <si>
    <t>IDLE</t>
  </si>
  <si>
    <t>Line-9</t>
  </si>
  <si>
    <t>Line-1</t>
  </si>
  <si>
    <t>NGAI SHING</t>
  </si>
  <si>
    <t>BIAS FOLDING MACHINE</t>
  </si>
  <si>
    <t>Linee 10 , finishing</t>
  </si>
  <si>
    <t>MACPI</t>
  </si>
  <si>
    <t>BODY PRESSING MACHINE</t>
  </si>
  <si>
    <t>Line-11,MODULAR LINE</t>
  </si>
  <si>
    <t>MAXTERM</t>
  </si>
  <si>
    <t>BOILER</t>
  </si>
  <si>
    <t>1000 KG BOILER</t>
  </si>
  <si>
    <t>BUTTON HOLE</t>
  </si>
  <si>
    <t>line 1 - (9)---- Sleeve : 1 , front : 2 , collar : 3 , cuff : 2 , idle : 1</t>
  </si>
  <si>
    <t>line 2 - (7)---- Sleeve : 1 , front : 2 , collar : 1 , assembly : 3</t>
  </si>
  <si>
    <t>line 3 - (8)---- Sleeve : 2 , front : 2 , collar : 3 , cuff : 1</t>
  </si>
  <si>
    <t>line 4 - (4)----  front : 2 , collar : 2</t>
  </si>
  <si>
    <t>line 5 - (6)----  front : 2 , collar : 3 , cuff : 1</t>
  </si>
  <si>
    <t>line 6 - (7)---- Sleeve : 1 , front : 2 , collar : 3 , cuff : 1</t>
  </si>
  <si>
    <t>line 7 - (7)---- Sleeve : 1 , front : 2 , collar : 3 , cuff : 1</t>
  </si>
  <si>
    <t>line 8 - (5)---- Sleeve : 1 , front : 1 , collar : 2 , cuff : 1</t>
  </si>
  <si>
    <t>line 9- (6)----  front : 1 , assembly : 1 , rebuttoning : 4</t>
  </si>
  <si>
    <t>line 10 - (3)---- front : 2 , rebuttoning : 1</t>
  </si>
  <si>
    <t>rebuttoning - 1</t>
  </si>
  <si>
    <t>BUTTON STITCH</t>
  </si>
  <si>
    <t xml:space="preserve">line 1 (15) ------- Front : 8, sleeve : 3 , cuff : 1, assembly : 3 </t>
  </si>
  <si>
    <t>line 2 (7) ------- Front : 4, collar : 1 , cuff : 1, assembly : 1</t>
  </si>
  <si>
    <t>line 3 (7) ------- Front : 1, collar : 1 , cuff : 5</t>
  </si>
  <si>
    <t>line 4 - 0</t>
  </si>
  <si>
    <t>line 5 (3) -------  Collar : 2 , cuff : 1</t>
  </si>
  <si>
    <t xml:space="preserve">line 6 (8) ------- Front : 2, collar : 2 , cuff : 1, assembly : 3 </t>
  </si>
  <si>
    <t xml:space="preserve">line 7 (4) ------- Front : 1, sleeve : 1 , cuff : 1, collar : 1 </t>
  </si>
  <si>
    <t>line 8 (2) ------- cuff : 1, collar: 1</t>
  </si>
  <si>
    <t xml:space="preserve">line 9 (2) ------- cuff : 2 </t>
  </si>
  <si>
    <t xml:space="preserve">line 10 ------- Front : 1, collar : 1 , cuff : 1, assembly : 1 </t>
  </si>
  <si>
    <t xml:space="preserve">line 11 (2) ------- back : 1, collar : 1  </t>
  </si>
  <si>
    <t>MACPI , NGHAI SHING</t>
  </si>
  <si>
    <t>COLLAR &amp; CUFF PRESSING MACHINE</t>
  </si>
  <si>
    <t>line1  &amp; line 2 = 0</t>
  </si>
  <si>
    <t>line 3 -  0 &amp; line 4 = 4 machine in back section.</t>
  </si>
  <si>
    <t xml:space="preserve">line 5 (1) : front </t>
  </si>
  <si>
    <t>line 7 (2)- Front : 1, back : 1</t>
  </si>
  <si>
    <t xml:space="preserve">line 8 (2) - </t>
  </si>
  <si>
    <t>NGHAI SHING, CP</t>
  </si>
  <si>
    <t>COLLAR BLOCKING MACHINE</t>
  </si>
  <si>
    <t>line 1 (3) - collar - 3</t>
  </si>
  <si>
    <t>line 2 (2) - collar - 2</t>
  </si>
  <si>
    <t>line 3 (2) - cuff -1 , collar - 1</t>
  </si>
  <si>
    <t>line 4 (1) - collar - 1</t>
  </si>
  <si>
    <t>line 5 (1) - cuff - 1</t>
  </si>
  <si>
    <t>line 6 (1) - assembly - 1</t>
  </si>
  <si>
    <t>line 7 (3) - Sleeve :1, cuff:1, assembly :1</t>
  </si>
  <si>
    <t>line 8 (1) - collar : 1</t>
  </si>
  <si>
    <t>line 9 (2) - cuff : 1, assembly : 1</t>
  </si>
  <si>
    <t>line 10 (4) - assembly :2 , collar :1 , back :1</t>
  </si>
  <si>
    <t>line 11 (1) - assembly : 1</t>
  </si>
  <si>
    <t>COLLAR NOTCH</t>
  </si>
  <si>
    <t xml:space="preserve">line 1 (1) - collar : 1 </t>
  </si>
  <si>
    <t xml:space="preserve">Line-2 (1) - collar : 1 </t>
  </si>
  <si>
    <t xml:space="preserve">Line-3 (1) - collar : 1 </t>
  </si>
  <si>
    <t xml:space="preserve">Line-4 (1) - collar : 1  </t>
  </si>
  <si>
    <t>line 5 (1) - cuff : 1</t>
  </si>
  <si>
    <t>line 6 (1) - back : 1</t>
  </si>
  <si>
    <t>line 7 (1) - collar : 1</t>
  </si>
  <si>
    <t>line 8 (1) - sleeve : 1</t>
  </si>
  <si>
    <t>line 9 (2) - front : 1</t>
  </si>
  <si>
    <t xml:space="preserve">line 10 (1) - collar :1 </t>
  </si>
  <si>
    <t>line 11 (1) - collar :1</t>
  </si>
  <si>
    <t>COLLAR ROUND PRESSING MACHINE</t>
  </si>
  <si>
    <t>line 4 - back : 1</t>
  </si>
  <si>
    <t>line 5 - front : 1</t>
  </si>
  <si>
    <t>line 7 - front : 1</t>
  </si>
  <si>
    <t>line 8 - assembly : 1</t>
  </si>
  <si>
    <t>ELGI , KIRLOSKAR</t>
  </si>
  <si>
    <t>COMPRESSOR</t>
  </si>
  <si>
    <t>CONTOUR TRIMMING MACHINE</t>
  </si>
  <si>
    <t xml:space="preserve">line 1 </t>
  </si>
  <si>
    <t xml:space="preserve">Line 2 </t>
  </si>
  <si>
    <t xml:space="preserve">Line 3 </t>
  </si>
  <si>
    <t xml:space="preserve">Line 4 (1) - collar : 1  </t>
  </si>
  <si>
    <t xml:space="preserve">line 5 </t>
  </si>
  <si>
    <t xml:space="preserve">line 6 (1) - collar : 1  </t>
  </si>
  <si>
    <t>line 9</t>
  </si>
  <si>
    <t>NGHAI SHING ,  CP</t>
  </si>
  <si>
    <t>CUFF BLOCKING MACHINE</t>
  </si>
  <si>
    <t>LINE 1 - cuff :2 , assembly :2</t>
  </si>
  <si>
    <t>line 4 - cuff : 1 , assembly : 1</t>
  </si>
  <si>
    <t>line 5 -  assembly : 1</t>
  </si>
  <si>
    <t>line 6 - assembly :1</t>
  </si>
  <si>
    <t>line 9 - cuff :2</t>
  </si>
  <si>
    <t xml:space="preserve">CUMMINS	</t>
  </si>
  <si>
    <t>DG</t>
  </si>
  <si>
    <t>N/A</t>
  </si>
  <si>
    <t>DIE BENDING MACHINE</t>
  </si>
  <si>
    <t xml:space="preserve">cutting </t>
  </si>
  <si>
    <t>DIE CLICK CUTTING MACHINE</t>
  </si>
  <si>
    <t>sewing - line 2 (assembly)</t>
  </si>
  <si>
    <t>DOUBLE NEEDLE CHAIN STITCH</t>
  </si>
  <si>
    <t xml:space="preserve">sewing (38) : line 1 - sewing (6)                                                                             line 2 : sewing - 4 , finishing - 1 </t>
  </si>
  <si>
    <t xml:space="preserve">DOUBLE NEEDLE LOCKSTITCH </t>
  </si>
  <si>
    <t>sewing - 4, finishing-12</t>
  </si>
  <si>
    <t>DRYER</t>
  </si>
  <si>
    <t>BARUDAN</t>
  </si>
  <si>
    <t>EMBROIDERY MACHINE</t>
  </si>
  <si>
    <t>sewing</t>
  </si>
  <si>
    <t>END CUTTER MACHINE</t>
  </si>
  <si>
    <t>FABRIC DRILLING MACHINE</t>
  </si>
  <si>
    <t>RAMSONS</t>
  </si>
  <si>
    <t xml:space="preserve">FABRIC INSPECTION MACHINE </t>
  </si>
  <si>
    <t>cutting-1, utility-1</t>
  </si>
  <si>
    <t>EDGE</t>
  </si>
  <si>
    <t>FABRIC RELAXATION</t>
  </si>
  <si>
    <t>finishing</t>
  </si>
  <si>
    <t>FEED OFF ARM</t>
  </si>
  <si>
    <t>sewing -10, finishing - 20</t>
  </si>
  <si>
    <t>FOLDING TABLE</t>
  </si>
  <si>
    <t>SRIYON CONTROLS</t>
  </si>
  <si>
    <t>FORK BATTERY CHARGER</t>
  </si>
  <si>
    <t>MINI</t>
  </si>
  <si>
    <t>FORK LIFT</t>
  </si>
  <si>
    <t>FRONT PLACKET CUTTING MACHINE</t>
  </si>
  <si>
    <t>NGHAI SHING, NISSION</t>
  </si>
  <si>
    <t>FRONT PLACKET PRESSING MACHINE</t>
  </si>
  <si>
    <t>VEIT , MASTER ENTERPRISES</t>
  </si>
  <si>
    <t>FUSING MACHINE</t>
  </si>
  <si>
    <t>cutting -3, sewing -2</t>
  </si>
  <si>
    <t>FUSING MASTER</t>
  </si>
  <si>
    <t>FUSING MACHINE CONVEYOR</t>
  </si>
  <si>
    <t>BOSCH ,EXTRA POWER</t>
  </si>
  <si>
    <t>GRINDING MACHINE</t>
  </si>
  <si>
    <t>GUSSET PRESSING MACHINE</t>
  </si>
  <si>
    <t>HT YARD</t>
  </si>
  <si>
    <t>INVERTER</t>
  </si>
  <si>
    <t>NGHAI SHING , RAMSONS</t>
  </si>
  <si>
    <t>IRON TABLE</t>
  </si>
  <si>
    <t>finishing - 13 , sewing - 110</t>
  </si>
  <si>
    <t>KANSAI</t>
  </si>
  <si>
    <t>CUT &amp; SEW</t>
  </si>
  <si>
    <t>AVERY DENNISON</t>
  </si>
  <si>
    <t>LABEL PRESSING MACHINE</t>
  </si>
  <si>
    <t>YUKEN</t>
  </si>
  <si>
    <t>LIFT</t>
  </si>
  <si>
    <t>GITHA</t>
  </si>
  <si>
    <t>MANUAL FORK MACHINE</t>
  </si>
  <si>
    <t>HASHIMA</t>
  </si>
  <si>
    <t>METAL DETECTOR MACHINE</t>
  </si>
  <si>
    <t>sewing -2, finishing - 2</t>
  </si>
  <si>
    <t>NECK BAND TURNING MACHINE</t>
  </si>
  <si>
    <t>JUKI , HIGHLEAD ,TYPICAL,PEGASUS</t>
  </si>
  <si>
    <t>OVERLOCK</t>
  </si>
  <si>
    <t>sewing - 32 , finishing - 46</t>
  </si>
  <si>
    <t>I-CUBE</t>
  </si>
  <si>
    <t>PANEL BOARD</t>
  </si>
  <si>
    <t>SUPREME ,  JUKI</t>
  </si>
  <si>
    <t>PATTERN SEWER MACHINE</t>
  </si>
  <si>
    <t>POST BED MACHINE</t>
  </si>
  <si>
    <t>KIRLOSKAR BROTHER , JHONSON PUMP</t>
  </si>
  <si>
    <t>PUMP</t>
  </si>
  <si>
    <t>WHIRLPOOL</t>
  </si>
  <si>
    <t>REFRIGERATOR</t>
  </si>
  <si>
    <t>RIGHT HEM STACKER</t>
  </si>
  <si>
    <t>RO DEALS</t>
  </si>
  <si>
    <t>RO PLANT</t>
  </si>
  <si>
    <t>ROTARY FUSING MACHINE</t>
  </si>
  <si>
    <t>SAND FILTER</t>
  </si>
  <si>
    <t>ROOTS</t>
  </si>
  <si>
    <t>SCRUBBER MACHINE</t>
  </si>
  <si>
    <t>SELF FOLDING MACHINE</t>
  </si>
  <si>
    <t>NISSION</t>
  </si>
  <si>
    <t>SIDE SEAM PRESSING MACHINE</t>
  </si>
  <si>
    <t>sewing - line 6 &amp; 7 (assembly)</t>
  </si>
  <si>
    <t>JUKI , BROTHER , HIGHLEAD</t>
  </si>
  <si>
    <t>SINGLE NEEDLE EDGE CUTTING</t>
  </si>
  <si>
    <t xml:space="preserve">sewing - </t>
  </si>
  <si>
    <t>JUKI , BROTHER , PFAFF, SUN STAR , DURK OF ADLER</t>
  </si>
  <si>
    <t>SNLS</t>
  </si>
  <si>
    <t xml:space="preserve">Sewing  &amp; finishing </t>
  </si>
  <si>
    <t>SLEEVE PLACKET CREASING MACHINE</t>
  </si>
  <si>
    <t>SLITTING MACHINE</t>
  </si>
  <si>
    <t>SPOT WASH MACHINE</t>
  </si>
  <si>
    <t>Finishing - 1 (line 1) , sewing - 3(line 9,5,8 )</t>
  </si>
  <si>
    <t>STRAIGHT KNIFE MACHINE</t>
  </si>
  <si>
    <t>cutting section - cuff, collar, assembly, back , training room</t>
  </si>
  <si>
    <t>VENTURA OMNITECH</t>
  </si>
  <si>
    <t>STRAPPING MACHINE</t>
  </si>
  <si>
    <t>cutting</t>
  </si>
  <si>
    <t>RAMSONS , LAGUNA</t>
  </si>
  <si>
    <t>THREAD SUCKING MACHINE</t>
  </si>
  <si>
    <t>sewing &amp; finishing</t>
  </si>
  <si>
    <t>TRIM &amp; TURN MACHINE</t>
  </si>
  <si>
    <t>TRIPLE HEAD FRONT PLACKET PRESSING MACHINE</t>
  </si>
  <si>
    <t>sewing (line 7)</t>
  </si>
  <si>
    <t>ONLINE UPS</t>
  </si>
  <si>
    <t>UPS</t>
  </si>
  <si>
    <t>V-PATCH</t>
  </si>
  <si>
    <t>WASHING DRYER</t>
  </si>
  <si>
    <t>SAMSUNG</t>
  </si>
  <si>
    <t>WASHING MACHINE</t>
  </si>
  <si>
    <t>NIKITH , GB KORE ARC</t>
  </si>
  <si>
    <t>WELDING MACHINE</t>
  </si>
  <si>
    <t>ESSAE , CONTECH , SURYA</t>
  </si>
  <si>
    <t>WEIGHING MACHINE</t>
  </si>
  <si>
    <t>Finishing (line 8)</t>
  </si>
  <si>
    <t>MMS , SAKHO</t>
  </si>
  <si>
    <t>WRAPPING MACHINE</t>
  </si>
  <si>
    <t>sewing -      line 4 (3)</t>
  </si>
  <si>
    <t>line 8(2)</t>
  </si>
  <si>
    <t>line 11 (2)</t>
  </si>
  <si>
    <t xml:space="preserve">finishing -   line 2 (1) , </t>
  </si>
  <si>
    <t xml:space="preserve">LINE WISE MACHINE DETAILS </t>
  </si>
  <si>
    <t>LINE WISE</t>
  </si>
  <si>
    <t>DEPARTMENTS</t>
  </si>
  <si>
    <t>SECTIONS</t>
  </si>
  <si>
    <t>MACHINE  MAKE</t>
  </si>
  <si>
    <t>MACHINE TYPE</t>
  </si>
  <si>
    <t>Machine Count</t>
  </si>
  <si>
    <t>Total  MACHINES</t>
  </si>
  <si>
    <t>OVERALL  MACHINES</t>
  </si>
  <si>
    <t>LINE 1</t>
  </si>
  <si>
    <t>SEWING</t>
  </si>
  <si>
    <t>COLLAR</t>
  </si>
  <si>
    <t xml:space="preserve">JUKI </t>
  </si>
  <si>
    <t>SINGLE NEEDLE LOCKSTITCH</t>
  </si>
  <si>
    <t xml:space="preserve">BUTTON HOLE </t>
  </si>
  <si>
    <t xml:space="preserve">COLLAR BLOCKING MACHINE </t>
  </si>
  <si>
    <t xml:space="preserve">COLLAR NOTCH </t>
  </si>
  <si>
    <t xml:space="preserve">IRON TABLE </t>
  </si>
  <si>
    <t>SUPREME</t>
  </si>
  <si>
    <t>BROTHER</t>
  </si>
  <si>
    <t>CUFF</t>
  </si>
  <si>
    <t>JUKI , BROTHER</t>
  </si>
  <si>
    <t xml:space="preserve">SINGLE NEEDLE LOCKSTITCH </t>
  </si>
  <si>
    <t xml:space="preserve">BUTTON STITCH </t>
  </si>
  <si>
    <t>CP</t>
  </si>
  <si>
    <t xml:space="preserve">CUFF BLOCKING MACHINE </t>
  </si>
  <si>
    <t xml:space="preserve">FRONT </t>
  </si>
  <si>
    <t xml:space="preserve">JUKI , BROTHER </t>
  </si>
  <si>
    <t>IRON TABLE (2)</t>
  </si>
  <si>
    <t>MNT</t>
  </si>
  <si>
    <t xml:space="preserve">BACK </t>
  </si>
  <si>
    <t>SLEEVE</t>
  </si>
  <si>
    <t>MODULAR LINE</t>
  </si>
  <si>
    <t xml:space="preserve">DOUBLE NEEDLE CHAIN STITCH </t>
  </si>
  <si>
    <t xml:space="preserve">ASSEMBLY </t>
  </si>
  <si>
    <t>JUKI (16) , BROTHER (5)</t>
  </si>
  <si>
    <t>GUSSET PRESSING MACHINE (2)</t>
  </si>
  <si>
    <t>VEIT</t>
  </si>
  <si>
    <t>DOUBLE NEEDLE CHAIN STITCH (4)</t>
  </si>
  <si>
    <t>PEGASUS</t>
  </si>
  <si>
    <t>FINISHING</t>
  </si>
  <si>
    <t>MACHINE COUNT</t>
  </si>
  <si>
    <t>ALLOCATED  MACHINES</t>
  </si>
  <si>
    <t>TOTAL  MACHINES</t>
  </si>
  <si>
    <t>LINE 2</t>
  </si>
  <si>
    <t xml:space="preserve">SINGLE NEEDLE EDGE CUTTING </t>
  </si>
  <si>
    <t xml:space="preserve">FABRIC DRILLING MACHINE </t>
  </si>
  <si>
    <t xml:space="preserve">BACK YOKE STACKER </t>
  </si>
  <si>
    <t xml:space="preserve">DIE CLICK CUTTING MACHINE </t>
  </si>
  <si>
    <t>MMS</t>
  </si>
  <si>
    <t>TOATAL  MACHINES</t>
  </si>
  <si>
    <t>LINE 3</t>
  </si>
  <si>
    <t>SINGLE NEEDLE LOCKSTITCH (5)</t>
  </si>
  <si>
    <t>BUTTON HOLE (3)</t>
  </si>
  <si>
    <t>COLLAR BLOCKING MACHINE (1)</t>
  </si>
  <si>
    <t>COLLAR NOTCH (1)</t>
  </si>
  <si>
    <t>TRIM &amp; TURN MACHINE (1)</t>
  </si>
  <si>
    <t>HIGHLEAD</t>
  </si>
  <si>
    <t xml:space="preserve">BUTTON STITCH (3) </t>
  </si>
  <si>
    <t>IRON TABLE (3)</t>
  </si>
  <si>
    <t>SINGLE NEEDLE LOCKSTITCH (1)</t>
  </si>
  <si>
    <t>BUTTON STITCH (5)</t>
  </si>
  <si>
    <t>SINGLE NEEDLE LOCKSTITCH (2)</t>
  </si>
  <si>
    <t>BUTTON STITCH (1)</t>
  </si>
  <si>
    <t>BUTTON HOLE (2)</t>
  </si>
  <si>
    <t>JUKI , BROTHER (1)</t>
  </si>
  <si>
    <t>SINGLE NEEDLE LOCKSTITCH (10)</t>
  </si>
  <si>
    <t>PATTERN SEWER MACHINE (4)</t>
  </si>
  <si>
    <t>BACK YOKE STACKER (2)</t>
  </si>
  <si>
    <t>DOUBLE NEEDLE CHAIN STITCH (3)</t>
  </si>
  <si>
    <t>JUKI (9) , BROTHER (3)</t>
  </si>
  <si>
    <t>SINGLE NEEDLE LOCKSTITCH (12)</t>
  </si>
  <si>
    <t>DIE CLICK CUTTING MACHINE (2)</t>
  </si>
  <si>
    <t>LINE 4</t>
  </si>
  <si>
    <t>JUKI , BROTHER (2)</t>
  </si>
  <si>
    <t>MASTER ENTERPRISES</t>
  </si>
  <si>
    <t>JUKI (32) , BROTHER (1)</t>
  </si>
  <si>
    <t>Finishing</t>
  </si>
  <si>
    <t>LINE 5</t>
  </si>
  <si>
    <t>JUKI , BROTHER(10) , PFAFF</t>
  </si>
  <si>
    <t>JUKI , PEGASUS</t>
  </si>
  <si>
    <t>LINE 6</t>
  </si>
  <si>
    <t xml:space="preserve">JUKI , BROTHER(1) </t>
  </si>
  <si>
    <t>JUKI , BROTHER (4)</t>
  </si>
  <si>
    <t>LINE 7</t>
  </si>
  <si>
    <t>JUKI , BROTHER (5)</t>
  </si>
  <si>
    <t>JUKI , PEGASUS , HIGHLEAD</t>
  </si>
  <si>
    <t>LINE 8</t>
  </si>
  <si>
    <t>BACK</t>
  </si>
  <si>
    <t>LINE 9</t>
  </si>
  <si>
    <t>RE-BUTTONING</t>
  </si>
  <si>
    <t>LINE 10</t>
  </si>
  <si>
    <t>SOLID</t>
  </si>
  <si>
    <t>LINE 11</t>
  </si>
  <si>
    <t>SAKHO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</si>
</sst>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Arial"/>
      <scheme val="minor"/>
    </font>
    <font>
      <sz val="9"/>
      <color rgb="FF000000"/>
      <name val="Calibri"/>
      <scheme val="minor"/>
    </font>
    <font>
      <sz val="11"/>
      <color theme="1"/>
      <name val="Calibri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8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18" xfId="0" applyBorder="1" applyAlignment="1">
      <alignment wrapText="1"/>
    </xf>
    <xf numFmtId="0" fontId="3" fillId="0" borderId="0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2" fillId="8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wrapText="1"/>
    </xf>
    <xf numFmtId="0" fontId="2" fillId="8" borderId="5" xfId="0" applyFont="1" applyFill="1" applyBorder="1" applyAlignment="1"/>
    <xf numFmtId="0" fontId="5" fillId="9" borderId="5" xfId="0" applyFont="1" applyFill="1" applyBorder="1" applyAlignment="1">
      <alignment vertical="center" wrapText="1"/>
    </xf>
    <xf numFmtId="0" fontId="5" fillId="5" borderId="5" xfId="0" applyFont="1" applyFill="1" applyBorder="1" applyAlignment="1"/>
    <xf numFmtId="0" fontId="2" fillId="10" borderId="5" xfId="0" applyFont="1" applyFill="1" applyBorder="1" applyAlignment="1"/>
    <xf numFmtId="0" fontId="5" fillId="5" borderId="5" xfId="0" applyFont="1" applyFill="1" applyBorder="1" applyAlignment="1">
      <alignment wrapText="1"/>
    </xf>
    <xf numFmtId="0" fontId="4" fillId="3" borderId="5" xfId="0" applyFont="1" applyFill="1" applyBorder="1" applyAlignment="1"/>
    <xf numFmtId="0" fontId="0" fillId="0" borderId="0" xfId="0" applyAlignment="1">
      <alignment horizontal="left"/>
    </xf>
    <xf numFmtId="0" fontId="3" fillId="0" borderId="37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2" borderId="32" xfId="0" applyFont="1" applyFill="1" applyBorder="1" applyAlignment="1">
      <alignment horizontal="left"/>
    </xf>
    <xf numFmtId="0" fontId="3" fillId="2" borderId="17" xfId="0" applyFont="1" applyFill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0" fillId="0" borderId="0" xfId="0" applyAlignment="1">
      <alignment horizontal="right"/>
    </xf>
    <xf numFmtId="0" fontId="3" fillId="0" borderId="37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3" fillId="0" borderId="35" xfId="0" applyFont="1" applyBorder="1" applyAlignment="1">
      <alignment horizontal="right"/>
    </xf>
    <xf numFmtId="0" fontId="3" fillId="2" borderId="20" xfId="0" applyFont="1" applyFill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left"/>
    </xf>
    <xf numFmtId="0" fontId="3" fillId="2" borderId="0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28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4" xfId="0" applyBorder="1" applyAlignment="1">
      <alignment horizontal="right"/>
    </xf>
    <xf numFmtId="0" fontId="3" fillId="2" borderId="14" xfId="0" applyFont="1" applyFill="1" applyBorder="1" applyAlignment="1">
      <alignment horizontal="left"/>
    </xf>
    <xf numFmtId="0" fontId="3" fillId="2" borderId="31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left"/>
    </xf>
    <xf numFmtId="0" fontId="3" fillId="2" borderId="35" xfId="0" applyFont="1" applyFill="1" applyBorder="1" applyAlignment="1">
      <alignment horizontal="left"/>
    </xf>
    <xf numFmtId="0" fontId="3" fillId="0" borderId="36" xfId="0" applyFont="1" applyBorder="1" applyAlignment="1">
      <alignment horizontal="right"/>
    </xf>
    <xf numFmtId="0" fontId="0" fillId="0" borderId="34" xfId="0" applyBorder="1" applyAlignment="1">
      <alignment horizontal="right"/>
    </xf>
    <xf numFmtId="0" fontId="3" fillId="0" borderId="39" xfId="0" applyFont="1" applyBorder="1" applyAlignment="1">
      <alignment horizontal="left"/>
    </xf>
    <xf numFmtId="0" fontId="3" fillId="0" borderId="23" xfId="0" applyFont="1" applyBorder="1" applyAlignment="1">
      <alignment horizontal="right"/>
    </xf>
    <xf numFmtId="0" fontId="3" fillId="0" borderId="24" xfId="0" applyFont="1" applyBorder="1" applyAlignment="1">
      <alignment horizontal="right"/>
    </xf>
    <xf numFmtId="0" fontId="3" fillId="2" borderId="24" xfId="0" applyFont="1" applyFill="1" applyBorder="1" applyAlignment="1">
      <alignment horizontal="right"/>
    </xf>
    <xf numFmtId="0" fontId="3" fillId="2" borderId="44" xfId="0" applyFont="1" applyFill="1" applyBorder="1" applyAlignment="1">
      <alignment horizontal="right"/>
    </xf>
    <xf numFmtId="0" fontId="3" fillId="2" borderId="25" xfId="0" applyFont="1" applyFill="1" applyBorder="1" applyAlignment="1">
      <alignment horizontal="right"/>
    </xf>
    <xf numFmtId="0" fontId="3" fillId="0" borderId="33" xfId="0" applyFont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left"/>
    </xf>
    <xf numFmtId="0" fontId="3" fillId="2" borderId="40" xfId="0" applyFont="1" applyFill="1" applyBorder="1" applyAlignment="1">
      <alignment horizontal="left"/>
    </xf>
    <xf numFmtId="0" fontId="3" fillId="2" borderId="41" xfId="0" applyFont="1" applyFill="1" applyBorder="1" applyAlignment="1">
      <alignment horizontal="left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3" fillId="0" borderId="40" xfId="0" applyFont="1" applyBorder="1" applyAlignment="1">
      <alignment horizontal="left"/>
    </xf>
    <xf numFmtId="0" fontId="3" fillId="0" borderId="41" xfId="0" applyFont="1" applyBorder="1" applyAlignment="1">
      <alignment horizontal="left"/>
    </xf>
    <xf numFmtId="0" fontId="3" fillId="2" borderId="39" xfId="0" applyFont="1" applyFill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7" xfId="0" applyBorder="1" applyAlignment="1">
      <alignment horizontal="right"/>
    </xf>
    <xf numFmtId="0" fontId="3" fillId="6" borderId="4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0" borderId="34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9" xfId="0" applyFont="1" applyBorder="1" applyAlignment="1">
      <alignment horizontal="right"/>
    </xf>
    <xf numFmtId="0" fontId="3" fillId="0" borderId="45" xfId="0" applyFont="1" applyBorder="1" applyAlignment="1">
      <alignment horizontal="right"/>
    </xf>
    <xf numFmtId="0" fontId="3" fillId="0" borderId="40" xfId="0" applyFont="1" applyBorder="1" applyAlignment="1">
      <alignment horizontal="right"/>
    </xf>
    <xf numFmtId="0" fontId="3" fillId="0" borderId="41" xfId="0" applyFont="1" applyBorder="1" applyAlignment="1">
      <alignment horizontal="right"/>
    </xf>
    <xf numFmtId="0" fontId="0" fillId="0" borderId="40" xfId="0" applyBorder="1" applyAlignment="1">
      <alignment horizontal="right"/>
    </xf>
    <xf numFmtId="0" fontId="0" fillId="0" borderId="41" xfId="0" applyBorder="1" applyAlignment="1">
      <alignment horizontal="right"/>
    </xf>
    <xf numFmtId="0" fontId="3" fillId="2" borderId="22" xfId="0" applyFont="1" applyFill="1" applyBorder="1" applyAlignment="1">
      <alignment horizontal="left"/>
    </xf>
    <xf numFmtId="0" fontId="0" fillId="0" borderId="22" xfId="0" applyBorder="1" applyAlignment="1">
      <alignment horizontal="right"/>
    </xf>
    <xf numFmtId="0" fontId="0" fillId="0" borderId="35" xfId="0" applyBorder="1" applyAlignment="1">
      <alignment horizontal="right"/>
    </xf>
    <xf numFmtId="0" fontId="3" fillId="0" borderId="46" xfId="0" applyFont="1" applyBorder="1" applyAlignment="1">
      <alignment horizontal="right"/>
    </xf>
    <xf numFmtId="0" fontId="0" fillId="0" borderId="17" xfId="0" applyBorder="1" applyAlignment="1">
      <alignment horizontal="left"/>
    </xf>
    <xf numFmtId="0" fontId="0" fillId="0" borderId="35" xfId="0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47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3" fillId="2" borderId="23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0" borderId="48" xfId="0" applyFont="1" applyBorder="1" applyAlignment="1">
      <alignment horizontal="center"/>
    </xf>
    <xf numFmtId="0" fontId="3" fillId="2" borderId="49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7" xfId="0" applyBorder="1" applyAlignment="1">
      <alignment horizontal="right"/>
    </xf>
    <xf numFmtId="0" fontId="0" fillId="0" borderId="34" xfId="0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5" fillId="8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2" borderId="17" xfId="0" applyFill="1" applyBorder="1" applyAlignment="1">
      <alignment horizontal="left"/>
    </xf>
    <xf numFmtId="0" fontId="3" fillId="2" borderId="37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right"/>
    </xf>
    <xf numFmtId="0" fontId="0" fillId="2" borderId="40" xfId="0" applyFill="1" applyBorder="1" applyAlignment="1">
      <alignment horizontal="right"/>
    </xf>
    <xf numFmtId="0" fontId="0" fillId="2" borderId="41" xfId="0" applyFill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37" xfId="0" applyFont="1" applyBorder="1" applyAlignment="1"/>
    <xf numFmtId="0" fontId="3" fillId="0" borderId="15" xfId="0" applyFont="1" applyBorder="1" applyAlignment="1"/>
    <xf numFmtId="0" fontId="3" fillId="0" borderId="22" xfId="0" applyFont="1" applyBorder="1" applyAlignment="1"/>
    <xf numFmtId="0" fontId="3" fillId="0" borderId="16" xfId="0" applyFont="1" applyBorder="1" applyAlignment="1"/>
    <xf numFmtId="0" fontId="3" fillId="0" borderId="40" xfId="0" applyFont="1" applyBorder="1" applyAlignment="1"/>
    <xf numFmtId="0" fontId="3" fillId="0" borderId="17" xfId="0" applyFont="1" applyBorder="1" applyAlignment="1"/>
    <xf numFmtId="0" fontId="3" fillId="0" borderId="23" xfId="0" applyFont="1" applyBorder="1" applyAlignment="1"/>
    <xf numFmtId="0" fontId="3" fillId="0" borderId="24" xfId="0" applyFont="1" applyBorder="1" applyAlignment="1"/>
    <xf numFmtId="0" fontId="3" fillId="2" borderId="24" xfId="0" applyFont="1" applyFill="1" applyBorder="1" applyAlignment="1"/>
    <xf numFmtId="0" fontId="3" fillId="0" borderId="28" xfId="0" applyFont="1" applyBorder="1" applyAlignment="1">
      <alignment horizontal="center"/>
    </xf>
    <xf numFmtId="0" fontId="3" fillId="2" borderId="22" xfId="0" applyFont="1" applyFill="1" applyBorder="1" applyAlignment="1"/>
    <xf numFmtId="0" fontId="3" fillId="2" borderId="35" xfId="0" applyFont="1" applyFill="1" applyBorder="1" applyAlignment="1"/>
    <xf numFmtId="0" fontId="3" fillId="2" borderId="33" xfId="0" applyFont="1" applyFill="1" applyBorder="1" applyAlignment="1">
      <alignment horizontal="right"/>
    </xf>
    <xf numFmtId="0" fontId="0" fillId="2" borderId="39" xfId="0" applyFill="1" applyBorder="1" applyAlignment="1">
      <alignment horizontal="right"/>
    </xf>
    <xf numFmtId="0" fontId="0" fillId="2" borderId="41" xfId="0" applyFill="1" applyBorder="1"/>
    <xf numFmtId="0" fontId="3" fillId="0" borderId="34" xfId="0" applyFont="1" applyBorder="1" applyAlignment="1">
      <alignment horizontal="left" vertical="center"/>
    </xf>
    <xf numFmtId="0" fontId="3" fillId="2" borderId="16" xfId="0" applyFont="1" applyFill="1" applyBorder="1" applyAlignment="1"/>
    <xf numFmtId="0" fontId="3" fillId="0" borderId="46" xfId="0" applyFont="1" applyBorder="1" applyAlignment="1">
      <alignment horizontal="left"/>
    </xf>
    <xf numFmtId="0" fontId="3" fillId="2" borderId="40" xfId="0" applyFont="1" applyFill="1" applyBorder="1" applyAlignment="1"/>
    <xf numFmtId="0" fontId="3" fillId="2" borderId="41" xfId="0" applyFont="1" applyFill="1" applyBorder="1" applyAlignment="1"/>
    <xf numFmtId="0" fontId="3" fillId="0" borderId="25" xfId="0" applyFont="1" applyBorder="1" applyAlignment="1"/>
    <xf numFmtId="0" fontId="3" fillId="2" borderId="37" xfId="0" applyFont="1" applyFill="1" applyBorder="1" applyAlignment="1"/>
    <xf numFmtId="0" fontId="3" fillId="2" borderId="23" xfId="0" applyFont="1" applyFill="1" applyBorder="1" applyAlignment="1"/>
    <xf numFmtId="0" fontId="3" fillId="2" borderId="25" xfId="0" applyFont="1" applyFill="1" applyBorder="1" applyAlignment="1"/>
    <xf numFmtId="0" fontId="0" fillId="0" borderId="46" xfId="0" applyBorder="1" applyAlignment="1">
      <alignment horizontal="right"/>
    </xf>
    <xf numFmtId="0" fontId="3" fillId="0" borderId="25" xfId="0" applyFont="1" applyBorder="1" applyAlignment="1">
      <alignment horizontal="left"/>
    </xf>
    <xf numFmtId="0" fontId="5" fillId="8" borderId="5" xfId="0" applyFont="1" applyFill="1" applyBorder="1" applyAlignment="1"/>
    <xf numFmtId="0" fontId="5" fillId="10" borderId="5" xfId="0" applyFont="1" applyFill="1" applyBorder="1" applyAlignment="1"/>
    <xf numFmtId="0" fontId="0" fillId="2" borderId="37" xfId="0" applyFill="1" applyBorder="1" applyAlignment="1">
      <alignment horizontal="right"/>
    </xf>
    <xf numFmtId="0" fontId="0" fillId="2" borderId="35" xfId="0" applyFill="1" applyBorder="1" applyAlignment="1">
      <alignment horizontal="right"/>
    </xf>
    <xf numFmtId="0" fontId="1" fillId="11" borderId="5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 vertical="center"/>
    </xf>
    <xf numFmtId="0" fontId="1" fillId="11" borderId="19" xfId="0" applyFont="1" applyFill="1" applyBorder="1"/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/>
    <xf numFmtId="0" fontId="3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18" xfId="0" applyFont="1" applyBorder="1"/>
    <xf numFmtId="0" fontId="8" fillId="0" borderId="16" xfId="0" applyFont="1" applyBorder="1"/>
    <xf numFmtId="0" fontId="8" fillId="0" borderId="17" xfId="0" applyFont="1" applyBorder="1"/>
    <xf numFmtId="0" fontId="3" fillId="6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6" borderId="19" xfId="0" applyFont="1" applyFill="1" applyBorder="1" applyAlignment="1">
      <alignment horizontal="center"/>
    </xf>
    <xf numFmtId="0" fontId="9" fillId="0" borderId="14" xfId="0" applyFont="1" applyBorder="1" applyAlignment="1">
      <alignment horizontal="center" wrapText="1"/>
    </xf>
    <xf numFmtId="0" fontId="0" fillId="0" borderId="3" xfId="0" applyBorder="1" applyAlignment="1">
      <alignment vertical="center"/>
    </xf>
    <xf numFmtId="0" fontId="0" fillId="0" borderId="16" xfId="0" applyBorder="1"/>
    <xf numFmtId="0" fontId="0" fillId="0" borderId="50" xfId="0" applyBorder="1"/>
    <xf numFmtId="0" fontId="0" fillId="0" borderId="15" xfId="0" applyBorder="1"/>
    <xf numFmtId="0" fontId="3" fillId="6" borderId="14" xfId="0" applyFont="1" applyFill="1" applyBorder="1" applyAlignment="1">
      <alignment horizontal="center"/>
    </xf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3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left" vertical="top" wrapText="1"/>
    </xf>
    <xf numFmtId="0" fontId="3" fillId="0" borderId="1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0" fillId="0" borderId="10" xfId="0" applyBorder="1"/>
    <xf numFmtId="0" fontId="3" fillId="2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1" xfId="0" applyBorder="1"/>
    <xf numFmtId="0" fontId="3" fillId="0" borderId="5" xfId="0" applyFont="1" applyBorder="1" applyAlignment="1">
      <alignment horizontal="center" wrapText="1"/>
    </xf>
    <xf numFmtId="0" fontId="0" fillId="0" borderId="51" xfId="0" applyBorder="1"/>
    <xf numFmtId="0" fontId="0" fillId="0" borderId="9" xfId="0" applyBorder="1"/>
    <xf numFmtId="0" fontId="3" fillId="0" borderId="17" xfId="0" applyFont="1" applyBorder="1" applyAlignment="1">
      <alignment horizontal="right"/>
    </xf>
    <xf numFmtId="0" fontId="3" fillId="0" borderId="50" xfId="0" applyFont="1" applyBorder="1" applyAlignment="1">
      <alignment horizontal="right"/>
    </xf>
    <xf numFmtId="0" fontId="0" fillId="0" borderId="28" xfId="0" applyBorder="1" applyAlignment="1">
      <alignment horizontal="right"/>
    </xf>
    <xf numFmtId="0" fontId="3" fillId="0" borderId="45" xfId="0" applyFont="1" applyBorder="1" applyAlignment="1">
      <alignment horizontal="left"/>
    </xf>
    <xf numFmtId="0" fontId="3" fillId="0" borderId="18" xfId="0" applyFont="1" applyBorder="1" applyAlignment="1">
      <alignment horizontal="right"/>
    </xf>
    <xf numFmtId="0" fontId="3" fillId="2" borderId="27" xfId="0" applyFont="1" applyFill="1" applyBorder="1" applyAlignment="1">
      <alignment horizontal="left"/>
    </xf>
    <xf numFmtId="0" fontId="3" fillId="2" borderId="36" xfId="0" applyFont="1" applyFill="1" applyBorder="1" applyAlignment="1">
      <alignment horizontal="right"/>
    </xf>
    <xf numFmtId="0" fontId="3" fillId="2" borderId="52" xfId="0" applyFont="1" applyFill="1" applyBorder="1" applyAlignment="1">
      <alignment horizontal="left"/>
    </xf>
    <xf numFmtId="0" fontId="3" fillId="2" borderId="53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0" fillId="0" borderId="18" xfId="0" applyBorder="1" applyAlignment="1">
      <alignment horizontal="right"/>
    </xf>
    <xf numFmtId="0" fontId="5" fillId="9" borderId="19" xfId="0" applyFont="1" applyFill="1" applyBorder="1" applyAlignment="1">
      <alignment vertical="center" wrapText="1"/>
    </xf>
    <xf numFmtId="0" fontId="5" fillId="8" borderId="19" xfId="0" applyFont="1" applyFill="1" applyBorder="1" applyAlignment="1"/>
    <xf numFmtId="0" fontId="4" fillId="3" borderId="19" xfId="0" applyFont="1" applyFill="1" applyBorder="1" applyAlignment="1"/>
    <xf numFmtId="0" fontId="3" fillId="2" borderId="29" xfId="0" applyFont="1" applyFill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9" xfId="0" applyFont="1" applyBorder="1" applyAlignment="1"/>
    <xf numFmtId="0" fontId="8" fillId="0" borderId="31" xfId="0" applyFont="1" applyBorder="1"/>
    <xf numFmtId="0" fontId="3" fillId="0" borderId="49" xfId="0" applyFont="1" applyBorder="1" applyAlignment="1">
      <alignment horizontal="left" wrapText="1"/>
    </xf>
    <xf numFmtId="0" fontId="0" fillId="2" borderId="33" xfId="0" applyFill="1" applyBorder="1" applyAlignment="1">
      <alignment horizontal="right"/>
    </xf>
    <xf numFmtId="0" fontId="0" fillId="0" borderId="34" xfId="0" applyBorder="1"/>
    <xf numFmtId="0" fontId="0" fillId="0" borderId="28" xfId="0" applyBorder="1" applyAlignment="1">
      <alignment vertical="center"/>
    </xf>
    <xf numFmtId="0" fontId="0" fillId="0" borderId="33" xfId="0" applyBorder="1" applyAlignment="1">
      <alignment horizontal="right" vertical="center"/>
    </xf>
    <xf numFmtId="0" fontId="8" fillId="2" borderId="0" xfId="0" applyFont="1" applyFill="1" applyBorder="1"/>
    <xf numFmtId="0" fontId="3" fillId="2" borderId="3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10" xfId="0" applyFont="1" applyFill="1" applyBorder="1" applyAlignment="1"/>
    <xf numFmtId="0" fontId="3" fillId="2" borderId="17" xfId="0" applyFont="1" applyFill="1" applyBorder="1" applyAlignment="1"/>
    <xf numFmtId="0" fontId="3" fillId="2" borderId="31" xfId="0" applyFont="1" applyFill="1" applyBorder="1" applyAlignment="1"/>
    <xf numFmtId="0" fontId="3" fillId="2" borderId="33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left"/>
    </xf>
    <xf numFmtId="0" fontId="3" fillId="6" borderId="17" xfId="0" applyFont="1" applyFill="1" applyBorder="1" applyAlignment="1">
      <alignment horizontal="left"/>
    </xf>
    <xf numFmtId="0" fontId="0" fillId="0" borderId="37" xfId="0" applyBorder="1"/>
    <xf numFmtId="0" fontId="0" fillId="0" borderId="22" xfId="0" applyBorder="1"/>
    <xf numFmtId="0" fontId="0" fillId="0" borderId="35" xfId="0" applyBorder="1"/>
    <xf numFmtId="0" fontId="3" fillId="0" borderId="4" xfId="0" applyFont="1" applyBorder="1" applyAlignment="1">
      <alignment horizontal="left" wrapText="1"/>
    </xf>
    <xf numFmtId="0" fontId="0" fillId="0" borderId="34" xfId="0" applyBorder="1" applyAlignment="1">
      <alignment vertical="center"/>
    </xf>
    <xf numFmtId="0" fontId="3" fillId="0" borderId="54" xfId="0" applyFont="1" applyBorder="1" applyAlignment="1">
      <alignment horizontal="left" wrapText="1"/>
    </xf>
    <xf numFmtId="0" fontId="8" fillId="2" borderId="17" xfId="0" applyFont="1" applyFill="1" applyBorder="1"/>
    <xf numFmtId="0" fontId="8" fillId="2" borderId="35" xfId="0" applyFont="1" applyFill="1" applyBorder="1"/>
    <xf numFmtId="0" fontId="3" fillId="2" borderId="28" xfId="0" applyFont="1" applyFill="1" applyBorder="1" applyAlignment="1">
      <alignment horizontal="right"/>
    </xf>
    <xf numFmtId="0" fontId="3" fillId="0" borderId="21" xfId="0" applyFont="1" applyBorder="1" applyAlignment="1">
      <alignment horizontal="left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right"/>
    </xf>
    <xf numFmtId="0" fontId="3" fillId="0" borderId="41" xfId="0" applyFont="1" applyBorder="1" applyAlignment="1"/>
    <xf numFmtId="0" fontId="3" fillId="2" borderId="28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right"/>
    </xf>
    <xf numFmtId="0" fontId="0" fillId="0" borderId="36" xfId="0" applyBorder="1"/>
    <xf numFmtId="0" fontId="3" fillId="0" borderId="28" xfId="0" applyFont="1" applyBorder="1" applyAlignment="1">
      <alignment horizontal="right"/>
    </xf>
    <xf numFmtId="0" fontId="3" fillId="0" borderId="5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2" borderId="17" xfId="0" applyFont="1" applyFill="1" applyBorder="1" applyAlignment="1">
      <alignment horizontal="right"/>
    </xf>
    <xf numFmtId="0" fontId="3" fillId="0" borderId="34" xfId="0" applyFont="1" applyBorder="1" applyAlignment="1">
      <alignment horizontal="right"/>
    </xf>
    <xf numFmtId="0" fontId="0" fillId="0" borderId="55" xfId="0" applyBorder="1" applyAlignment="1">
      <alignment horizontal="right"/>
    </xf>
    <xf numFmtId="0" fontId="3" fillId="2" borderId="34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3" xfId="0" applyFont="1" applyBorder="1" applyAlignment="1">
      <alignment horizontal="right"/>
    </xf>
    <xf numFmtId="0" fontId="3" fillId="0" borderId="36" xfId="0" applyFont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6" xfId="0" applyBorder="1" applyAlignment="1">
      <alignment horizontal="left"/>
    </xf>
    <xf numFmtId="0" fontId="3" fillId="2" borderId="22" xfId="0" applyFont="1" applyFill="1" applyBorder="1" applyAlignment="1">
      <alignment horizontal="right"/>
    </xf>
    <xf numFmtId="0" fontId="3" fillId="2" borderId="35" xfId="0" applyFont="1" applyFill="1" applyBorder="1" applyAlignment="1">
      <alignment horizontal="right"/>
    </xf>
    <xf numFmtId="0" fontId="3" fillId="2" borderId="39" xfId="0" applyFont="1" applyFill="1" applyBorder="1" applyAlignment="1">
      <alignment horizontal="right"/>
    </xf>
    <xf numFmtId="0" fontId="3" fillId="2" borderId="40" xfId="0" applyFont="1" applyFill="1" applyBorder="1" applyAlignment="1">
      <alignment horizontal="right"/>
    </xf>
    <xf numFmtId="0" fontId="3" fillId="2" borderId="41" xfId="0" applyFont="1" applyFill="1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0" fillId="0" borderId="5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" fillId="7" borderId="33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2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7" xfId="0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" fillId="0" borderId="3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34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42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3" fillId="0" borderId="4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2" borderId="37" xfId="0" applyFont="1" applyFill="1" applyBorder="1" applyAlignment="1">
      <alignment horizontal="right"/>
    </xf>
    <xf numFmtId="0" fontId="3" fillId="2" borderId="22" xfId="0" applyFont="1" applyFill="1" applyBorder="1" applyAlignment="1">
      <alignment horizontal="right"/>
    </xf>
    <xf numFmtId="0" fontId="3" fillId="2" borderId="35" xfId="0" applyFont="1" applyFill="1" applyBorder="1" applyAlignment="1">
      <alignment horizontal="right"/>
    </xf>
    <xf numFmtId="0" fontId="0" fillId="0" borderId="39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0" fillId="0" borderId="38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0" fillId="0" borderId="35" xfId="0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3" fillId="0" borderId="3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2" borderId="39" xfId="0" applyFont="1" applyFill="1" applyBorder="1" applyAlignment="1">
      <alignment horizontal="right"/>
    </xf>
    <xf numFmtId="0" fontId="3" fillId="2" borderId="40" xfId="0" applyFont="1" applyFill="1" applyBorder="1" applyAlignment="1">
      <alignment horizontal="right"/>
    </xf>
    <xf numFmtId="0" fontId="3" fillId="2" borderId="41" xfId="0" applyFont="1" applyFill="1" applyBorder="1" applyAlignment="1">
      <alignment horizontal="right"/>
    </xf>
    <xf numFmtId="0" fontId="0" fillId="0" borderId="38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36" xfId="0" applyBorder="1" applyAlignment="1">
      <alignment horizontal="right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1" fillId="0" borderId="36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3" fillId="2" borderId="42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43" xfId="0" applyFont="1" applyFill="1" applyBorder="1" applyAlignment="1">
      <alignment horizontal="right" vertic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C43D4-7F5E-4A5C-A250-1BA868B5247E}">
  <dimension ref="E11:J167"/>
  <sheetViews>
    <sheetView showGridLines="0" tabSelected="1" topLeftCell="D8" workbookViewId="0">
      <selection activeCell="G10" sqref="G10"/>
    </sheetView>
  </sheetViews>
  <sheetFormatPr defaultRowHeight="15"/>
  <cols>
    <col min="4" max="4" width="24.140625" customWidth="1"/>
    <col min="5" max="5" width="7.85546875" customWidth="1"/>
    <col min="6" max="6" width="35.7109375" customWidth="1"/>
    <col min="7" max="7" width="51.42578125" customWidth="1"/>
    <col min="8" max="8" width="24.140625" customWidth="1"/>
    <col min="9" max="9" width="58.42578125" customWidth="1"/>
    <col min="10" max="11" width="24.140625" customWidth="1"/>
  </cols>
  <sheetData>
    <row r="11" spans="5:10">
      <c r="I11" s="304"/>
      <c r="J11" s="304"/>
    </row>
    <row r="12" spans="5:10">
      <c r="F12" s="305" t="s">
        <v>0</v>
      </c>
      <c r="G12" s="305"/>
    </row>
    <row r="14" spans="5:10">
      <c r="E14" s="161" t="s">
        <v>1</v>
      </c>
      <c r="F14" s="162" t="s">
        <v>2</v>
      </c>
      <c r="G14" s="163" t="s">
        <v>3</v>
      </c>
      <c r="H14" s="164" t="s">
        <v>4</v>
      </c>
      <c r="I14" s="165" t="s">
        <v>5</v>
      </c>
    </row>
    <row r="15" spans="5:10">
      <c r="E15" s="271">
        <v>1</v>
      </c>
      <c r="F15" s="166" t="s">
        <v>6</v>
      </c>
      <c r="G15" s="271" t="s">
        <v>7</v>
      </c>
      <c r="H15" s="167">
        <v>11</v>
      </c>
      <c r="I15" s="168" t="s">
        <v>8</v>
      </c>
    </row>
    <row r="16" spans="5:10" ht="13.5" customHeight="1">
      <c r="E16" s="271">
        <v>2</v>
      </c>
      <c r="F16" s="169" t="s">
        <v>9</v>
      </c>
      <c r="G16" s="170" t="s">
        <v>10</v>
      </c>
      <c r="H16" s="167">
        <v>3</v>
      </c>
      <c r="I16" s="1" t="s">
        <v>8</v>
      </c>
    </row>
    <row r="17" spans="5:9">
      <c r="E17" s="271">
        <v>3</v>
      </c>
      <c r="F17" s="171" t="s">
        <v>11</v>
      </c>
      <c r="G17" s="271" t="s">
        <v>12</v>
      </c>
      <c r="H17" s="167">
        <v>1</v>
      </c>
      <c r="I17" s="1" t="s">
        <v>13</v>
      </c>
    </row>
    <row r="18" spans="5:9">
      <c r="E18" s="271">
        <v>4</v>
      </c>
      <c r="F18" s="171" t="s">
        <v>14</v>
      </c>
      <c r="G18" s="271" t="s">
        <v>15</v>
      </c>
      <c r="H18" s="167">
        <v>1</v>
      </c>
      <c r="I18" s="1" t="s">
        <v>16</v>
      </c>
    </row>
    <row r="19" spans="5:9">
      <c r="E19" s="271">
        <v>5</v>
      </c>
      <c r="F19" s="171" t="s">
        <v>14</v>
      </c>
      <c r="G19" s="172" t="s">
        <v>17</v>
      </c>
      <c r="H19" s="167">
        <v>2</v>
      </c>
      <c r="I19" s="1" t="s">
        <v>18</v>
      </c>
    </row>
    <row r="20" spans="5:9">
      <c r="E20" s="271">
        <v>6</v>
      </c>
      <c r="F20" s="171" t="s">
        <v>14</v>
      </c>
      <c r="G20" s="170" t="s">
        <v>19</v>
      </c>
      <c r="H20" s="167">
        <v>3</v>
      </c>
      <c r="I20" s="1" t="s">
        <v>20</v>
      </c>
    </row>
    <row r="21" spans="5:9">
      <c r="E21" s="271">
        <v>7</v>
      </c>
      <c r="F21" s="173" t="s">
        <v>21</v>
      </c>
      <c r="G21" s="174" t="s">
        <v>22</v>
      </c>
      <c r="H21" s="167">
        <v>1</v>
      </c>
      <c r="I21" s="1" t="s">
        <v>23</v>
      </c>
    </row>
    <row r="22" spans="5:9">
      <c r="E22" s="271">
        <v>8</v>
      </c>
      <c r="F22" s="175" t="s">
        <v>24</v>
      </c>
      <c r="G22" s="176" t="s">
        <v>25</v>
      </c>
      <c r="H22" s="177">
        <v>2</v>
      </c>
      <c r="I22" s="1" t="s">
        <v>26</v>
      </c>
    </row>
    <row r="23" spans="5:9">
      <c r="E23" s="282">
        <v>9</v>
      </c>
      <c r="F23" s="306" t="s">
        <v>27</v>
      </c>
      <c r="G23" s="308" t="s">
        <v>28</v>
      </c>
      <c r="H23" s="297">
        <v>5</v>
      </c>
      <c r="I23" s="178" t="s">
        <v>29</v>
      </c>
    </row>
    <row r="24" spans="5:9">
      <c r="E24" s="282"/>
      <c r="F24" s="307"/>
      <c r="G24" s="308"/>
      <c r="H24" s="297"/>
      <c r="I24" s="178" t="s">
        <v>30</v>
      </c>
    </row>
    <row r="25" spans="5:9">
      <c r="E25" s="282"/>
      <c r="F25" s="307"/>
      <c r="G25" s="308"/>
      <c r="H25" s="297"/>
      <c r="I25" s="179" t="s">
        <v>31</v>
      </c>
    </row>
    <row r="26" spans="5:9">
      <c r="E26" s="282"/>
      <c r="F26" s="307"/>
      <c r="G26" s="308"/>
      <c r="H26" s="297"/>
      <c r="I26" s="179" t="s">
        <v>32</v>
      </c>
    </row>
    <row r="27" spans="5:9">
      <c r="E27" s="282"/>
      <c r="F27" s="307"/>
      <c r="G27" s="309"/>
      <c r="H27" s="298"/>
      <c r="I27" s="180" t="s">
        <v>33</v>
      </c>
    </row>
    <row r="28" spans="5:9">
      <c r="E28" s="271">
        <v>10</v>
      </c>
      <c r="F28" s="171" t="s">
        <v>34</v>
      </c>
      <c r="G28" s="181" t="s">
        <v>35</v>
      </c>
      <c r="H28" s="268">
        <v>1</v>
      </c>
      <c r="I28" s="1" t="s">
        <v>36</v>
      </c>
    </row>
    <row r="29" spans="5:9">
      <c r="E29" s="271">
        <v>11</v>
      </c>
      <c r="F29" s="175" t="s">
        <v>37</v>
      </c>
      <c r="G29" s="174" t="s">
        <v>38</v>
      </c>
      <c r="H29" s="268">
        <v>1</v>
      </c>
      <c r="I29" s="182" t="s">
        <v>39</v>
      </c>
    </row>
    <row r="30" spans="5:9" ht="24.75">
      <c r="E30" s="271">
        <v>12</v>
      </c>
      <c r="F30" s="176" t="s">
        <v>40</v>
      </c>
      <c r="G30" s="183" t="s">
        <v>41</v>
      </c>
      <c r="H30" s="184" t="s">
        <v>42</v>
      </c>
      <c r="I30" s="185" t="s">
        <v>8</v>
      </c>
    </row>
    <row r="31" spans="5:9" ht="16.5" customHeight="1">
      <c r="E31" s="282">
        <v>13</v>
      </c>
      <c r="F31" s="302" t="s">
        <v>27</v>
      </c>
      <c r="G31" s="283" t="s">
        <v>43</v>
      </c>
      <c r="H31" s="297">
        <v>72</v>
      </c>
      <c r="I31" s="4" t="s">
        <v>44</v>
      </c>
    </row>
    <row r="32" spans="5:9">
      <c r="E32" s="282"/>
      <c r="F32" s="302"/>
      <c r="G32" s="283"/>
      <c r="H32" s="297"/>
      <c r="I32" s="186" t="s">
        <v>45</v>
      </c>
    </row>
    <row r="33" spans="5:9">
      <c r="E33" s="282"/>
      <c r="F33" s="302"/>
      <c r="G33" s="283"/>
      <c r="H33" s="297"/>
      <c r="I33" s="186" t="s">
        <v>46</v>
      </c>
    </row>
    <row r="34" spans="5:9">
      <c r="E34" s="282"/>
      <c r="F34" s="302"/>
      <c r="G34" s="283"/>
      <c r="H34" s="297"/>
      <c r="I34" s="186" t="s">
        <v>47</v>
      </c>
    </row>
    <row r="35" spans="5:9">
      <c r="E35" s="282"/>
      <c r="F35" s="302"/>
      <c r="G35" s="283"/>
      <c r="H35" s="297"/>
      <c r="I35" s="186" t="s">
        <v>48</v>
      </c>
    </row>
    <row r="36" spans="5:9">
      <c r="E36" s="282"/>
      <c r="F36" s="302"/>
      <c r="G36" s="283"/>
      <c r="H36" s="297"/>
      <c r="I36" s="186" t="s">
        <v>49</v>
      </c>
    </row>
    <row r="37" spans="5:9">
      <c r="E37" s="282"/>
      <c r="F37" s="302"/>
      <c r="G37" s="283"/>
      <c r="H37" s="297"/>
      <c r="I37" s="186" t="s">
        <v>50</v>
      </c>
    </row>
    <row r="38" spans="5:9">
      <c r="E38" s="282"/>
      <c r="F38" s="302"/>
      <c r="G38" s="283"/>
      <c r="H38" s="297"/>
      <c r="I38" s="186" t="s">
        <v>51</v>
      </c>
    </row>
    <row r="39" spans="5:9">
      <c r="E39" s="282"/>
      <c r="F39" s="302"/>
      <c r="G39" s="283"/>
      <c r="H39" s="297"/>
      <c r="I39" s="186" t="s">
        <v>52</v>
      </c>
    </row>
    <row r="40" spans="5:9">
      <c r="E40" s="282"/>
      <c r="F40" s="302"/>
      <c r="G40" s="283"/>
      <c r="H40" s="297"/>
      <c r="I40" s="186" t="s">
        <v>53</v>
      </c>
    </row>
    <row r="41" spans="5:9">
      <c r="E41" s="293"/>
      <c r="F41" s="303"/>
      <c r="G41" s="294"/>
      <c r="H41" s="298"/>
      <c r="I41" s="187" t="s">
        <v>54</v>
      </c>
    </row>
    <row r="42" spans="5:9">
      <c r="E42" s="282">
        <v>14</v>
      </c>
      <c r="F42" s="283" t="s">
        <v>27</v>
      </c>
      <c r="G42" s="283" t="s">
        <v>55</v>
      </c>
      <c r="H42" s="297">
        <v>87</v>
      </c>
      <c r="I42" s="188" t="s">
        <v>56</v>
      </c>
    </row>
    <row r="43" spans="5:9">
      <c r="E43" s="282"/>
      <c r="F43" s="283"/>
      <c r="G43" s="283"/>
      <c r="H43" s="297"/>
      <c r="I43" s="186" t="s">
        <v>57</v>
      </c>
    </row>
    <row r="44" spans="5:9">
      <c r="E44" s="282"/>
      <c r="F44" s="283"/>
      <c r="G44" s="283"/>
      <c r="H44" s="297"/>
      <c r="I44" s="186" t="s">
        <v>58</v>
      </c>
    </row>
    <row r="45" spans="5:9">
      <c r="E45" s="282"/>
      <c r="F45" s="283"/>
      <c r="G45" s="283"/>
      <c r="H45" s="297"/>
      <c r="I45" s="186" t="s">
        <v>59</v>
      </c>
    </row>
    <row r="46" spans="5:9">
      <c r="E46" s="282"/>
      <c r="F46" s="283"/>
      <c r="G46" s="283"/>
      <c r="H46" s="297"/>
      <c r="I46" s="186" t="s">
        <v>60</v>
      </c>
    </row>
    <row r="47" spans="5:9">
      <c r="E47" s="282"/>
      <c r="F47" s="283"/>
      <c r="G47" s="283"/>
      <c r="H47" s="297"/>
      <c r="I47" s="186" t="s">
        <v>61</v>
      </c>
    </row>
    <row r="48" spans="5:9">
      <c r="E48" s="282"/>
      <c r="F48" s="283"/>
      <c r="G48" s="283"/>
      <c r="H48" s="297"/>
      <c r="I48" s="186" t="s">
        <v>62</v>
      </c>
    </row>
    <row r="49" spans="5:9">
      <c r="E49" s="282"/>
      <c r="F49" s="283"/>
      <c r="G49" s="283"/>
      <c r="H49" s="297"/>
      <c r="I49" s="186" t="s">
        <v>63</v>
      </c>
    </row>
    <row r="50" spans="5:9">
      <c r="E50" s="282"/>
      <c r="F50" s="283"/>
      <c r="G50" s="283"/>
      <c r="H50" s="297"/>
      <c r="I50" s="186" t="s">
        <v>64</v>
      </c>
    </row>
    <row r="51" spans="5:9">
      <c r="E51" s="282"/>
      <c r="F51" s="283"/>
      <c r="G51" s="283"/>
      <c r="H51" s="297"/>
      <c r="I51" s="186" t="s">
        <v>65</v>
      </c>
    </row>
    <row r="52" spans="5:9">
      <c r="E52" s="293"/>
      <c r="F52" s="294"/>
      <c r="G52" s="294"/>
      <c r="H52" s="298"/>
      <c r="I52" s="187" t="s">
        <v>66</v>
      </c>
    </row>
    <row r="53" spans="5:9">
      <c r="E53" s="282">
        <v>15</v>
      </c>
      <c r="F53" s="283" t="s">
        <v>67</v>
      </c>
      <c r="G53" s="283" t="s">
        <v>68</v>
      </c>
      <c r="H53" s="300">
        <v>10</v>
      </c>
      <c r="I53" s="188" t="s">
        <v>69</v>
      </c>
    </row>
    <row r="54" spans="5:9">
      <c r="E54" s="282"/>
      <c r="F54" s="283"/>
      <c r="G54" s="283"/>
      <c r="H54" s="300"/>
      <c r="I54" s="186" t="s">
        <v>70</v>
      </c>
    </row>
    <row r="55" spans="5:9">
      <c r="E55" s="282"/>
      <c r="F55" s="283"/>
      <c r="G55" s="283"/>
      <c r="H55" s="300"/>
      <c r="I55" s="186" t="s">
        <v>71</v>
      </c>
    </row>
    <row r="56" spans="5:9">
      <c r="E56" s="282"/>
      <c r="F56" s="283"/>
      <c r="G56" s="283"/>
      <c r="H56" s="300"/>
      <c r="I56" s="186" t="s">
        <v>72</v>
      </c>
    </row>
    <row r="57" spans="5:9">
      <c r="E57" s="293"/>
      <c r="F57" s="294"/>
      <c r="G57" s="294"/>
      <c r="H57" s="301"/>
      <c r="I57" s="187" t="s">
        <v>73</v>
      </c>
    </row>
    <row r="58" spans="5:9">
      <c r="E58" s="282">
        <v>16</v>
      </c>
      <c r="F58" s="283" t="s">
        <v>74</v>
      </c>
      <c r="G58" s="283" t="s">
        <v>75</v>
      </c>
      <c r="H58" s="297">
        <v>21</v>
      </c>
      <c r="I58" s="188" t="s">
        <v>76</v>
      </c>
    </row>
    <row r="59" spans="5:9">
      <c r="E59" s="282"/>
      <c r="F59" s="283"/>
      <c r="G59" s="283"/>
      <c r="H59" s="297"/>
      <c r="I59" s="186" t="s">
        <v>77</v>
      </c>
    </row>
    <row r="60" spans="5:9">
      <c r="E60" s="282"/>
      <c r="F60" s="283"/>
      <c r="G60" s="283"/>
      <c r="H60" s="297"/>
      <c r="I60" s="186" t="s">
        <v>78</v>
      </c>
    </row>
    <row r="61" spans="5:9">
      <c r="E61" s="282"/>
      <c r="F61" s="283"/>
      <c r="G61" s="283"/>
      <c r="H61" s="297"/>
      <c r="I61" s="186" t="s">
        <v>79</v>
      </c>
    </row>
    <row r="62" spans="5:9">
      <c r="E62" s="282"/>
      <c r="F62" s="283"/>
      <c r="G62" s="283"/>
      <c r="H62" s="297"/>
      <c r="I62" s="186" t="s">
        <v>80</v>
      </c>
    </row>
    <row r="63" spans="5:9">
      <c r="E63" s="282"/>
      <c r="F63" s="283"/>
      <c r="G63" s="283"/>
      <c r="H63" s="297"/>
      <c r="I63" s="186" t="s">
        <v>81</v>
      </c>
    </row>
    <row r="64" spans="5:9">
      <c r="E64" s="282"/>
      <c r="F64" s="283"/>
      <c r="G64" s="283"/>
      <c r="H64" s="297"/>
      <c r="I64" s="186" t="s">
        <v>82</v>
      </c>
    </row>
    <row r="65" spans="5:10">
      <c r="E65" s="282"/>
      <c r="F65" s="283"/>
      <c r="G65" s="283"/>
      <c r="H65" s="297"/>
      <c r="I65" s="186" t="s">
        <v>83</v>
      </c>
    </row>
    <row r="66" spans="5:10">
      <c r="E66" s="282"/>
      <c r="F66" s="283"/>
      <c r="G66" s="283"/>
      <c r="H66" s="297"/>
      <c r="I66" s="186" t="s">
        <v>84</v>
      </c>
    </row>
    <row r="67" spans="5:10">
      <c r="E67" s="282"/>
      <c r="F67" s="283"/>
      <c r="G67" s="283"/>
      <c r="H67" s="297"/>
      <c r="I67" s="186" t="s">
        <v>85</v>
      </c>
    </row>
    <row r="68" spans="5:10">
      <c r="E68" s="293"/>
      <c r="F68" s="294"/>
      <c r="G68" s="294"/>
      <c r="H68" s="298"/>
      <c r="I68" s="187" t="s">
        <v>86</v>
      </c>
    </row>
    <row r="69" spans="5:10">
      <c r="E69" s="282">
        <v>17</v>
      </c>
      <c r="F69" s="295" t="s">
        <v>14</v>
      </c>
      <c r="G69" s="295" t="s">
        <v>87</v>
      </c>
      <c r="H69" s="285">
        <v>11</v>
      </c>
      <c r="I69" s="188"/>
    </row>
    <row r="70" spans="5:10">
      <c r="E70" s="282"/>
      <c r="F70" s="295"/>
      <c r="G70" s="295"/>
      <c r="H70" s="299"/>
      <c r="I70" s="186" t="s">
        <v>88</v>
      </c>
    </row>
    <row r="71" spans="5:10">
      <c r="E71" s="282"/>
      <c r="F71" s="295"/>
      <c r="G71" s="295"/>
      <c r="H71" s="299"/>
      <c r="I71" s="6" t="s">
        <v>89</v>
      </c>
      <c r="J71" s="118"/>
    </row>
    <row r="72" spans="5:10">
      <c r="E72" s="282"/>
      <c r="F72" s="295"/>
      <c r="G72" s="295"/>
      <c r="H72" s="299"/>
      <c r="I72" s="6" t="s">
        <v>90</v>
      </c>
    </row>
    <row r="73" spans="5:10">
      <c r="E73" s="282"/>
      <c r="F73" s="295"/>
      <c r="G73" s="295"/>
      <c r="H73" s="299"/>
      <c r="I73" s="7" t="s">
        <v>91</v>
      </c>
    </row>
    <row r="74" spans="5:10">
      <c r="E74" s="282"/>
      <c r="F74" s="295"/>
      <c r="G74" s="295"/>
      <c r="H74" s="299"/>
      <c r="I74" s="186" t="s">
        <v>92</v>
      </c>
    </row>
    <row r="75" spans="5:10">
      <c r="E75" s="282"/>
      <c r="F75" s="295"/>
      <c r="G75" s="295"/>
      <c r="H75" s="299"/>
      <c r="I75" s="186" t="s">
        <v>93</v>
      </c>
    </row>
    <row r="76" spans="5:10">
      <c r="E76" s="282"/>
      <c r="F76" s="295"/>
      <c r="G76" s="295"/>
      <c r="H76" s="299"/>
      <c r="I76" s="186" t="s">
        <v>94</v>
      </c>
    </row>
    <row r="77" spans="5:10">
      <c r="E77" s="282"/>
      <c r="F77" s="295"/>
      <c r="G77" s="295"/>
      <c r="H77" s="299"/>
      <c r="I77" s="186" t="s">
        <v>95</v>
      </c>
    </row>
    <row r="78" spans="5:10">
      <c r="E78" s="282"/>
      <c r="F78" s="295"/>
      <c r="G78" s="295"/>
      <c r="H78" s="299"/>
      <c r="I78" s="186" t="s">
        <v>96</v>
      </c>
    </row>
    <row r="79" spans="5:10">
      <c r="E79" s="282"/>
      <c r="F79" s="295"/>
      <c r="G79" s="295"/>
      <c r="H79" s="299"/>
      <c r="I79" s="186" t="s">
        <v>97</v>
      </c>
    </row>
    <row r="80" spans="5:10">
      <c r="E80" s="293"/>
      <c r="F80" s="296"/>
      <c r="G80" s="296"/>
      <c r="H80" s="299"/>
      <c r="I80" s="187" t="s">
        <v>98</v>
      </c>
    </row>
    <row r="81" spans="5:9">
      <c r="E81" s="282">
        <v>18</v>
      </c>
      <c r="F81" s="295" t="s">
        <v>14</v>
      </c>
      <c r="G81" s="295" t="s">
        <v>99</v>
      </c>
      <c r="H81" s="297">
        <v>4</v>
      </c>
      <c r="I81" s="188" t="s">
        <v>100</v>
      </c>
    </row>
    <row r="82" spans="5:9">
      <c r="E82" s="282"/>
      <c r="F82" s="295"/>
      <c r="G82" s="295"/>
      <c r="H82" s="297"/>
      <c r="I82" s="186" t="s">
        <v>101</v>
      </c>
    </row>
    <row r="83" spans="5:9">
      <c r="E83" s="282"/>
      <c r="F83" s="295"/>
      <c r="G83" s="295"/>
      <c r="H83" s="297"/>
      <c r="I83" s="186" t="s">
        <v>102</v>
      </c>
    </row>
    <row r="84" spans="5:9">
      <c r="E84" s="293"/>
      <c r="F84" s="295"/>
      <c r="G84" s="295"/>
      <c r="H84" s="298"/>
      <c r="I84" s="187" t="s">
        <v>103</v>
      </c>
    </row>
    <row r="85" spans="5:9">
      <c r="E85" s="272">
        <v>19</v>
      </c>
      <c r="F85" s="176" t="s">
        <v>104</v>
      </c>
      <c r="G85" s="189" t="s">
        <v>105</v>
      </c>
      <c r="H85" s="177">
        <v>2</v>
      </c>
      <c r="I85" s="168" t="s">
        <v>13</v>
      </c>
    </row>
    <row r="86" spans="5:9">
      <c r="E86" s="282">
        <v>20</v>
      </c>
      <c r="F86" s="283" t="s">
        <v>14</v>
      </c>
      <c r="G86" s="295" t="s">
        <v>106</v>
      </c>
      <c r="H86" s="297">
        <v>11</v>
      </c>
      <c r="I86" s="190" t="s">
        <v>107</v>
      </c>
    </row>
    <row r="87" spans="5:9">
      <c r="E87" s="282"/>
      <c r="F87" s="283"/>
      <c r="G87" s="295"/>
      <c r="H87" s="297"/>
      <c r="I87" s="6" t="s">
        <v>108</v>
      </c>
    </row>
    <row r="88" spans="5:9">
      <c r="E88" s="282"/>
      <c r="F88" s="283"/>
      <c r="G88" s="295"/>
      <c r="H88" s="297"/>
      <c r="I88" s="6" t="s">
        <v>109</v>
      </c>
    </row>
    <row r="89" spans="5:9">
      <c r="E89" s="282"/>
      <c r="F89" s="283"/>
      <c r="G89" s="295"/>
      <c r="H89" s="297"/>
      <c r="I89" s="6" t="s">
        <v>110</v>
      </c>
    </row>
    <row r="90" spans="5:9">
      <c r="E90" s="282"/>
      <c r="F90" s="283"/>
      <c r="G90" s="295"/>
      <c r="H90" s="297"/>
      <c r="I90" s="186" t="s">
        <v>111</v>
      </c>
    </row>
    <row r="91" spans="5:9">
      <c r="E91" s="282"/>
      <c r="F91" s="283"/>
      <c r="G91" s="295"/>
      <c r="H91" s="297"/>
      <c r="I91" s="186" t="s">
        <v>112</v>
      </c>
    </row>
    <row r="92" spans="5:9">
      <c r="E92" s="282"/>
      <c r="F92" s="283"/>
      <c r="G92" s="295"/>
      <c r="H92" s="297"/>
      <c r="I92" s="186" t="s">
        <v>94</v>
      </c>
    </row>
    <row r="93" spans="5:9">
      <c r="E93" s="282"/>
      <c r="F93" s="283"/>
      <c r="G93" s="295"/>
      <c r="H93" s="297"/>
      <c r="I93" s="186" t="s">
        <v>83</v>
      </c>
    </row>
    <row r="94" spans="5:9">
      <c r="E94" s="282"/>
      <c r="F94" s="283"/>
      <c r="G94" s="295"/>
      <c r="H94" s="297"/>
      <c r="I94" s="186" t="s">
        <v>113</v>
      </c>
    </row>
    <row r="95" spans="5:9">
      <c r="E95" s="282"/>
      <c r="F95" s="283"/>
      <c r="G95" s="295"/>
      <c r="H95" s="297"/>
      <c r="I95" s="186" t="s">
        <v>97</v>
      </c>
    </row>
    <row r="96" spans="5:9">
      <c r="E96" s="293"/>
      <c r="F96" s="294"/>
      <c r="G96" s="296"/>
      <c r="H96" s="298"/>
      <c r="I96" s="191" t="s">
        <v>98</v>
      </c>
    </row>
    <row r="97" spans="5:9">
      <c r="E97" s="282">
        <v>21</v>
      </c>
      <c r="F97" s="283" t="s">
        <v>114</v>
      </c>
      <c r="G97" s="295" t="s">
        <v>115</v>
      </c>
      <c r="H97" s="282">
        <v>10</v>
      </c>
      <c r="I97" s="3" t="s">
        <v>116</v>
      </c>
    </row>
    <row r="98" spans="5:9">
      <c r="E98" s="282"/>
      <c r="F98" s="283"/>
      <c r="G98" s="295"/>
      <c r="H98" s="282"/>
      <c r="I98" s="2" t="s">
        <v>117</v>
      </c>
    </row>
    <row r="99" spans="5:9">
      <c r="E99" s="282"/>
      <c r="F99" s="283"/>
      <c r="G99" s="295"/>
      <c r="H99" s="282"/>
      <c r="I99" s="2" t="s">
        <v>118</v>
      </c>
    </row>
    <row r="100" spans="5:9">
      <c r="E100" s="282"/>
      <c r="F100" s="283"/>
      <c r="G100" s="295"/>
      <c r="H100" s="282"/>
      <c r="I100" s="2" t="s">
        <v>119</v>
      </c>
    </row>
    <row r="101" spans="5:9">
      <c r="E101" s="293"/>
      <c r="F101" s="294"/>
      <c r="G101" s="296"/>
      <c r="H101" s="293"/>
      <c r="I101" s="192" t="s">
        <v>120</v>
      </c>
    </row>
    <row r="102" spans="5:9">
      <c r="E102" s="271">
        <v>22</v>
      </c>
      <c r="F102" s="271" t="s">
        <v>121</v>
      </c>
      <c r="G102" s="271" t="s">
        <v>122</v>
      </c>
      <c r="H102" s="271">
        <v>2</v>
      </c>
      <c r="I102" s="2" t="s">
        <v>13</v>
      </c>
    </row>
    <row r="103" spans="5:9">
      <c r="E103" s="271">
        <v>23</v>
      </c>
      <c r="F103" s="271" t="s">
        <v>123</v>
      </c>
      <c r="G103" s="271" t="s">
        <v>124</v>
      </c>
      <c r="H103" s="271">
        <v>2</v>
      </c>
      <c r="I103" s="2" t="s">
        <v>125</v>
      </c>
    </row>
    <row r="104" spans="5:9">
      <c r="E104" s="271">
        <v>24</v>
      </c>
      <c r="F104" s="172" t="s">
        <v>14</v>
      </c>
      <c r="G104" s="172" t="s">
        <v>126</v>
      </c>
      <c r="H104" s="271">
        <v>2</v>
      </c>
      <c r="I104" s="2" t="s">
        <v>127</v>
      </c>
    </row>
    <row r="105" spans="5:9" ht="34.5" customHeight="1">
      <c r="E105" s="269">
        <v>25</v>
      </c>
      <c r="F105" s="270" t="s">
        <v>27</v>
      </c>
      <c r="G105" s="193" t="s">
        <v>128</v>
      </c>
      <c r="H105" s="272">
        <v>41</v>
      </c>
      <c r="I105" s="194" t="s">
        <v>129</v>
      </c>
    </row>
    <row r="106" spans="5:9">
      <c r="E106" s="272">
        <v>26</v>
      </c>
      <c r="F106" s="195" t="s">
        <v>27</v>
      </c>
      <c r="G106" s="195" t="s">
        <v>130</v>
      </c>
      <c r="H106" s="272">
        <v>12</v>
      </c>
      <c r="I106" s="192" t="s">
        <v>131</v>
      </c>
    </row>
    <row r="107" spans="5:9">
      <c r="E107" s="167">
        <v>27</v>
      </c>
      <c r="F107" s="172" t="s">
        <v>104</v>
      </c>
      <c r="G107" s="181" t="s">
        <v>132</v>
      </c>
      <c r="H107" s="271">
        <v>2</v>
      </c>
      <c r="I107" s="2" t="s">
        <v>13</v>
      </c>
    </row>
    <row r="108" spans="5:9">
      <c r="E108" s="196">
        <v>28</v>
      </c>
      <c r="F108" s="172" t="s">
        <v>133</v>
      </c>
      <c r="G108" s="181" t="s">
        <v>134</v>
      </c>
      <c r="H108" s="271">
        <v>2</v>
      </c>
      <c r="I108" s="2" t="s">
        <v>135</v>
      </c>
    </row>
    <row r="109" spans="5:9">
      <c r="E109" s="167">
        <v>29</v>
      </c>
      <c r="F109" s="172" t="s">
        <v>21</v>
      </c>
      <c r="G109" s="195" t="s">
        <v>136</v>
      </c>
      <c r="H109" s="272">
        <v>19</v>
      </c>
      <c r="I109" s="192" t="s">
        <v>135</v>
      </c>
    </row>
    <row r="110" spans="5:9">
      <c r="E110" s="271">
        <v>30</v>
      </c>
      <c r="F110" s="197" t="s">
        <v>21</v>
      </c>
      <c r="G110" s="172" t="s">
        <v>137</v>
      </c>
      <c r="H110" s="271">
        <v>2</v>
      </c>
      <c r="I110" s="2" t="s">
        <v>135</v>
      </c>
    </row>
    <row r="111" spans="5:9">
      <c r="E111" s="271">
        <v>31</v>
      </c>
      <c r="F111" s="197" t="s">
        <v>138</v>
      </c>
      <c r="G111" s="198" t="s">
        <v>139</v>
      </c>
      <c r="H111" s="271">
        <v>2</v>
      </c>
      <c r="I111" s="2" t="s">
        <v>140</v>
      </c>
    </row>
    <row r="112" spans="5:9">
      <c r="E112" s="271">
        <v>32</v>
      </c>
      <c r="F112" s="197" t="s">
        <v>141</v>
      </c>
      <c r="G112" s="172" t="s">
        <v>142</v>
      </c>
      <c r="H112" s="271">
        <v>1</v>
      </c>
      <c r="I112" s="2" t="s">
        <v>143</v>
      </c>
    </row>
    <row r="113" spans="5:9">
      <c r="E113" s="271">
        <v>33</v>
      </c>
      <c r="F113" s="197" t="s">
        <v>27</v>
      </c>
      <c r="G113" s="172" t="s">
        <v>144</v>
      </c>
      <c r="H113" s="271">
        <v>30</v>
      </c>
      <c r="I113" s="2" t="s">
        <v>145</v>
      </c>
    </row>
    <row r="114" spans="5:9">
      <c r="E114" s="271">
        <v>34</v>
      </c>
      <c r="F114" s="199" t="s">
        <v>14</v>
      </c>
      <c r="G114" s="200" t="s">
        <v>146</v>
      </c>
      <c r="H114" s="272">
        <v>1</v>
      </c>
      <c r="I114" s="192" t="s">
        <v>143</v>
      </c>
    </row>
    <row r="115" spans="5:9">
      <c r="E115" s="271">
        <v>35</v>
      </c>
      <c r="F115" s="197" t="s">
        <v>147</v>
      </c>
      <c r="G115" s="181" t="s">
        <v>148</v>
      </c>
      <c r="H115" s="271">
        <v>2</v>
      </c>
      <c r="I115" s="2" t="s">
        <v>8</v>
      </c>
    </row>
    <row r="116" spans="5:9">
      <c r="E116" s="271">
        <v>36</v>
      </c>
      <c r="F116" s="197" t="s">
        <v>149</v>
      </c>
      <c r="G116" s="181" t="s">
        <v>150</v>
      </c>
      <c r="H116" s="271">
        <v>3</v>
      </c>
      <c r="I116" s="2" t="s">
        <v>8</v>
      </c>
    </row>
    <row r="117" spans="5:9">
      <c r="E117" s="271">
        <v>37</v>
      </c>
      <c r="F117" s="197" t="s">
        <v>14</v>
      </c>
      <c r="G117" s="172" t="s">
        <v>151</v>
      </c>
      <c r="H117" s="271">
        <v>4</v>
      </c>
      <c r="I117" s="2" t="s">
        <v>143</v>
      </c>
    </row>
    <row r="118" spans="5:9">
      <c r="E118" s="271">
        <v>38</v>
      </c>
      <c r="F118" s="197" t="s">
        <v>152</v>
      </c>
      <c r="G118" s="172" t="s">
        <v>153</v>
      </c>
      <c r="H118" s="271">
        <v>7</v>
      </c>
      <c r="I118" s="2" t="s">
        <v>135</v>
      </c>
    </row>
    <row r="119" spans="5:9">
      <c r="E119" s="271">
        <v>39</v>
      </c>
      <c r="F119" s="197" t="s">
        <v>154</v>
      </c>
      <c r="G119" s="172" t="s">
        <v>155</v>
      </c>
      <c r="H119" s="271">
        <v>5</v>
      </c>
      <c r="I119" s="2" t="s">
        <v>156</v>
      </c>
    </row>
    <row r="120" spans="5:9">
      <c r="E120" s="271">
        <v>40</v>
      </c>
      <c r="F120" s="197" t="s">
        <v>157</v>
      </c>
      <c r="G120" s="172" t="s">
        <v>158</v>
      </c>
      <c r="H120" s="271">
        <v>2</v>
      </c>
      <c r="I120" s="2" t="s">
        <v>135</v>
      </c>
    </row>
    <row r="121" spans="5:9">
      <c r="E121" s="271">
        <v>41</v>
      </c>
      <c r="F121" s="201" t="s">
        <v>159</v>
      </c>
      <c r="G121" s="181" t="s">
        <v>160</v>
      </c>
      <c r="H121" s="272">
        <v>2</v>
      </c>
      <c r="I121" s="2" t="s">
        <v>8</v>
      </c>
    </row>
    <row r="122" spans="5:9">
      <c r="E122" s="271">
        <v>42</v>
      </c>
      <c r="F122" s="197" t="s">
        <v>24</v>
      </c>
      <c r="G122" s="197" t="s">
        <v>161</v>
      </c>
      <c r="H122" s="271">
        <v>4</v>
      </c>
      <c r="I122" s="202" t="s">
        <v>135</v>
      </c>
    </row>
    <row r="123" spans="5:9">
      <c r="E123" s="271">
        <v>43</v>
      </c>
      <c r="F123" s="174" t="s">
        <v>123</v>
      </c>
      <c r="G123" s="203" t="s">
        <v>162</v>
      </c>
      <c r="H123" s="271">
        <v>1</v>
      </c>
      <c r="I123" s="202" t="s">
        <v>8</v>
      </c>
    </row>
    <row r="124" spans="5:9">
      <c r="E124" s="271">
        <v>44</v>
      </c>
      <c r="F124" s="195" t="s">
        <v>123</v>
      </c>
      <c r="G124" s="204" t="s">
        <v>163</v>
      </c>
      <c r="H124" s="272">
        <v>3</v>
      </c>
      <c r="I124" s="205" t="s">
        <v>8</v>
      </c>
    </row>
    <row r="125" spans="5:9">
      <c r="E125" s="167">
        <v>45</v>
      </c>
      <c r="F125" s="174" t="s">
        <v>164</v>
      </c>
      <c r="G125" s="174" t="s">
        <v>165</v>
      </c>
      <c r="H125" s="271">
        <v>123</v>
      </c>
      <c r="I125" s="2" t="s">
        <v>166</v>
      </c>
    </row>
    <row r="126" spans="5:9">
      <c r="E126" s="167">
        <v>46</v>
      </c>
      <c r="F126" s="272" t="s">
        <v>167</v>
      </c>
      <c r="G126" s="272" t="s">
        <v>168</v>
      </c>
      <c r="H126" s="272">
        <v>28</v>
      </c>
      <c r="I126" s="192" t="s">
        <v>135</v>
      </c>
    </row>
    <row r="127" spans="5:9">
      <c r="E127" s="167">
        <v>47</v>
      </c>
      <c r="F127" s="174" t="s">
        <v>169</v>
      </c>
      <c r="G127" s="174" t="s">
        <v>170</v>
      </c>
      <c r="H127" s="271">
        <v>1</v>
      </c>
      <c r="I127" s="2" t="s">
        <v>135</v>
      </c>
    </row>
    <row r="128" spans="5:9">
      <c r="E128" s="167">
        <v>48</v>
      </c>
      <c r="F128" s="172" t="s">
        <v>171</v>
      </c>
      <c r="G128" s="181" t="s">
        <v>172</v>
      </c>
      <c r="H128" s="271">
        <v>4</v>
      </c>
      <c r="I128" s="2" t="s">
        <v>8</v>
      </c>
    </row>
    <row r="129" spans="5:9">
      <c r="E129" s="167">
        <v>49</v>
      </c>
      <c r="F129" s="195" t="s">
        <v>173</v>
      </c>
      <c r="G129" s="195" t="s">
        <v>174</v>
      </c>
      <c r="H129" s="272">
        <v>6</v>
      </c>
      <c r="I129" s="192" t="s">
        <v>8</v>
      </c>
    </row>
    <row r="130" spans="5:9">
      <c r="E130" s="167">
        <v>50</v>
      </c>
      <c r="F130" s="172" t="s">
        <v>175</v>
      </c>
      <c r="G130" s="181" t="s">
        <v>176</v>
      </c>
      <c r="H130" s="271">
        <v>4</v>
      </c>
      <c r="I130" s="2" t="s">
        <v>177</v>
      </c>
    </row>
    <row r="131" spans="5:9">
      <c r="E131" s="167">
        <v>51</v>
      </c>
      <c r="F131" s="172" t="s">
        <v>173</v>
      </c>
      <c r="G131" s="172" t="s">
        <v>174</v>
      </c>
      <c r="H131" s="271">
        <v>6</v>
      </c>
      <c r="I131" s="2" t="s">
        <v>8</v>
      </c>
    </row>
    <row r="132" spans="5:9">
      <c r="E132" s="167">
        <v>52</v>
      </c>
      <c r="F132" s="172" t="s">
        <v>123</v>
      </c>
      <c r="G132" s="172" t="s">
        <v>178</v>
      </c>
      <c r="H132" s="272">
        <v>10</v>
      </c>
      <c r="I132" s="2" t="s">
        <v>135</v>
      </c>
    </row>
    <row r="133" spans="5:9">
      <c r="E133" s="167">
        <v>53</v>
      </c>
      <c r="F133" s="172" t="s">
        <v>179</v>
      </c>
      <c r="G133" s="197" t="s">
        <v>180</v>
      </c>
      <c r="H133" s="271">
        <v>78</v>
      </c>
      <c r="I133" s="202" t="s">
        <v>181</v>
      </c>
    </row>
    <row r="134" spans="5:9">
      <c r="E134" s="271">
        <v>54</v>
      </c>
      <c r="F134" s="172" t="s">
        <v>182</v>
      </c>
      <c r="G134" s="201" t="s">
        <v>183</v>
      </c>
      <c r="H134" s="271">
        <v>4</v>
      </c>
      <c r="I134" s="202" t="s">
        <v>8</v>
      </c>
    </row>
    <row r="135" spans="5:9">
      <c r="E135" s="271">
        <v>55</v>
      </c>
      <c r="F135" s="172" t="s">
        <v>184</v>
      </c>
      <c r="G135" s="197" t="s">
        <v>185</v>
      </c>
      <c r="H135" s="271">
        <v>25</v>
      </c>
      <c r="I135" s="202" t="s">
        <v>135</v>
      </c>
    </row>
    <row r="136" spans="5:9">
      <c r="E136" s="271">
        <v>56</v>
      </c>
      <c r="F136" s="172" t="s">
        <v>14</v>
      </c>
      <c r="G136" s="197" t="s">
        <v>186</v>
      </c>
      <c r="H136" s="271">
        <v>6</v>
      </c>
      <c r="I136" s="202" t="s">
        <v>135</v>
      </c>
    </row>
    <row r="137" spans="5:9" ht="15.75" customHeight="1">
      <c r="E137" s="271">
        <v>57</v>
      </c>
      <c r="F137" s="206" t="s">
        <v>187</v>
      </c>
      <c r="G137" s="189" t="s">
        <v>188</v>
      </c>
      <c r="H137" s="272">
        <v>11</v>
      </c>
      <c r="I137" s="205" t="s">
        <v>8</v>
      </c>
    </row>
    <row r="138" spans="5:9">
      <c r="E138" s="271">
        <v>58</v>
      </c>
      <c r="F138" s="197" t="s">
        <v>189</v>
      </c>
      <c r="G138" s="172" t="s">
        <v>190</v>
      </c>
      <c r="H138" s="271">
        <v>1</v>
      </c>
      <c r="I138" s="2" t="s">
        <v>8</v>
      </c>
    </row>
    <row r="139" spans="5:9">
      <c r="E139" s="271">
        <v>59</v>
      </c>
      <c r="F139" s="197" t="s">
        <v>14</v>
      </c>
      <c r="G139" s="172" t="s">
        <v>191</v>
      </c>
      <c r="H139" s="271">
        <v>13</v>
      </c>
      <c r="I139" s="2" t="s">
        <v>135</v>
      </c>
    </row>
    <row r="140" spans="5:9">
      <c r="E140" s="271">
        <v>60</v>
      </c>
      <c r="F140" s="197" t="s">
        <v>192</v>
      </c>
      <c r="G140" s="181" t="s">
        <v>193</v>
      </c>
      <c r="H140" s="271">
        <v>1</v>
      </c>
      <c r="I140" s="2" t="s">
        <v>8</v>
      </c>
    </row>
    <row r="141" spans="5:9">
      <c r="E141" s="271">
        <v>61</v>
      </c>
      <c r="F141" s="197" t="s">
        <v>14</v>
      </c>
      <c r="G141" s="172" t="s">
        <v>194</v>
      </c>
      <c r="H141" s="271">
        <v>10</v>
      </c>
      <c r="I141" s="2" t="s">
        <v>135</v>
      </c>
    </row>
    <row r="142" spans="5:9">
      <c r="E142" s="271">
        <v>62</v>
      </c>
      <c r="F142" s="197" t="s">
        <v>123</v>
      </c>
      <c r="G142" s="181" t="s">
        <v>195</v>
      </c>
      <c r="H142" s="271">
        <v>2</v>
      </c>
      <c r="I142" s="2" t="s">
        <v>8</v>
      </c>
    </row>
    <row r="143" spans="5:9">
      <c r="E143" s="271">
        <v>63</v>
      </c>
      <c r="F143" s="197" t="s">
        <v>196</v>
      </c>
      <c r="G143" s="181" t="s">
        <v>197</v>
      </c>
      <c r="H143" s="271">
        <v>3</v>
      </c>
      <c r="I143" s="2" t="s">
        <v>8</v>
      </c>
    </row>
    <row r="144" spans="5:9">
      <c r="E144" s="271">
        <v>64</v>
      </c>
      <c r="F144" s="197" t="s">
        <v>14</v>
      </c>
      <c r="G144" s="172" t="s">
        <v>198</v>
      </c>
      <c r="H144" s="271">
        <v>6</v>
      </c>
      <c r="I144" s="2" t="s">
        <v>135</v>
      </c>
    </row>
    <row r="145" spans="5:9">
      <c r="E145" s="271">
        <v>65</v>
      </c>
      <c r="F145" s="197" t="s">
        <v>199</v>
      </c>
      <c r="G145" s="195" t="s">
        <v>200</v>
      </c>
      <c r="H145" s="272">
        <v>2</v>
      </c>
      <c r="I145" s="192" t="s">
        <v>201</v>
      </c>
    </row>
    <row r="146" spans="5:9">
      <c r="E146" s="271">
        <v>66</v>
      </c>
      <c r="F146" s="204" t="s">
        <v>202</v>
      </c>
      <c r="G146" s="172" t="s">
        <v>203</v>
      </c>
      <c r="H146" s="271">
        <v>45</v>
      </c>
      <c r="I146" s="2" t="s">
        <v>204</v>
      </c>
    </row>
    <row r="147" spans="5:9">
      <c r="E147" s="285">
        <v>67</v>
      </c>
      <c r="F147" s="287" t="s">
        <v>205</v>
      </c>
      <c r="G147" s="289" t="s">
        <v>206</v>
      </c>
      <c r="H147" s="291">
        <v>818</v>
      </c>
      <c r="I147" s="280" t="s">
        <v>207</v>
      </c>
    </row>
    <row r="148" spans="5:9">
      <c r="E148" s="286"/>
      <c r="F148" s="288"/>
      <c r="G148" s="290"/>
      <c r="H148" s="292"/>
      <c r="I148" s="281"/>
    </row>
    <row r="149" spans="5:9">
      <c r="E149" s="271">
        <v>68</v>
      </c>
      <c r="F149" s="197" t="s">
        <v>14</v>
      </c>
      <c r="G149" s="172" t="s">
        <v>208</v>
      </c>
      <c r="H149" s="2">
        <v>2</v>
      </c>
      <c r="I149" s="2" t="s">
        <v>135</v>
      </c>
    </row>
    <row r="150" spans="5:9">
      <c r="E150" s="271">
        <v>69</v>
      </c>
      <c r="F150" s="197" t="s">
        <v>14</v>
      </c>
      <c r="G150" s="195" t="s">
        <v>208</v>
      </c>
      <c r="H150" s="192">
        <v>2</v>
      </c>
      <c r="I150" s="192" t="s">
        <v>135</v>
      </c>
    </row>
    <row r="151" spans="5:9">
      <c r="E151" s="271">
        <v>70</v>
      </c>
      <c r="F151" s="197" t="s">
        <v>34</v>
      </c>
      <c r="G151" s="181" t="s">
        <v>209</v>
      </c>
      <c r="H151" s="2">
        <v>1</v>
      </c>
      <c r="I151" s="2" t="s">
        <v>8</v>
      </c>
    </row>
    <row r="152" spans="5:9">
      <c r="E152" s="271">
        <v>71</v>
      </c>
      <c r="F152" s="197" t="s">
        <v>138</v>
      </c>
      <c r="G152" s="172" t="s">
        <v>210</v>
      </c>
      <c r="H152" s="192">
        <v>2</v>
      </c>
      <c r="I152" s="192" t="s">
        <v>211</v>
      </c>
    </row>
    <row r="153" spans="5:9">
      <c r="E153" s="271">
        <v>72</v>
      </c>
      <c r="F153" s="172" t="s">
        <v>21</v>
      </c>
      <c r="G153" s="204" t="s">
        <v>212</v>
      </c>
      <c r="H153" s="192">
        <v>21</v>
      </c>
      <c r="I153" s="192" t="s">
        <v>213</v>
      </c>
    </row>
    <row r="154" spans="5:9">
      <c r="E154" s="271">
        <v>73</v>
      </c>
      <c r="F154" s="197" t="s">
        <v>214</v>
      </c>
      <c r="G154" s="181" t="s">
        <v>215</v>
      </c>
      <c r="H154" s="2">
        <v>1</v>
      </c>
      <c r="I154" s="2" t="s">
        <v>216</v>
      </c>
    </row>
    <row r="155" spans="5:9">
      <c r="E155" s="271">
        <v>74</v>
      </c>
      <c r="F155" s="197" t="s">
        <v>217</v>
      </c>
      <c r="G155" s="174" t="s">
        <v>218</v>
      </c>
      <c r="H155" s="2">
        <v>10</v>
      </c>
      <c r="I155" s="2" t="s">
        <v>219</v>
      </c>
    </row>
    <row r="156" spans="5:9">
      <c r="E156" s="271">
        <v>75</v>
      </c>
      <c r="F156" s="203" t="s">
        <v>14</v>
      </c>
      <c r="G156" s="172" t="s">
        <v>220</v>
      </c>
      <c r="H156" s="2">
        <v>4</v>
      </c>
      <c r="I156" s="2" t="s">
        <v>135</v>
      </c>
    </row>
    <row r="157" spans="5:9">
      <c r="E157" s="271">
        <v>76</v>
      </c>
      <c r="F157" s="203" t="s">
        <v>14</v>
      </c>
      <c r="G157" s="174" t="s">
        <v>221</v>
      </c>
      <c r="H157" s="2">
        <v>1</v>
      </c>
      <c r="I157" s="2" t="s">
        <v>222</v>
      </c>
    </row>
    <row r="158" spans="5:9">
      <c r="E158" s="271">
        <v>77</v>
      </c>
      <c r="F158" s="197" t="s">
        <v>223</v>
      </c>
      <c r="G158" s="181" t="s">
        <v>224</v>
      </c>
      <c r="H158" s="2">
        <v>2</v>
      </c>
      <c r="I158" s="2" t="s">
        <v>8</v>
      </c>
    </row>
    <row r="159" spans="5:9">
      <c r="E159" s="271">
        <v>78</v>
      </c>
      <c r="F159" s="203" t="s">
        <v>27</v>
      </c>
      <c r="G159" s="174" t="s">
        <v>225</v>
      </c>
      <c r="H159" s="2">
        <v>1</v>
      </c>
      <c r="I159" s="2" t="s">
        <v>8</v>
      </c>
    </row>
    <row r="160" spans="5:9">
      <c r="E160" s="271">
        <v>79</v>
      </c>
      <c r="F160" s="197" t="s">
        <v>123</v>
      </c>
      <c r="G160" s="172" t="s">
        <v>226</v>
      </c>
      <c r="H160" s="2">
        <v>1</v>
      </c>
      <c r="I160" s="2" t="s">
        <v>216</v>
      </c>
    </row>
    <row r="161" spans="5:9">
      <c r="E161" s="271">
        <v>80</v>
      </c>
      <c r="F161" s="172" t="s">
        <v>227</v>
      </c>
      <c r="G161" s="172" t="s">
        <v>228</v>
      </c>
      <c r="H161" s="192">
        <v>1</v>
      </c>
      <c r="I161" s="192" t="s">
        <v>216</v>
      </c>
    </row>
    <row r="162" spans="5:9">
      <c r="E162" s="271">
        <v>81</v>
      </c>
      <c r="F162" s="172" t="s">
        <v>229</v>
      </c>
      <c r="G162" s="201" t="s">
        <v>230</v>
      </c>
      <c r="H162" s="2">
        <v>2</v>
      </c>
      <c r="I162" s="2" t="s">
        <v>216</v>
      </c>
    </row>
    <row r="163" spans="5:9">
      <c r="E163" s="272">
        <v>82</v>
      </c>
      <c r="F163" s="195" t="s">
        <v>231</v>
      </c>
      <c r="G163" s="204" t="s">
        <v>232</v>
      </c>
      <c r="H163" s="192">
        <v>15</v>
      </c>
      <c r="I163" s="192" t="s">
        <v>233</v>
      </c>
    </row>
    <row r="164" spans="5:9">
      <c r="E164" s="282">
        <v>83</v>
      </c>
      <c r="F164" s="283" t="s">
        <v>234</v>
      </c>
      <c r="G164" s="284" t="s">
        <v>235</v>
      </c>
      <c r="H164" s="282">
        <v>12</v>
      </c>
      <c r="I164" s="205" t="s">
        <v>236</v>
      </c>
    </row>
    <row r="165" spans="5:9">
      <c r="E165" s="282"/>
      <c r="F165" s="283"/>
      <c r="G165" s="284"/>
      <c r="H165" s="282"/>
      <c r="I165" s="207" t="s">
        <v>237</v>
      </c>
    </row>
    <row r="166" spans="5:9">
      <c r="E166" s="282"/>
      <c r="F166" s="283"/>
      <c r="G166" s="284"/>
      <c r="H166" s="282"/>
      <c r="I166" s="207" t="s">
        <v>238</v>
      </c>
    </row>
    <row r="167" spans="5:9">
      <c r="E167" s="282"/>
      <c r="F167" s="283"/>
      <c r="G167" s="284"/>
      <c r="H167" s="282"/>
      <c r="I167" s="208" t="s">
        <v>239</v>
      </c>
    </row>
  </sheetData>
  <mergeCells count="47">
    <mergeCell ref="I11:J11"/>
    <mergeCell ref="F12:G12"/>
    <mergeCell ref="E23:E27"/>
    <mergeCell ref="F23:F27"/>
    <mergeCell ref="G23:G27"/>
    <mergeCell ref="H23:H27"/>
    <mergeCell ref="E31:E41"/>
    <mergeCell ref="F31:F41"/>
    <mergeCell ref="G31:G41"/>
    <mergeCell ref="H31:H41"/>
    <mergeCell ref="E42:E52"/>
    <mergeCell ref="F42:F52"/>
    <mergeCell ref="G42:G52"/>
    <mergeCell ref="H42:H52"/>
    <mergeCell ref="E53:E57"/>
    <mergeCell ref="F53:F57"/>
    <mergeCell ref="G53:G57"/>
    <mergeCell ref="H53:H57"/>
    <mergeCell ref="E58:E68"/>
    <mergeCell ref="F58:F68"/>
    <mergeCell ref="G58:G68"/>
    <mergeCell ref="H58:H68"/>
    <mergeCell ref="E69:E80"/>
    <mergeCell ref="F69:F80"/>
    <mergeCell ref="G69:G80"/>
    <mergeCell ref="H69:H80"/>
    <mergeCell ref="E81:E84"/>
    <mergeCell ref="F81:F84"/>
    <mergeCell ref="G81:G84"/>
    <mergeCell ref="H81:H84"/>
    <mergeCell ref="E86:E96"/>
    <mergeCell ref="F86:F96"/>
    <mergeCell ref="G86:G96"/>
    <mergeCell ref="H86:H96"/>
    <mergeCell ref="E97:E101"/>
    <mergeCell ref="F97:F101"/>
    <mergeCell ref="G97:G101"/>
    <mergeCell ref="H97:H101"/>
    <mergeCell ref="I147:I148"/>
    <mergeCell ref="E164:E167"/>
    <mergeCell ref="F164:F167"/>
    <mergeCell ref="G164:G167"/>
    <mergeCell ref="H164:H167"/>
    <mergeCell ref="E147:E148"/>
    <mergeCell ref="F147:F148"/>
    <mergeCell ref="G147:G148"/>
    <mergeCell ref="H147:H1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1429-57C2-41B1-8C23-67EDF66BFA09}">
  <dimension ref="C2:J59"/>
  <sheetViews>
    <sheetView workbookViewId="0">
      <selection activeCell="C5" sqref="C5"/>
    </sheetView>
  </sheetViews>
  <sheetFormatPr defaultRowHeight="15"/>
  <cols>
    <col min="1" max="1" width="9" customWidth="1"/>
    <col min="2" max="2" width="9.85546875" customWidth="1"/>
    <col min="3" max="11" width="30.42578125" customWidth="1"/>
  </cols>
  <sheetData>
    <row r="2" spans="3:10">
      <c r="E2" s="310" t="s">
        <v>240</v>
      </c>
      <c r="F2" s="311"/>
      <c r="G2" s="312"/>
    </row>
    <row r="8" spans="3:10">
      <c r="C8" s="14" t="s">
        <v>241</v>
      </c>
      <c r="D8" s="15" t="s">
        <v>242</v>
      </c>
      <c r="E8" s="16" t="s">
        <v>243</v>
      </c>
      <c r="F8" s="17" t="s">
        <v>244</v>
      </c>
      <c r="G8" s="18" t="s">
        <v>245</v>
      </c>
      <c r="H8" s="18" t="s">
        <v>246</v>
      </c>
      <c r="I8" s="19" t="s">
        <v>247</v>
      </c>
      <c r="J8" s="19" t="s">
        <v>248</v>
      </c>
    </row>
    <row r="10" spans="3:10">
      <c r="C10" s="313" t="s">
        <v>249</v>
      </c>
      <c r="D10" s="316" t="s">
        <v>250</v>
      </c>
      <c r="E10" s="318" t="s">
        <v>251</v>
      </c>
      <c r="F10" s="67" t="s">
        <v>252</v>
      </c>
      <c r="G10" s="67" t="s">
        <v>253</v>
      </c>
      <c r="H10" s="104">
        <v>8</v>
      </c>
      <c r="I10" s="321">
        <f>SUM(H10:H16)</f>
        <v>19</v>
      </c>
      <c r="J10" s="316">
        <v>156</v>
      </c>
    </row>
    <row r="11" spans="3:10">
      <c r="C11" s="314"/>
      <c r="D11" s="317"/>
      <c r="E11" s="319"/>
      <c r="F11" s="81" t="s">
        <v>27</v>
      </c>
      <c r="G11" s="81" t="s">
        <v>254</v>
      </c>
      <c r="H11" s="105">
        <v>3</v>
      </c>
      <c r="I11" s="322"/>
      <c r="J11" s="317"/>
    </row>
    <row r="12" spans="3:10">
      <c r="C12" s="314"/>
      <c r="D12" s="317"/>
      <c r="E12" s="319"/>
      <c r="F12" s="81" t="s">
        <v>14</v>
      </c>
      <c r="G12" s="76" t="s">
        <v>255</v>
      </c>
      <c r="H12" s="127">
        <v>3</v>
      </c>
      <c r="I12" s="322"/>
      <c r="J12" s="317"/>
    </row>
    <row r="13" spans="3:10">
      <c r="C13" s="314"/>
      <c r="D13" s="317"/>
      <c r="E13" s="319"/>
      <c r="F13" s="76" t="s">
        <v>14</v>
      </c>
      <c r="G13" s="81" t="s">
        <v>256</v>
      </c>
      <c r="H13" s="105">
        <v>1</v>
      </c>
      <c r="I13" s="322"/>
      <c r="J13" s="317"/>
    </row>
    <row r="14" spans="3:10">
      <c r="C14" s="314"/>
      <c r="D14" s="317"/>
      <c r="E14" s="319"/>
      <c r="F14" s="81" t="s">
        <v>138</v>
      </c>
      <c r="G14" s="81" t="s">
        <v>257</v>
      </c>
      <c r="H14" s="105">
        <v>2</v>
      </c>
      <c r="I14" s="322"/>
      <c r="J14" s="317"/>
    </row>
    <row r="15" spans="3:10">
      <c r="C15" s="314"/>
      <c r="D15" s="317"/>
      <c r="E15" s="319"/>
      <c r="F15" s="81" t="s">
        <v>258</v>
      </c>
      <c r="G15" s="81" t="s">
        <v>185</v>
      </c>
      <c r="H15" s="105">
        <v>1</v>
      </c>
      <c r="I15" s="322"/>
      <c r="J15" s="317"/>
    </row>
    <row r="16" spans="3:10">
      <c r="C16" s="314"/>
      <c r="D16" s="317"/>
      <c r="E16" s="320"/>
      <c r="F16" s="82" t="s">
        <v>259</v>
      </c>
      <c r="G16" s="82" t="s">
        <v>203</v>
      </c>
      <c r="H16" s="209">
        <v>1</v>
      </c>
      <c r="I16" s="323"/>
      <c r="J16" s="317"/>
    </row>
    <row r="17" spans="3:10">
      <c r="C17" s="314"/>
      <c r="D17" s="317"/>
      <c r="E17" s="20"/>
      <c r="F17" s="20"/>
      <c r="G17" s="20"/>
      <c r="H17" s="32"/>
      <c r="I17" s="32"/>
      <c r="J17" s="330"/>
    </row>
    <row r="18" spans="3:10">
      <c r="C18" s="314"/>
      <c r="D18" s="317"/>
      <c r="E18" s="318" t="s">
        <v>260</v>
      </c>
      <c r="F18" s="67" t="s">
        <v>261</v>
      </c>
      <c r="G18" s="67" t="s">
        <v>262</v>
      </c>
      <c r="H18" s="104">
        <v>2</v>
      </c>
      <c r="I18" s="327">
        <f>SUM(H18:H22)</f>
        <v>10</v>
      </c>
      <c r="J18" s="317"/>
    </row>
    <row r="19" spans="3:10">
      <c r="C19" s="314"/>
      <c r="D19" s="317"/>
      <c r="E19" s="319"/>
      <c r="F19" s="81" t="s">
        <v>27</v>
      </c>
      <c r="G19" s="81" t="s">
        <v>263</v>
      </c>
      <c r="H19" s="105">
        <v>3</v>
      </c>
      <c r="I19" s="328"/>
      <c r="J19" s="317"/>
    </row>
    <row r="20" spans="3:10">
      <c r="C20" s="314"/>
      <c r="D20" s="317"/>
      <c r="E20" s="319"/>
      <c r="F20" s="81" t="s">
        <v>264</v>
      </c>
      <c r="G20" s="81" t="s">
        <v>265</v>
      </c>
      <c r="H20" s="105">
        <v>2</v>
      </c>
      <c r="I20" s="328"/>
      <c r="J20" s="317"/>
    </row>
    <row r="21" spans="3:10">
      <c r="C21" s="314"/>
      <c r="D21" s="317"/>
      <c r="E21" s="319"/>
      <c r="F21" s="148" t="s">
        <v>138</v>
      </c>
      <c r="G21" s="148" t="s">
        <v>257</v>
      </c>
      <c r="H21" s="210">
        <v>2</v>
      </c>
      <c r="I21" s="328"/>
      <c r="J21" s="317"/>
    </row>
    <row r="22" spans="3:10">
      <c r="C22" s="314"/>
      <c r="D22" s="317"/>
      <c r="E22" s="320"/>
      <c r="F22" s="82" t="s">
        <v>27</v>
      </c>
      <c r="G22" s="82" t="s">
        <v>203</v>
      </c>
      <c r="H22" s="209">
        <v>1</v>
      </c>
      <c r="I22" s="329"/>
      <c r="J22" s="317"/>
    </row>
    <row r="23" spans="3:10">
      <c r="C23" s="314"/>
      <c r="D23" s="317"/>
      <c r="E23" s="20"/>
      <c r="F23" s="20"/>
      <c r="G23" s="20"/>
      <c r="H23" s="32"/>
      <c r="I23" s="32"/>
      <c r="J23" s="330"/>
    </row>
    <row r="24" spans="3:10">
      <c r="C24" s="314"/>
      <c r="D24" s="317"/>
      <c r="E24" s="324" t="s">
        <v>266</v>
      </c>
      <c r="F24" s="67" t="s">
        <v>267</v>
      </c>
      <c r="G24" s="22" t="s">
        <v>262</v>
      </c>
      <c r="H24" s="68">
        <v>2</v>
      </c>
      <c r="I24" s="327">
        <f>SUM(H24:H30)</f>
        <v>17</v>
      </c>
      <c r="J24" s="317"/>
    </row>
    <row r="25" spans="3:10">
      <c r="C25" s="314"/>
      <c r="D25" s="317"/>
      <c r="E25" s="325"/>
      <c r="F25" s="81" t="s">
        <v>27</v>
      </c>
      <c r="G25" s="6" t="s">
        <v>263</v>
      </c>
      <c r="H25" s="69">
        <v>8</v>
      </c>
      <c r="I25" s="328"/>
      <c r="J25" s="317"/>
    </row>
    <row r="26" spans="3:10">
      <c r="C26" s="314"/>
      <c r="D26" s="317"/>
      <c r="E26" s="325"/>
      <c r="F26" s="81" t="s">
        <v>27</v>
      </c>
      <c r="G26" s="6" t="s">
        <v>254</v>
      </c>
      <c r="H26" s="69">
        <v>2</v>
      </c>
      <c r="I26" s="328"/>
      <c r="J26" s="317"/>
    </row>
    <row r="27" spans="3:10">
      <c r="C27" s="314"/>
      <c r="D27" s="317"/>
      <c r="E27" s="325"/>
      <c r="F27" s="81" t="s">
        <v>14</v>
      </c>
      <c r="G27" s="6" t="s">
        <v>19</v>
      </c>
      <c r="H27" s="69">
        <v>1</v>
      </c>
      <c r="I27" s="328"/>
      <c r="J27" s="317"/>
    </row>
    <row r="28" spans="3:10">
      <c r="C28" s="314"/>
      <c r="D28" s="317"/>
      <c r="E28" s="325"/>
      <c r="F28" s="81" t="s">
        <v>14</v>
      </c>
      <c r="G28" s="6" t="s">
        <v>191</v>
      </c>
      <c r="H28" s="69">
        <v>1</v>
      </c>
      <c r="I28" s="328"/>
      <c r="J28" s="317"/>
    </row>
    <row r="29" spans="3:10">
      <c r="C29" s="314"/>
      <c r="D29" s="317"/>
      <c r="E29" s="325"/>
      <c r="F29" s="81" t="s">
        <v>138</v>
      </c>
      <c r="G29" s="6" t="s">
        <v>268</v>
      </c>
      <c r="H29" s="69">
        <v>2</v>
      </c>
      <c r="I29" s="328"/>
      <c r="J29" s="317"/>
    </row>
    <row r="30" spans="3:10">
      <c r="C30" s="314"/>
      <c r="D30" s="317"/>
      <c r="E30" s="326"/>
      <c r="F30" s="82" t="s">
        <v>259</v>
      </c>
      <c r="G30" s="30" t="s">
        <v>203</v>
      </c>
      <c r="H30" s="107">
        <v>1</v>
      </c>
      <c r="I30" s="329"/>
      <c r="J30" s="317"/>
    </row>
    <row r="31" spans="3:10">
      <c r="C31" s="314"/>
      <c r="D31" s="317"/>
      <c r="E31" s="20"/>
      <c r="F31" s="20"/>
      <c r="G31" s="20"/>
      <c r="H31" s="32"/>
      <c r="I31" s="32"/>
      <c r="J31" s="330"/>
    </row>
    <row r="32" spans="3:10">
      <c r="C32" s="314"/>
      <c r="D32" s="317"/>
      <c r="E32" s="89" t="s">
        <v>269</v>
      </c>
      <c r="F32" s="73" t="s">
        <v>27</v>
      </c>
      <c r="G32" s="39" t="s">
        <v>43</v>
      </c>
      <c r="H32" s="257">
        <v>1</v>
      </c>
      <c r="I32" s="211">
        <v>1</v>
      </c>
      <c r="J32" s="317"/>
    </row>
    <row r="33" spans="3:10">
      <c r="C33" s="314"/>
      <c r="D33" s="317"/>
      <c r="E33" s="20"/>
      <c r="F33" s="20"/>
      <c r="G33" s="20"/>
      <c r="H33" s="32"/>
      <c r="I33" s="32"/>
      <c r="J33" s="330"/>
    </row>
    <row r="34" spans="3:10">
      <c r="C34" s="314"/>
      <c r="D34" s="317"/>
      <c r="E34" s="324" t="s">
        <v>270</v>
      </c>
      <c r="F34" s="67" t="s">
        <v>261</v>
      </c>
      <c r="G34" s="22" t="s">
        <v>262</v>
      </c>
      <c r="H34" s="68">
        <v>7</v>
      </c>
      <c r="I34" s="327">
        <f>SUM(H34:H37)</f>
        <v>10</v>
      </c>
      <c r="J34" s="317"/>
    </row>
    <row r="35" spans="3:10">
      <c r="C35" s="314"/>
      <c r="D35" s="317"/>
      <c r="E35" s="325"/>
      <c r="F35" s="81" t="s">
        <v>27</v>
      </c>
      <c r="G35" s="6" t="s">
        <v>43</v>
      </c>
      <c r="H35" s="69">
        <v>1</v>
      </c>
      <c r="I35" s="328"/>
      <c r="J35" s="317"/>
    </row>
    <row r="36" spans="3:10">
      <c r="C36" s="314"/>
      <c r="D36" s="317"/>
      <c r="E36" s="325"/>
      <c r="F36" s="81" t="s">
        <v>258</v>
      </c>
      <c r="G36" s="6" t="s">
        <v>185</v>
      </c>
      <c r="H36" s="69">
        <v>1</v>
      </c>
      <c r="I36" s="328"/>
      <c r="J36" s="317"/>
    </row>
    <row r="37" spans="3:10">
      <c r="C37" s="314"/>
      <c r="D37" s="317"/>
      <c r="E37" s="326"/>
      <c r="F37" s="82" t="s">
        <v>27</v>
      </c>
      <c r="G37" s="28" t="s">
        <v>180</v>
      </c>
      <c r="H37" s="72">
        <v>1</v>
      </c>
      <c r="I37" s="329"/>
      <c r="J37" s="317"/>
    </row>
    <row r="38" spans="3:10">
      <c r="C38" s="314"/>
      <c r="D38" s="317"/>
      <c r="E38" s="20"/>
      <c r="F38" s="20"/>
      <c r="G38" s="20"/>
      <c r="H38" s="32"/>
      <c r="I38" s="32"/>
      <c r="J38" s="330"/>
    </row>
    <row r="39" spans="3:10">
      <c r="C39" s="314"/>
      <c r="D39" s="317"/>
      <c r="E39" s="324" t="s">
        <v>271</v>
      </c>
      <c r="F39" s="67" t="s">
        <v>261</v>
      </c>
      <c r="G39" s="67" t="s">
        <v>262</v>
      </c>
      <c r="H39" s="104">
        <v>4</v>
      </c>
      <c r="I39" s="327">
        <f>SUM(H39:H44)</f>
        <v>11</v>
      </c>
      <c r="J39" s="317"/>
    </row>
    <row r="40" spans="3:10">
      <c r="C40" s="314"/>
      <c r="D40" s="317"/>
      <c r="E40" s="325"/>
      <c r="F40" s="81" t="s">
        <v>27</v>
      </c>
      <c r="G40" s="212" t="s">
        <v>263</v>
      </c>
      <c r="H40" s="213">
        <v>3</v>
      </c>
      <c r="I40" s="328"/>
      <c r="J40" s="317"/>
    </row>
    <row r="41" spans="3:10">
      <c r="C41" s="314"/>
      <c r="D41" s="317"/>
      <c r="E41" s="325"/>
      <c r="F41" s="81" t="s">
        <v>27</v>
      </c>
      <c r="G41" s="81" t="s">
        <v>43</v>
      </c>
      <c r="H41" s="105">
        <v>1</v>
      </c>
      <c r="I41" s="328"/>
      <c r="J41" s="317"/>
    </row>
    <row r="42" spans="3:10">
      <c r="C42" s="314"/>
      <c r="D42" s="317"/>
      <c r="E42" s="325"/>
      <c r="F42" s="81" t="s">
        <v>14</v>
      </c>
      <c r="G42" s="81" t="s">
        <v>194</v>
      </c>
      <c r="H42" s="105">
        <v>1</v>
      </c>
      <c r="I42" s="328"/>
      <c r="J42" s="317"/>
    </row>
    <row r="43" spans="3:10">
      <c r="C43" s="314"/>
      <c r="D43" s="317"/>
      <c r="E43" s="325"/>
      <c r="F43" s="81" t="s">
        <v>14</v>
      </c>
      <c r="G43" s="81" t="s">
        <v>19</v>
      </c>
      <c r="H43" s="105">
        <v>1</v>
      </c>
      <c r="I43" s="328"/>
      <c r="J43" s="317"/>
    </row>
    <row r="44" spans="3:10">
      <c r="C44" s="314"/>
      <c r="D44" s="317"/>
      <c r="E44" s="326"/>
      <c r="F44" s="82" t="s">
        <v>258</v>
      </c>
      <c r="G44" s="82" t="s">
        <v>185</v>
      </c>
      <c r="H44" s="209">
        <v>1</v>
      </c>
      <c r="I44" s="329"/>
      <c r="J44" s="317"/>
    </row>
    <row r="45" spans="3:10">
      <c r="C45" s="314"/>
      <c r="D45" s="317"/>
      <c r="E45" s="20"/>
      <c r="F45" s="20"/>
      <c r="G45" s="20"/>
      <c r="H45" s="32"/>
      <c r="I45" s="32"/>
      <c r="J45" s="330"/>
    </row>
    <row r="46" spans="3:10">
      <c r="C46" s="314"/>
      <c r="D46" s="317"/>
      <c r="E46" s="89" t="s">
        <v>272</v>
      </c>
      <c r="F46" s="73" t="s">
        <v>27</v>
      </c>
      <c r="G46" s="234" t="s">
        <v>273</v>
      </c>
      <c r="H46" s="249">
        <v>3</v>
      </c>
      <c r="I46" s="211">
        <v>3</v>
      </c>
      <c r="J46" s="317"/>
    </row>
    <row r="47" spans="3:10">
      <c r="C47" s="314"/>
      <c r="D47" s="317"/>
      <c r="E47" s="20"/>
      <c r="F47" s="20"/>
      <c r="G47" s="20"/>
      <c r="H47" s="32"/>
      <c r="I47" s="32"/>
      <c r="J47" s="330"/>
    </row>
    <row r="48" spans="3:10">
      <c r="C48" s="314"/>
      <c r="D48" s="317"/>
      <c r="E48" s="324" t="s">
        <v>274</v>
      </c>
      <c r="F48" s="67" t="s">
        <v>275</v>
      </c>
      <c r="G48" s="22" t="s">
        <v>262</v>
      </c>
      <c r="H48" s="68">
        <v>21</v>
      </c>
      <c r="I48" s="327">
        <f>SUM(H48:H58)</f>
        <v>39</v>
      </c>
      <c r="J48" s="317"/>
    </row>
    <row r="49" spans="3:10">
      <c r="C49" s="314"/>
      <c r="D49" s="317"/>
      <c r="E49" s="325"/>
      <c r="F49" s="81" t="s">
        <v>27</v>
      </c>
      <c r="G49" s="6" t="s">
        <v>263</v>
      </c>
      <c r="H49" s="69">
        <v>4</v>
      </c>
      <c r="I49" s="328"/>
      <c r="J49" s="317"/>
    </row>
    <row r="50" spans="3:10">
      <c r="C50" s="314"/>
      <c r="D50" s="317"/>
      <c r="E50" s="325"/>
      <c r="F50" s="81" t="s">
        <v>264</v>
      </c>
      <c r="G50" s="6" t="s">
        <v>265</v>
      </c>
      <c r="H50" s="69">
        <v>2</v>
      </c>
      <c r="I50" s="328"/>
      <c r="J50" s="317"/>
    </row>
    <row r="51" spans="3:10">
      <c r="C51" s="314"/>
      <c r="D51" s="317"/>
      <c r="E51" s="325"/>
      <c r="F51" s="76" t="s">
        <v>24</v>
      </c>
      <c r="G51" s="25" t="s">
        <v>276</v>
      </c>
      <c r="H51" s="70">
        <v>2</v>
      </c>
      <c r="I51" s="328"/>
      <c r="J51" s="317"/>
    </row>
    <row r="52" spans="3:10">
      <c r="C52" s="314"/>
      <c r="D52" s="317"/>
      <c r="E52" s="325"/>
      <c r="F52" s="76" t="s">
        <v>24</v>
      </c>
      <c r="G52" s="6" t="s">
        <v>25</v>
      </c>
      <c r="H52" s="69">
        <v>1</v>
      </c>
      <c r="I52" s="328"/>
      <c r="J52" s="317"/>
    </row>
    <row r="53" spans="3:10">
      <c r="C53" s="314"/>
      <c r="D53" s="317"/>
      <c r="E53" s="325"/>
      <c r="F53" s="81" t="s">
        <v>277</v>
      </c>
      <c r="G53" s="6" t="s">
        <v>155</v>
      </c>
      <c r="H53" s="69">
        <v>1</v>
      </c>
      <c r="I53" s="328"/>
      <c r="J53" s="317"/>
    </row>
    <row r="54" spans="3:10">
      <c r="C54" s="314"/>
      <c r="D54" s="317"/>
      <c r="E54" s="325"/>
      <c r="F54" s="81" t="s">
        <v>21</v>
      </c>
      <c r="G54" s="6" t="s">
        <v>136</v>
      </c>
      <c r="H54" s="69">
        <v>1</v>
      </c>
      <c r="I54" s="328"/>
      <c r="J54" s="317"/>
    </row>
    <row r="55" spans="3:10">
      <c r="C55" s="314"/>
      <c r="D55" s="317"/>
      <c r="E55" s="325"/>
      <c r="F55" s="81" t="s">
        <v>14</v>
      </c>
      <c r="G55" s="6" t="s">
        <v>19</v>
      </c>
      <c r="H55" s="69">
        <v>1</v>
      </c>
      <c r="I55" s="328"/>
      <c r="J55" s="317"/>
    </row>
    <row r="56" spans="3:10">
      <c r="C56" s="314"/>
      <c r="D56" s="317"/>
      <c r="E56" s="325"/>
      <c r="F56" s="81" t="s">
        <v>27</v>
      </c>
      <c r="G56" s="25" t="s">
        <v>278</v>
      </c>
      <c r="H56" s="70">
        <v>4</v>
      </c>
      <c r="I56" s="328"/>
      <c r="J56" s="317"/>
    </row>
    <row r="57" spans="3:10">
      <c r="C57" s="314"/>
      <c r="D57" s="317"/>
      <c r="E57" s="325"/>
      <c r="F57" s="81" t="s">
        <v>27</v>
      </c>
      <c r="G57" s="25" t="s">
        <v>144</v>
      </c>
      <c r="H57" s="70">
        <v>1</v>
      </c>
      <c r="I57" s="328"/>
      <c r="J57" s="317"/>
    </row>
    <row r="58" spans="3:10">
      <c r="C58" s="314"/>
      <c r="D58" s="317"/>
      <c r="E58" s="326"/>
      <c r="F58" s="148" t="s">
        <v>279</v>
      </c>
      <c r="G58" s="28" t="s">
        <v>180</v>
      </c>
      <c r="H58" s="72">
        <v>1</v>
      </c>
      <c r="I58" s="328"/>
      <c r="J58" s="331"/>
    </row>
    <row r="59" spans="3:10">
      <c r="C59" s="315"/>
      <c r="D59" s="267" t="s">
        <v>280</v>
      </c>
      <c r="E59" s="115" t="s">
        <v>274</v>
      </c>
      <c r="F59" s="39" t="s">
        <v>279</v>
      </c>
      <c r="G59" s="214" t="s">
        <v>180</v>
      </c>
      <c r="H59" s="215">
        <v>1</v>
      </c>
      <c r="I59" s="56">
        <v>1</v>
      </c>
      <c r="J59" s="267">
        <v>1</v>
      </c>
    </row>
  </sheetData>
  <autoFilter ref="C8:J8" xr:uid="{D8D91429-57C2-41B1-8C23-67EDF66BFA09}"/>
  <mergeCells count="16">
    <mergeCell ref="J10:J58"/>
    <mergeCell ref="E18:E22"/>
    <mergeCell ref="I18:I22"/>
    <mergeCell ref="E24:E30"/>
    <mergeCell ref="I24:I30"/>
    <mergeCell ref="E2:G2"/>
    <mergeCell ref="C10:C59"/>
    <mergeCell ref="D10:D58"/>
    <mergeCell ref="E10:E16"/>
    <mergeCell ref="I10:I16"/>
    <mergeCell ref="E34:E37"/>
    <mergeCell ref="I34:I37"/>
    <mergeCell ref="E39:E44"/>
    <mergeCell ref="I39:I44"/>
    <mergeCell ref="E48:E58"/>
    <mergeCell ref="I48:I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A68D9-A7EC-4BC9-93F8-AE6365851455}">
  <dimension ref="B3:I52"/>
  <sheetViews>
    <sheetView showGridLines="0" topLeftCell="A2" workbookViewId="0">
      <selection activeCell="G9" sqref="G9:G14"/>
    </sheetView>
  </sheetViews>
  <sheetFormatPr defaultRowHeight="15"/>
  <cols>
    <col min="2" max="2" width="26.5703125" customWidth="1"/>
    <col min="3" max="3" width="22.7109375" customWidth="1"/>
    <col min="4" max="4" width="23.42578125" customWidth="1"/>
    <col min="5" max="5" width="24.140625" customWidth="1"/>
    <col min="6" max="6" width="37" customWidth="1"/>
    <col min="7" max="7" width="28.140625" customWidth="1"/>
    <col min="8" max="8" width="27.85546875" customWidth="1"/>
    <col min="9" max="9" width="26.7109375" customWidth="1"/>
  </cols>
  <sheetData>
    <row r="3" spans="2:9">
      <c r="E3" s="310" t="s">
        <v>240</v>
      </c>
      <c r="F3" s="311"/>
      <c r="G3" s="312"/>
    </row>
    <row r="7" spans="2:9">
      <c r="B7" s="8" t="s">
        <v>241</v>
      </c>
      <c r="C7" s="9" t="s">
        <v>242</v>
      </c>
      <c r="D7" s="10" t="s">
        <v>243</v>
      </c>
      <c r="E7" s="11" t="s">
        <v>244</v>
      </c>
      <c r="F7" s="13" t="s">
        <v>245</v>
      </c>
      <c r="G7" s="13" t="s">
        <v>281</v>
      </c>
      <c r="H7" s="12" t="s">
        <v>282</v>
      </c>
      <c r="I7" s="12" t="s">
        <v>283</v>
      </c>
    </row>
    <row r="9" spans="2:9" ht="15" customHeight="1">
      <c r="B9" s="313" t="s">
        <v>284</v>
      </c>
      <c r="C9" s="338" t="s">
        <v>250</v>
      </c>
      <c r="D9" s="332" t="s">
        <v>251</v>
      </c>
      <c r="E9" s="67" t="s">
        <v>252</v>
      </c>
      <c r="F9" s="67" t="s">
        <v>262</v>
      </c>
      <c r="G9" s="104">
        <v>9</v>
      </c>
      <c r="H9" s="321">
        <f>SUM(G9:G14)</f>
        <v>19</v>
      </c>
      <c r="I9" s="316">
        <v>125</v>
      </c>
    </row>
    <row r="10" spans="2:9" ht="15" customHeight="1">
      <c r="B10" s="314"/>
      <c r="C10" s="339"/>
      <c r="D10" s="333"/>
      <c r="E10" s="81" t="s">
        <v>27</v>
      </c>
      <c r="F10" s="81" t="s">
        <v>254</v>
      </c>
      <c r="G10" s="105">
        <v>2</v>
      </c>
      <c r="H10" s="322"/>
      <c r="I10" s="317"/>
    </row>
    <row r="11" spans="2:9" ht="15" customHeight="1">
      <c r="B11" s="314"/>
      <c r="C11" s="339"/>
      <c r="D11" s="333"/>
      <c r="E11" s="81" t="s">
        <v>14</v>
      </c>
      <c r="F11" s="76" t="s">
        <v>255</v>
      </c>
      <c r="G11" s="127">
        <v>2</v>
      </c>
      <c r="H11" s="322"/>
      <c r="I11" s="317"/>
    </row>
    <row r="12" spans="2:9" ht="15" customHeight="1">
      <c r="B12" s="314"/>
      <c r="C12" s="339"/>
      <c r="D12" s="333"/>
      <c r="E12" s="76" t="s">
        <v>14</v>
      </c>
      <c r="F12" s="81" t="s">
        <v>256</v>
      </c>
      <c r="G12" s="105">
        <v>1</v>
      </c>
      <c r="H12" s="322"/>
      <c r="I12" s="317"/>
    </row>
    <row r="13" spans="2:9" ht="15" customHeight="1">
      <c r="B13" s="314"/>
      <c r="C13" s="339"/>
      <c r="D13" s="333"/>
      <c r="E13" s="81" t="s">
        <v>138</v>
      </c>
      <c r="F13" s="81" t="s">
        <v>257</v>
      </c>
      <c r="G13" s="105">
        <v>4</v>
      </c>
      <c r="H13" s="322"/>
      <c r="I13" s="317"/>
    </row>
    <row r="14" spans="2:9" ht="15" customHeight="1">
      <c r="B14" s="314"/>
      <c r="C14" s="339"/>
      <c r="D14" s="334"/>
      <c r="E14" s="82" t="s">
        <v>259</v>
      </c>
      <c r="F14" s="82" t="s">
        <v>203</v>
      </c>
      <c r="G14" s="209">
        <v>1</v>
      </c>
      <c r="H14" s="323"/>
      <c r="I14" s="317"/>
    </row>
    <row r="15" spans="2:9" ht="15" customHeight="1">
      <c r="B15" s="314"/>
      <c r="C15" s="317"/>
      <c r="D15" s="63"/>
      <c r="E15" s="63"/>
      <c r="F15" s="63"/>
      <c r="G15" s="36"/>
      <c r="H15" s="36"/>
      <c r="I15" s="330"/>
    </row>
    <row r="16" spans="2:9" ht="15" customHeight="1">
      <c r="B16" s="314"/>
      <c r="C16" s="339"/>
      <c r="D16" s="332" t="s">
        <v>260</v>
      </c>
      <c r="E16" s="22" t="s">
        <v>252</v>
      </c>
      <c r="F16" s="21" t="s">
        <v>262</v>
      </c>
      <c r="G16" s="104">
        <v>2</v>
      </c>
      <c r="H16" s="321">
        <f>SUM(G16:G20)</f>
        <v>8</v>
      </c>
      <c r="I16" s="317"/>
    </row>
    <row r="17" spans="2:9" ht="15" customHeight="1">
      <c r="B17" s="314"/>
      <c r="C17" s="339"/>
      <c r="D17" s="333"/>
      <c r="E17" s="6" t="s">
        <v>27</v>
      </c>
      <c r="F17" s="23" t="s">
        <v>263</v>
      </c>
      <c r="G17" s="105">
        <v>1</v>
      </c>
      <c r="H17" s="322"/>
      <c r="I17" s="317"/>
    </row>
    <row r="18" spans="2:9" ht="15" customHeight="1">
      <c r="B18" s="314"/>
      <c r="C18" s="339"/>
      <c r="D18" s="333"/>
      <c r="E18" s="25" t="s">
        <v>14</v>
      </c>
      <c r="F18" s="23" t="s">
        <v>220</v>
      </c>
      <c r="G18" s="105">
        <v>1</v>
      </c>
      <c r="H18" s="322"/>
      <c r="I18" s="317"/>
    </row>
    <row r="19" spans="2:9" ht="15" customHeight="1">
      <c r="B19" s="314"/>
      <c r="C19" s="339"/>
      <c r="D19" s="333"/>
      <c r="E19" s="258" t="s">
        <v>138</v>
      </c>
      <c r="F19" s="259" t="s">
        <v>257</v>
      </c>
      <c r="G19" s="210">
        <v>2</v>
      </c>
      <c r="H19" s="322"/>
      <c r="I19" s="317"/>
    </row>
    <row r="20" spans="2:9" ht="15" customHeight="1">
      <c r="B20" s="314"/>
      <c r="C20" s="339"/>
      <c r="D20" s="334"/>
      <c r="E20" s="30" t="s">
        <v>27</v>
      </c>
      <c r="F20" s="31" t="s">
        <v>285</v>
      </c>
      <c r="G20" s="209">
        <v>2</v>
      </c>
      <c r="H20" s="323"/>
      <c r="I20" s="317"/>
    </row>
    <row r="21" spans="2:9" ht="15" customHeight="1">
      <c r="B21" s="314"/>
      <c r="C21" s="317"/>
      <c r="D21" s="63"/>
      <c r="E21" s="63"/>
      <c r="F21" s="63"/>
      <c r="G21" s="36"/>
      <c r="H21" s="36"/>
      <c r="I21" s="330"/>
    </row>
    <row r="22" spans="2:9" ht="15" customHeight="1">
      <c r="B22" s="314"/>
      <c r="C22" s="339"/>
      <c r="D22" s="335" t="s">
        <v>266</v>
      </c>
      <c r="E22" s="22" t="s">
        <v>267</v>
      </c>
      <c r="F22" s="21" t="s">
        <v>262</v>
      </c>
      <c r="G22" s="104">
        <v>1</v>
      </c>
      <c r="H22" s="321">
        <f>SUM(G22:G27)</f>
        <v>10</v>
      </c>
      <c r="I22" s="317"/>
    </row>
    <row r="23" spans="2:9" ht="15" customHeight="1">
      <c r="B23" s="314"/>
      <c r="C23" s="339"/>
      <c r="D23" s="336"/>
      <c r="E23" s="6" t="s">
        <v>27</v>
      </c>
      <c r="F23" s="23" t="s">
        <v>263</v>
      </c>
      <c r="G23" s="105">
        <v>4</v>
      </c>
      <c r="H23" s="322"/>
      <c r="I23" s="317"/>
    </row>
    <row r="24" spans="2:9" ht="15" customHeight="1">
      <c r="B24" s="314"/>
      <c r="C24" s="339"/>
      <c r="D24" s="336"/>
      <c r="E24" s="6" t="s">
        <v>27</v>
      </c>
      <c r="F24" s="23" t="s">
        <v>254</v>
      </c>
      <c r="G24" s="105">
        <v>2</v>
      </c>
      <c r="H24" s="322"/>
      <c r="I24" s="317"/>
    </row>
    <row r="25" spans="2:9" ht="15" customHeight="1">
      <c r="B25" s="314"/>
      <c r="C25" s="339"/>
      <c r="D25" s="336"/>
      <c r="E25" s="6" t="s">
        <v>24</v>
      </c>
      <c r="F25" s="23" t="s">
        <v>161</v>
      </c>
      <c r="G25" s="105">
        <v>1</v>
      </c>
      <c r="H25" s="322"/>
      <c r="I25" s="317"/>
    </row>
    <row r="26" spans="2:9" ht="15" customHeight="1">
      <c r="B26" s="314"/>
      <c r="C26" s="339"/>
      <c r="D26" s="336"/>
      <c r="E26" s="6" t="s">
        <v>14</v>
      </c>
      <c r="F26" s="23" t="s">
        <v>191</v>
      </c>
      <c r="G26" s="105">
        <v>1</v>
      </c>
      <c r="H26" s="322"/>
      <c r="I26" s="317"/>
    </row>
    <row r="27" spans="2:9" ht="15" customHeight="1">
      <c r="B27" s="314"/>
      <c r="C27" s="339"/>
      <c r="D27" s="337"/>
      <c r="E27" s="28" t="s">
        <v>169</v>
      </c>
      <c r="F27" s="64" t="s">
        <v>170</v>
      </c>
      <c r="G27" s="260">
        <v>1</v>
      </c>
      <c r="H27" s="323"/>
      <c r="I27" s="317"/>
    </row>
    <row r="28" spans="2:9" ht="15" customHeight="1">
      <c r="B28" s="314"/>
      <c r="C28" s="317"/>
      <c r="D28" s="63"/>
      <c r="E28" s="63"/>
      <c r="F28" s="63"/>
      <c r="G28" s="36"/>
      <c r="H28" s="36"/>
      <c r="I28" s="330"/>
    </row>
    <row r="29" spans="2:9" ht="15" customHeight="1">
      <c r="B29" s="314"/>
      <c r="C29" s="317"/>
      <c r="D29" s="89" t="s">
        <v>269</v>
      </c>
      <c r="E29" s="73" t="s">
        <v>27</v>
      </c>
      <c r="F29" s="39" t="s">
        <v>253</v>
      </c>
      <c r="G29" s="261">
        <v>1</v>
      </c>
      <c r="H29" s="56">
        <v>1</v>
      </c>
      <c r="I29" s="317"/>
    </row>
    <row r="30" spans="2:9" ht="15" customHeight="1">
      <c r="B30" s="314"/>
      <c r="C30" s="317"/>
      <c r="D30" s="63"/>
      <c r="E30" s="63"/>
      <c r="F30" s="63"/>
      <c r="G30" s="36"/>
      <c r="H30" s="36"/>
      <c r="I30" s="330"/>
    </row>
    <row r="31" spans="2:9" ht="15" customHeight="1">
      <c r="B31" s="314"/>
      <c r="C31" s="339"/>
      <c r="D31" s="335" t="s">
        <v>270</v>
      </c>
      <c r="E31" s="22" t="s">
        <v>261</v>
      </c>
      <c r="F31" s="21" t="s">
        <v>262</v>
      </c>
      <c r="G31" s="104">
        <v>3</v>
      </c>
      <c r="H31" s="327">
        <f>SUM(G31:G35)</f>
        <v>9</v>
      </c>
      <c r="I31" s="317"/>
    </row>
    <row r="32" spans="2:9" ht="15" customHeight="1">
      <c r="B32" s="314"/>
      <c r="C32" s="339"/>
      <c r="D32" s="336"/>
      <c r="E32" s="25" t="s">
        <v>21</v>
      </c>
      <c r="F32" s="98" t="s">
        <v>286</v>
      </c>
      <c r="G32" s="127">
        <v>2</v>
      </c>
      <c r="H32" s="328"/>
      <c r="I32" s="317"/>
    </row>
    <row r="33" spans="2:9" ht="15" customHeight="1">
      <c r="B33" s="314"/>
      <c r="C33" s="339"/>
      <c r="D33" s="336"/>
      <c r="E33" s="6" t="s">
        <v>14</v>
      </c>
      <c r="F33" s="23" t="s">
        <v>287</v>
      </c>
      <c r="G33" s="105">
        <v>2</v>
      </c>
      <c r="H33" s="328"/>
      <c r="I33" s="317"/>
    </row>
    <row r="34" spans="2:9" ht="15" customHeight="1">
      <c r="B34" s="314"/>
      <c r="C34" s="339"/>
      <c r="D34" s="336"/>
      <c r="E34" s="6" t="s">
        <v>138</v>
      </c>
      <c r="F34" s="23" t="s">
        <v>165</v>
      </c>
      <c r="G34" s="105">
        <v>1</v>
      </c>
      <c r="H34" s="328"/>
      <c r="I34" s="317"/>
    </row>
    <row r="35" spans="2:9" ht="15" customHeight="1">
      <c r="B35" s="314"/>
      <c r="C35" s="339"/>
      <c r="D35" s="337"/>
      <c r="E35" s="30" t="s">
        <v>157</v>
      </c>
      <c r="F35" s="31" t="s">
        <v>158</v>
      </c>
      <c r="G35" s="209">
        <v>1</v>
      </c>
      <c r="H35" s="329"/>
      <c r="I35" s="317"/>
    </row>
    <row r="36" spans="2:9" ht="15" customHeight="1">
      <c r="B36" s="314"/>
      <c r="C36" s="317"/>
      <c r="D36" s="63"/>
      <c r="E36" s="63"/>
      <c r="F36" s="63"/>
      <c r="G36" s="36"/>
      <c r="H36" s="262"/>
      <c r="I36" s="330"/>
    </row>
    <row r="37" spans="2:9" ht="15" customHeight="1">
      <c r="B37" s="314"/>
      <c r="C37" s="317"/>
      <c r="D37" s="324" t="s">
        <v>271</v>
      </c>
      <c r="E37" s="67" t="s">
        <v>252</v>
      </c>
      <c r="F37" s="67" t="s">
        <v>253</v>
      </c>
      <c r="G37" s="104">
        <v>1</v>
      </c>
      <c r="H37" s="321">
        <f>SUM(G37:G41)</f>
        <v>6</v>
      </c>
      <c r="I37" s="317"/>
    </row>
    <row r="38" spans="2:9" ht="15" customHeight="1">
      <c r="B38" s="314"/>
      <c r="C38" s="317"/>
      <c r="D38" s="340"/>
      <c r="E38" s="81" t="s">
        <v>27</v>
      </c>
      <c r="F38" s="81" t="s">
        <v>43</v>
      </c>
      <c r="G38" s="105">
        <v>1</v>
      </c>
      <c r="H38" s="322"/>
      <c r="I38" s="317"/>
    </row>
    <row r="39" spans="2:9" ht="15" customHeight="1">
      <c r="B39" s="314"/>
      <c r="C39" s="317"/>
      <c r="D39" s="340"/>
      <c r="E39" s="81" t="s">
        <v>14</v>
      </c>
      <c r="F39" s="81" t="s">
        <v>194</v>
      </c>
      <c r="G39" s="105">
        <v>1</v>
      </c>
      <c r="H39" s="322"/>
      <c r="I39" s="317"/>
    </row>
    <row r="40" spans="2:9" ht="15" customHeight="1">
      <c r="B40" s="314"/>
      <c r="C40" s="317"/>
      <c r="D40" s="340"/>
      <c r="E40" s="81" t="s">
        <v>14</v>
      </c>
      <c r="F40" s="81" t="s">
        <v>287</v>
      </c>
      <c r="G40" s="105">
        <v>2</v>
      </c>
      <c r="H40" s="322"/>
      <c r="I40" s="317"/>
    </row>
    <row r="41" spans="2:9" ht="15" customHeight="1">
      <c r="B41" s="314"/>
      <c r="C41" s="317"/>
      <c r="D41" s="326"/>
      <c r="E41" s="82" t="s">
        <v>258</v>
      </c>
      <c r="F41" s="82" t="s">
        <v>185</v>
      </c>
      <c r="G41" s="209">
        <v>1</v>
      </c>
      <c r="H41" s="323"/>
      <c r="I41" s="317"/>
    </row>
    <row r="42" spans="2:9" ht="15" customHeight="1">
      <c r="B42" s="314"/>
      <c r="C42" s="317"/>
      <c r="D42" s="63"/>
      <c r="E42" s="63"/>
      <c r="F42" s="63"/>
      <c r="G42" s="341"/>
      <c r="H42" s="342"/>
      <c r="I42" s="330"/>
    </row>
    <row r="43" spans="2:9" ht="15" customHeight="1">
      <c r="B43" s="314"/>
      <c r="C43" s="317"/>
      <c r="D43" s="89" t="s">
        <v>272</v>
      </c>
      <c r="E43" s="39" t="s">
        <v>27</v>
      </c>
      <c r="F43" s="263" t="s">
        <v>273</v>
      </c>
      <c r="G43" s="88">
        <v>3</v>
      </c>
      <c r="H43" s="211">
        <v>3</v>
      </c>
      <c r="I43" s="317"/>
    </row>
    <row r="44" spans="2:9" ht="15" customHeight="1">
      <c r="B44" s="314"/>
      <c r="C44" s="317"/>
      <c r="D44" s="63"/>
      <c r="E44" s="63"/>
      <c r="F44" s="63"/>
      <c r="G44" s="36"/>
      <c r="H44" s="36"/>
      <c r="I44" s="330"/>
    </row>
    <row r="45" spans="2:9" ht="15" customHeight="1">
      <c r="B45" s="314"/>
      <c r="C45" s="339"/>
      <c r="D45" s="335" t="s">
        <v>274</v>
      </c>
      <c r="E45" s="67" t="s">
        <v>252</v>
      </c>
      <c r="F45" s="22" t="s">
        <v>262</v>
      </c>
      <c r="G45" s="68">
        <v>12</v>
      </c>
      <c r="H45" s="321">
        <f>SUM(G45:G51)</f>
        <v>21</v>
      </c>
      <c r="I45" s="317"/>
    </row>
    <row r="46" spans="2:9" ht="15" customHeight="1">
      <c r="B46" s="314"/>
      <c r="C46" s="339"/>
      <c r="D46" s="336"/>
      <c r="E46" s="81" t="s">
        <v>27</v>
      </c>
      <c r="F46" s="6" t="s">
        <v>263</v>
      </c>
      <c r="G46" s="69">
        <v>1</v>
      </c>
      <c r="H46" s="322"/>
      <c r="I46" s="317"/>
    </row>
    <row r="47" spans="2:9" ht="15" customHeight="1">
      <c r="B47" s="314"/>
      <c r="C47" s="339"/>
      <c r="D47" s="336"/>
      <c r="E47" s="81" t="s">
        <v>27</v>
      </c>
      <c r="F47" s="6" t="s">
        <v>254</v>
      </c>
      <c r="G47" s="69">
        <v>3</v>
      </c>
      <c r="H47" s="322"/>
      <c r="I47" s="317"/>
    </row>
    <row r="48" spans="2:9" ht="15" customHeight="1">
      <c r="B48" s="314"/>
      <c r="C48" s="339"/>
      <c r="D48" s="336"/>
      <c r="E48" s="76" t="s">
        <v>14</v>
      </c>
      <c r="F48" s="25" t="s">
        <v>288</v>
      </c>
      <c r="G48" s="70">
        <v>2</v>
      </c>
      <c r="H48" s="322"/>
      <c r="I48" s="317"/>
    </row>
    <row r="49" spans="2:9" ht="15" customHeight="1">
      <c r="B49" s="314"/>
      <c r="C49" s="339"/>
      <c r="D49" s="336"/>
      <c r="E49" s="76" t="s">
        <v>138</v>
      </c>
      <c r="F49" s="25" t="s">
        <v>165</v>
      </c>
      <c r="G49" s="70">
        <v>1</v>
      </c>
      <c r="H49" s="322"/>
      <c r="I49" s="317"/>
    </row>
    <row r="50" spans="2:9" ht="15" customHeight="1">
      <c r="B50" s="314"/>
      <c r="C50" s="339"/>
      <c r="D50" s="336"/>
      <c r="E50" s="76" t="s">
        <v>27</v>
      </c>
      <c r="F50" s="25" t="s">
        <v>128</v>
      </c>
      <c r="G50" s="70">
        <v>1</v>
      </c>
      <c r="H50" s="322"/>
      <c r="I50" s="317"/>
    </row>
    <row r="51" spans="2:9" ht="15" customHeight="1">
      <c r="B51" s="314"/>
      <c r="C51" s="339"/>
      <c r="D51" s="337"/>
      <c r="E51" s="77" t="s">
        <v>27</v>
      </c>
      <c r="F51" s="28" t="s">
        <v>180</v>
      </c>
      <c r="G51" s="72">
        <v>1</v>
      </c>
      <c r="H51" s="323"/>
      <c r="I51" s="317"/>
    </row>
    <row r="52" spans="2:9">
      <c r="B52" s="315"/>
      <c r="C52" s="331"/>
      <c r="D52" s="273" t="s">
        <v>280</v>
      </c>
      <c r="E52" s="264" t="s">
        <v>289</v>
      </c>
      <c r="F52" s="266" t="s">
        <v>235</v>
      </c>
      <c r="G52" s="265">
        <v>1</v>
      </c>
      <c r="H52" s="252">
        <v>1</v>
      </c>
      <c r="I52" s="331"/>
    </row>
  </sheetData>
  <autoFilter ref="B7:H7" xr:uid="{852A68D9-A7EC-4BC9-93F8-AE6365851455}"/>
  <mergeCells count="17">
    <mergeCell ref="E3:G3"/>
    <mergeCell ref="D9:D14"/>
    <mergeCell ref="H9:H14"/>
    <mergeCell ref="C9:C52"/>
    <mergeCell ref="B9:B52"/>
    <mergeCell ref="D37:D41"/>
    <mergeCell ref="H37:H41"/>
    <mergeCell ref="D45:D51"/>
    <mergeCell ref="H45:H51"/>
    <mergeCell ref="G42:H42"/>
    <mergeCell ref="I9:I52"/>
    <mergeCell ref="D16:D20"/>
    <mergeCell ref="H16:H20"/>
    <mergeCell ref="D22:D27"/>
    <mergeCell ref="H22:H27"/>
    <mergeCell ref="D31:D35"/>
    <mergeCell ref="H31:H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DB53-954B-4AC4-B007-CFA8D0A489E0}">
  <dimension ref="B3:I52"/>
  <sheetViews>
    <sheetView showGridLines="0" topLeftCell="A23" workbookViewId="0">
      <selection activeCell="H53" sqref="H53"/>
    </sheetView>
  </sheetViews>
  <sheetFormatPr defaultRowHeight="15"/>
  <cols>
    <col min="2" max="2" width="14.42578125" customWidth="1"/>
    <col min="3" max="3" width="16.7109375" customWidth="1"/>
    <col min="4" max="4" width="20" customWidth="1"/>
    <col min="5" max="5" width="20.28515625" customWidth="1"/>
    <col min="6" max="6" width="36.42578125" customWidth="1"/>
    <col min="7" max="7" width="29.42578125" customWidth="1"/>
    <col min="8" max="8" width="39.7109375" customWidth="1"/>
    <col min="9" max="9" width="24.7109375" customWidth="1"/>
  </cols>
  <sheetData>
    <row r="3" spans="2:9">
      <c r="E3" s="310" t="s">
        <v>240</v>
      </c>
      <c r="F3" s="311"/>
      <c r="G3" s="312"/>
    </row>
    <row r="7" spans="2:9">
      <c r="B7" s="14" t="s">
        <v>241</v>
      </c>
      <c r="C7" s="15" t="s">
        <v>242</v>
      </c>
      <c r="D7" s="16" t="s">
        <v>243</v>
      </c>
      <c r="E7" s="17" t="s">
        <v>244</v>
      </c>
      <c r="F7" s="18" t="s">
        <v>245</v>
      </c>
      <c r="G7" s="18" t="s">
        <v>281</v>
      </c>
      <c r="H7" s="19" t="s">
        <v>282</v>
      </c>
      <c r="I7" s="19" t="s">
        <v>290</v>
      </c>
    </row>
    <row r="9" spans="2:9" ht="15" customHeight="1">
      <c r="B9" s="313" t="s">
        <v>291</v>
      </c>
      <c r="C9" s="316" t="s">
        <v>250</v>
      </c>
      <c r="D9" s="344" t="s">
        <v>251</v>
      </c>
      <c r="E9" s="23" t="s">
        <v>267</v>
      </c>
      <c r="F9" s="46" t="s">
        <v>292</v>
      </c>
      <c r="G9" s="53">
        <v>5</v>
      </c>
      <c r="H9" s="347">
        <f>SUM(G9:G17)</f>
        <v>19</v>
      </c>
      <c r="I9" s="343">
        <v>133</v>
      </c>
    </row>
    <row r="10" spans="2:9" ht="15" customHeight="1">
      <c r="B10" s="314"/>
      <c r="C10" s="317"/>
      <c r="D10" s="345"/>
      <c r="E10" s="47" t="s">
        <v>27</v>
      </c>
      <c r="F10" s="26" t="s">
        <v>293</v>
      </c>
      <c r="G10" s="51">
        <v>3</v>
      </c>
      <c r="H10" s="348"/>
      <c r="I10" s="343"/>
    </row>
    <row r="11" spans="2:9" ht="15" customHeight="1">
      <c r="B11" s="314"/>
      <c r="C11" s="317"/>
      <c r="D11" s="345"/>
      <c r="E11" s="47" t="s">
        <v>264</v>
      </c>
      <c r="F11" s="24" t="s">
        <v>294</v>
      </c>
      <c r="G11" s="50">
        <v>1</v>
      </c>
      <c r="H11" s="348"/>
      <c r="I11" s="343"/>
    </row>
    <row r="12" spans="2:9" ht="15" customHeight="1">
      <c r="B12" s="314"/>
      <c r="C12" s="317"/>
      <c r="D12" s="345"/>
      <c r="E12" s="43" t="s">
        <v>14</v>
      </c>
      <c r="F12" s="26" t="s">
        <v>295</v>
      </c>
      <c r="G12" s="49">
        <v>1</v>
      </c>
      <c r="H12" s="348"/>
      <c r="I12" s="343"/>
    </row>
    <row r="13" spans="2:9" ht="15" customHeight="1">
      <c r="B13" s="314"/>
      <c r="C13" s="317"/>
      <c r="D13" s="345"/>
      <c r="E13" s="43" t="s">
        <v>14</v>
      </c>
      <c r="F13" s="26" t="s">
        <v>296</v>
      </c>
      <c r="G13" s="49">
        <v>1</v>
      </c>
      <c r="H13" s="348"/>
      <c r="I13" s="343"/>
    </row>
    <row r="14" spans="2:9" ht="15" customHeight="1">
      <c r="B14" s="314"/>
      <c r="C14" s="317"/>
      <c r="D14" s="345"/>
      <c r="E14" s="47" t="s">
        <v>297</v>
      </c>
      <c r="F14" s="26" t="s">
        <v>203</v>
      </c>
      <c r="G14" s="49">
        <v>1</v>
      </c>
      <c r="H14" s="348"/>
      <c r="I14" s="343"/>
    </row>
    <row r="15" spans="2:9" ht="15" customHeight="1">
      <c r="B15" s="314"/>
      <c r="C15" s="317"/>
      <c r="D15" s="345"/>
      <c r="E15" s="47" t="s">
        <v>27</v>
      </c>
      <c r="F15" s="26" t="s">
        <v>298</v>
      </c>
      <c r="G15" s="49">
        <v>3</v>
      </c>
      <c r="H15" s="348"/>
      <c r="I15" s="343"/>
    </row>
    <row r="16" spans="2:9" ht="15" customHeight="1">
      <c r="B16" s="314"/>
      <c r="C16" s="317"/>
      <c r="D16" s="345"/>
      <c r="E16" s="47" t="s">
        <v>138</v>
      </c>
      <c r="F16" s="26" t="s">
        <v>299</v>
      </c>
      <c r="G16" s="49">
        <v>3</v>
      </c>
      <c r="H16" s="348"/>
      <c r="I16" s="343"/>
    </row>
    <row r="17" spans="2:9" ht="15" customHeight="1">
      <c r="B17" s="314"/>
      <c r="C17" s="317"/>
      <c r="D17" s="346"/>
      <c r="E17" s="47" t="s">
        <v>27</v>
      </c>
      <c r="F17" s="24" t="s">
        <v>128</v>
      </c>
      <c r="G17" s="50">
        <v>1</v>
      </c>
      <c r="H17" s="348"/>
      <c r="I17" s="343"/>
    </row>
    <row r="18" spans="2:9" ht="15" customHeight="1">
      <c r="B18" s="314"/>
      <c r="C18" s="317"/>
      <c r="D18" s="63"/>
      <c r="E18" s="63"/>
      <c r="F18" s="63"/>
      <c r="G18" s="36"/>
      <c r="H18" s="36"/>
      <c r="I18" s="343"/>
    </row>
    <row r="19" spans="2:9" ht="15" customHeight="1">
      <c r="B19" s="314"/>
      <c r="C19" s="317"/>
      <c r="D19" s="349" t="s">
        <v>260</v>
      </c>
      <c r="E19" s="47" t="s">
        <v>252</v>
      </c>
      <c r="F19" s="26" t="s">
        <v>300</v>
      </c>
      <c r="G19" s="49">
        <v>1</v>
      </c>
      <c r="H19" s="348">
        <f>SUM(G19:G23)</f>
        <v>9</v>
      </c>
      <c r="I19" s="343"/>
    </row>
    <row r="20" spans="2:9" ht="15" customHeight="1">
      <c r="B20" s="314"/>
      <c r="C20" s="317"/>
      <c r="D20" s="350"/>
      <c r="E20" s="47" t="s">
        <v>27</v>
      </c>
      <c r="F20" s="26" t="s">
        <v>301</v>
      </c>
      <c r="G20" s="49">
        <v>5</v>
      </c>
      <c r="H20" s="348"/>
      <c r="I20" s="343"/>
    </row>
    <row r="21" spans="2:9" ht="15" customHeight="1">
      <c r="B21" s="314"/>
      <c r="C21" s="317"/>
      <c r="D21" s="350"/>
      <c r="E21" s="41" t="s">
        <v>27</v>
      </c>
      <c r="F21" s="41" t="s">
        <v>43</v>
      </c>
      <c r="G21" s="49">
        <v>1</v>
      </c>
      <c r="H21" s="348"/>
      <c r="I21" s="343"/>
    </row>
    <row r="22" spans="2:9" ht="15" customHeight="1">
      <c r="B22" s="314"/>
      <c r="C22" s="317"/>
      <c r="D22" s="350"/>
      <c r="E22" s="41" t="s">
        <v>14</v>
      </c>
      <c r="F22" s="44" t="s">
        <v>75</v>
      </c>
      <c r="G22" s="50">
        <v>1</v>
      </c>
      <c r="H22" s="348"/>
      <c r="I22" s="343"/>
    </row>
    <row r="23" spans="2:9" ht="15" customHeight="1">
      <c r="B23" s="314"/>
      <c r="C23" s="317"/>
      <c r="D23" s="351"/>
      <c r="E23" s="41" t="s">
        <v>138</v>
      </c>
      <c r="F23" s="41" t="s">
        <v>165</v>
      </c>
      <c r="G23" s="49">
        <v>1</v>
      </c>
      <c r="H23" s="348"/>
      <c r="I23" s="343"/>
    </row>
    <row r="24" spans="2:9" ht="15" customHeight="1">
      <c r="B24" s="314"/>
      <c r="C24" s="317"/>
      <c r="D24" s="63"/>
      <c r="E24" s="63"/>
      <c r="F24" s="63"/>
      <c r="G24" s="36"/>
      <c r="H24" s="36"/>
      <c r="I24" s="343"/>
    </row>
    <row r="25" spans="2:9" ht="15" customHeight="1">
      <c r="B25" s="314"/>
      <c r="C25" s="317"/>
      <c r="D25" s="349" t="s">
        <v>266</v>
      </c>
      <c r="E25" s="23" t="s">
        <v>252</v>
      </c>
      <c r="F25" s="26" t="s">
        <v>302</v>
      </c>
      <c r="G25" s="49">
        <v>2</v>
      </c>
      <c r="H25" s="348">
        <f>SUM(G25:G29)</f>
        <v>7</v>
      </c>
      <c r="I25" s="343"/>
    </row>
    <row r="26" spans="2:9" ht="15" customHeight="1">
      <c r="B26" s="314"/>
      <c r="C26" s="317"/>
      <c r="D26" s="350"/>
      <c r="E26" s="23" t="s">
        <v>27</v>
      </c>
      <c r="F26" s="26" t="s">
        <v>303</v>
      </c>
      <c r="G26" s="49">
        <v>1</v>
      </c>
      <c r="H26" s="348"/>
      <c r="I26" s="343"/>
    </row>
    <row r="27" spans="2:9" ht="15" customHeight="1">
      <c r="B27" s="314"/>
      <c r="C27" s="317"/>
      <c r="D27" s="350"/>
      <c r="E27" s="23" t="s">
        <v>27</v>
      </c>
      <c r="F27" s="26" t="s">
        <v>304</v>
      </c>
      <c r="G27" s="49">
        <v>2</v>
      </c>
      <c r="H27" s="348"/>
      <c r="I27" s="343"/>
    </row>
    <row r="28" spans="2:9" ht="15" customHeight="1">
      <c r="B28" s="314"/>
      <c r="C28" s="317"/>
      <c r="D28" s="350"/>
      <c r="E28" s="47" t="s">
        <v>14</v>
      </c>
      <c r="F28" s="41" t="s">
        <v>146</v>
      </c>
      <c r="G28" s="49">
        <v>1</v>
      </c>
      <c r="H28" s="348"/>
      <c r="I28" s="343"/>
    </row>
    <row r="29" spans="2:9" ht="15" customHeight="1">
      <c r="B29" s="314"/>
      <c r="C29" s="317"/>
      <c r="D29" s="351"/>
      <c r="E29" s="47" t="s">
        <v>138</v>
      </c>
      <c r="F29" s="41" t="s">
        <v>165</v>
      </c>
      <c r="G29" s="49">
        <v>1</v>
      </c>
      <c r="H29" s="348"/>
      <c r="I29" s="343"/>
    </row>
    <row r="30" spans="2:9" ht="15" customHeight="1">
      <c r="B30" s="314"/>
      <c r="C30" s="317"/>
      <c r="D30" s="63"/>
      <c r="E30" s="63"/>
      <c r="F30" s="63"/>
      <c r="G30" s="36"/>
      <c r="H30" s="36"/>
      <c r="I30" s="343"/>
    </row>
    <row r="31" spans="2:9" ht="15" customHeight="1">
      <c r="B31" s="314"/>
      <c r="C31" s="317"/>
      <c r="D31" s="344" t="s">
        <v>270</v>
      </c>
      <c r="E31" s="47" t="s">
        <v>305</v>
      </c>
      <c r="F31" s="26" t="s">
        <v>306</v>
      </c>
      <c r="G31" s="49">
        <v>10</v>
      </c>
      <c r="H31" s="348">
        <f>SUM(G31:G36)</f>
        <v>18</v>
      </c>
      <c r="I31" s="343"/>
    </row>
    <row r="32" spans="2:9" ht="15" customHeight="1">
      <c r="B32" s="314"/>
      <c r="C32" s="317"/>
      <c r="D32" s="345"/>
      <c r="E32" s="47" t="s">
        <v>14</v>
      </c>
      <c r="F32" s="26" t="s">
        <v>153</v>
      </c>
      <c r="G32" s="49">
        <v>1</v>
      </c>
      <c r="H32" s="348"/>
      <c r="I32" s="343"/>
    </row>
    <row r="33" spans="2:9" ht="15" customHeight="1">
      <c r="B33" s="314"/>
      <c r="C33" s="317"/>
      <c r="D33" s="345"/>
      <c r="E33" s="47" t="s">
        <v>14</v>
      </c>
      <c r="F33" s="26" t="s">
        <v>19</v>
      </c>
      <c r="G33" s="49">
        <v>1</v>
      </c>
      <c r="H33" s="348"/>
      <c r="I33" s="343"/>
    </row>
    <row r="34" spans="2:9" ht="15" customHeight="1">
      <c r="B34" s="314"/>
      <c r="C34" s="317"/>
      <c r="D34" s="345"/>
      <c r="E34" s="47" t="s">
        <v>258</v>
      </c>
      <c r="F34" s="26" t="s">
        <v>307</v>
      </c>
      <c r="G34" s="49">
        <v>4</v>
      </c>
      <c r="H34" s="348"/>
      <c r="I34" s="343"/>
    </row>
    <row r="35" spans="2:9" ht="15" customHeight="1">
      <c r="B35" s="314"/>
      <c r="C35" s="317"/>
      <c r="D35" s="345"/>
      <c r="E35" s="47" t="s">
        <v>27</v>
      </c>
      <c r="F35" s="57" t="s">
        <v>128</v>
      </c>
      <c r="G35" s="59">
        <v>1</v>
      </c>
      <c r="H35" s="348"/>
      <c r="I35" s="343"/>
    </row>
    <row r="36" spans="2:9" ht="15" customHeight="1">
      <c r="B36" s="314"/>
      <c r="C36" s="317"/>
      <c r="D36" s="346"/>
      <c r="E36" s="23" t="s">
        <v>27</v>
      </c>
      <c r="F36" s="44" t="s">
        <v>180</v>
      </c>
      <c r="G36" s="60">
        <v>1</v>
      </c>
      <c r="H36" s="347"/>
      <c r="I36" s="343"/>
    </row>
    <row r="37" spans="2:9" ht="15" customHeight="1">
      <c r="B37" s="314"/>
      <c r="C37" s="317"/>
      <c r="D37" s="63"/>
      <c r="E37" s="63"/>
      <c r="F37" s="63"/>
      <c r="G37" s="36"/>
      <c r="H37" s="36"/>
      <c r="I37" s="343"/>
    </row>
    <row r="38" spans="2:9" ht="15" customHeight="1">
      <c r="B38" s="314"/>
      <c r="C38" s="317"/>
      <c r="D38" s="344" t="s">
        <v>271</v>
      </c>
      <c r="E38" s="23" t="s">
        <v>252</v>
      </c>
      <c r="F38" s="41" t="s">
        <v>300</v>
      </c>
      <c r="G38" s="61">
        <v>1</v>
      </c>
      <c r="H38" s="347">
        <f>SUM(G38:G42)</f>
        <v>6</v>
      </c>
      <c r="I38" s="343"/>
    </row>
    <row r="39" spans="2:9" ht="15" customHeight="1">
      <c r="B39" s="314"/>
      <c r="C39" s="317"/>
      <c r="D39" s="345"/>
      <c r="E39" s="47" t="s">
        <v>27</v>
      </c>
      <c r="F39" s="48" t="s">
        <v>43</v>
      </c>
      <c r="G39" s="51">
        <v>1</v>
      </c>
      <c r="H39" s="348"/>
      <c r="I39" s="343"/>
    </row>
    <row r="40" spans="2:9" ht="15" customHeight="1">
      <c r="B40" s="314"/>
      <c r="C40" s="317"/>
      <c r="D40" s="345"/>
      <c r="E40" s="47" t="s">
        <v>14</v>
      </c>
      <c r="F40" s="26" t="s">
        <v>194</v>
      </c>
      <c r="G40" s="49">
        <v>1</v>
      </c>
      <c r="H40" s="348"/>
      <c r="I40" s="343"/>
    </row>
    <row r="41" spans="2:9" ht="15" customHeight="1">
      <c r="B41" s="314"/>
      <c r="C41" s="317"/>
      <c r="D41" s="345"/>
      <c r="E41" s="47" t="s">
        <v>14</v>
      </c>
      <c r="F41" s="26" t="s">
        <v>308</v>
      </c>
      <c r="G41" s="49">
        <v>2</v>
      </c>
      <c r="H41" s="348"/>
      <c r="I41" s="343"/>
    </row>
    <row r="42" spans="2:9" ht="15" customHeight="1">
      <c r="B42" s="314"/>
      <c r="C42" s="317"/>
      <c r="D42" s="346"/>
      <c r="E42" s="47" t="s">
        <v>258</v>
      </c>
      <c r="F42" s="26" t="s">
        <v>185</v>
      </c>
      <c r="G42" s="49">
        <v>1</v>
      </c>
      <c r="H42" s="348"/>
      <c r="I42" s="343"/>
    </row>
    <row r="43" spans="2:9" ht="15" customHeight="1">
      <c r="B43" s="314"/>
      <c r="C43" s="317"/>
      <c r="D43" s="63"/>
      <c r="E43" s="63"/>
      <c r="F43" s="63"/>
      <c r="G43" s="36"/>
      <c r="H43" s="62"/>
      <c r="I43" s="343"/>
    </row>
    <row r="44" spans="2:9" ht="15" customHeight="1">
      <c r="B44" s="314"/>
      <c r="C44" s="317"/>
      <c r="D44" s="52" t="s">
        <v>272</v>
      </c>
      <c r="E44" s="41" t="s">
        <v>27</v>
      </c>
      <c r="F44" s="24" t="s">
        <v>309</v>
      </c>
      <c r="G44" s="54">
        <v>3</v>
      </c>
      <c r="H44" s="55">
        <v>3</v>
      </c>
      <c r="I44" s="343"/>
    </row>
    <row r="45" spans="2:9" ht="15" customHeight="1">
      <c r="B45" s="314"/>
      <c r="C45" s="317"/>
      <c r="D45" s="63"/>
      <c r="E45" s="63"/>
      <c r="F45" s="63"/>
      <c r="G45" s="36"/>
      <c r="H45" s="36"/>
      <c r="I45" s="343"/>
    </row>
    <row r="46" spans="2:9" ht="15" customHeight="1">
      <c r="B46" s="314"/>
      <c r="C46" s="317"/>
      <c r="D46" s="344" t="s">
        <v>274</v>
      </c>
      <c r="E46" s="23" t="s">
        <v>310</v>
      </c>
      <c r="F46" s="26" t="s">
        <v>311</v>
      </c>
      <c r="G46" s="49">
        <v>12</v>
      </c>
      <c r="H46" s="348">
        <f>SUM(G46:G52)</f>
        <v>21</v>
      </c>
      <c r="I46" s="343"/>
    </row>
    <row r="47" spans="2:9" ht="15" customHeight="1">
      <c r="B47" s="314"/>
      <c r="C47" s="317"/>
      <c r="D47" s="345"/>
      <c r="E47" s="47" t="s">
        <v>27</v>
      </c>
      <c r="F47" s="26" t="s">
        <v>303</v>
      </c>
      <c r="G47" s="49">
        <v>1</v>
      </c>
      <c r="H47" s="348"/>
      <c r="I47" s="343"/>
    </row>
    <row r="48" spans="2:9" ht="15" customHeight="1">
      <c r="B48" s="314"/>
      <c r="C48" s="317"/>
      <c r="D48" s="345"/>
      <c r="E48" s="47" t="s">
        <v>27</v>
      </c>
      <c r="F48" s="26" t="s">
        <v>293</v>
      </c>
      <c r="G48" s="49">
        <v>3</v>
      </c>
      <c r="H48" s="348"/>
      <c r="I48" s="343"/>
    </row>
    <row r="49" spans="2:9" ht="15" customHeight="1">
      <c r="B49" s="314"/>
      <c r="C49" s="317"/>
      <c r="D49" s="345"/>
      <c r="E49" s="43" t="s">
        <v>14</v>
      </c>
      <c r="F49" s="24" t="s">
        <v>312</v>
      </c>
      <c r="G49" s="50">
        <v>2</v>
      </c>
      <c r="H49" s="348"/>
      <c r="I49" s="343"/>
    </row>
    <row r="50" spans="2:9">
      <c r="B50" s="314"/>
      <c r="C50" s="317"/>
      <c r="D50" s="345"/>
      <c r="E50" s="43" t="s">
        <v>138</v>
      </c>
      <c r="F50" s="24" t="s">
        <v>165</v>
      </c>
      <c r="G50" s="50">
        <v>1</v>
      </c>
      <c r="H50" s="348"/>
      <c r="I50" s="343"/>
    </row>
    <row r="51" spans="2:9">
      <c r="B51" s="314"/>
      <c r="C51" s="317"/>
      <c r="D51" s="345"/>
      <c r="E51" s="43" t="s">
        <v>27</v>
      </c>
      <c r="F51" s="24" t="s">
        <v>128</v>
      </c>
      <c r="G51" s="59">
        <v>1</v>
      </c>
      <c r="H51" s="348"/>
      <c r="I51" s="343"/>
    </row>
    <row r="52" spans="2:9">
      <c r="B52" s="315"/>
      <c r="C52" s="331"/>
      <c r="D52" s="346"/>
      <c r="E52" s="58" t="s">
        <v>27</v>
      </c>
      <c r="F52" s="27" t="s">
        <v>180</v>
      </c>
      <c r="G52" s="50">
        <v>1</v>
      </c>
      <c r="H52" s="348"/>
      <c r="I52" s="343"/>
    </row>
  </sheetData>
  <autoFilter ref="B7:H7" xr:uid="{F6EADB53-954B-4AC4-B007-CFA8D0A489E0}"/>
  <mergeCells count="16">
    <mergeCell ref="E3:G3"/>
    <mergeCell ref="D38:D42"/>
    <mergeCell ref="H38:H42"/>
    <mergeCell ref="D46:D52"/>
    <mergeCell ref="H46:H52"/>
    <mergeCell ref="D19:D23"/>
    <mergeCell ref="H19:H23"/>
    <mergeCell ref="D25:D29"/>
    <mergeCell ref="H25:H29"/>
    <mergeCell ref="I9:I52"/>
    <mergeCell ref="C9:C52"/>
    <mergeCell ref="B9:B52"/>
    <mergeCell ref="D9:D17"/>
    <mergeCell ref="H9:H17"/>
    <mergeCell ref="H31:H36"/>
    <mergeCell ref="D31:D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5A53-ED2C-40FC-AD3B-870C215674E4}">
  <dimension ref="C4:J57"/>
  <sheetViews>
    <sheetView topLeftCell="A40" workbookViewId="0">
      <selection activeCell="I58" sqref="I58"/>
    </sheetView>
  </sheetViews>
  <sheetFormatPr defaultRowHeight="15"/>
  <cols>
    <col min="2" max="2" width="0" hidden="1" customWidth="1"/>
    <col min="3" max="3" width="14.85546875" customWidth="1"/>
    <col min="4" max="4" width="24" customWidth="1"/>
    <col min="5" max="5" width="20.5703125" style="20" customWidth="1"/>
    <col min="6" max="6" width="22.140625" style="20" customWidth="1"/>
    <col min="7" max="7" width="36.42578125" style="20" customWidth="1"/>
    <col min="8" max="8" width="24" style="32" customWidth="1"/>
    <col min="9" max="9" width="25.7109375" style="32" customWidth="1"/>
    <col min="10" max="10" width="23" customWidth="1"/>
  </cols>
  <sheetData>
    <row r="4" spans="3:10">
      <c r="F4" s="310" t="s">
        <v>240</v>
      </c>
      <c r="G4" s="311"/>
      <c r="H4" s="312"/>
    </row>
    <row r="8" spans="3:10" s="40" customFormat="1">
      <c r="C8" s="8" t="s">
        <v>241</v>
      </c>
      <c r="D8" s="9" t="s">
        <v>242</v>
      </c>
      <c r="E8" s="10" t="s">
        <v>243</v>
      </c>
      <c r="F8" s="11" t="s">
        <v>244</v>
      </c>
      <c r="G8" s="13" t="s">
        <v>245</v>
      </c>
      <c r="H8" s="13" t="s">
        <v>281</v>
      </c>
      <c r="I8" s="12" t="s">
        <v>282</v>
      </c>
      <c r="J8" s="12" t="s">
        <v>290</v>
      </c>
    </row>
    <row r="10" spans="3:10" ht="15" customHeight="1">
      <c r="C10" s="313" t="s">
        <v>313</v>
      </c>
      <c r="D10" s="316" t="s">
        <v>250</v>
      </c>
      <c r="E10" s="344" t="s">
        <v>251</v>
      </c>
      <c r="F10" s="21" t="s">
        <v>252</v>
      </c>
      <c r="G10" s="22" t="s">
        <v>262</v>
      </c>
      <c r="H10" s="33">
        <v>15</v>
      </c>
      <c r="I10" s="362">
        <f>SUM(H10:H18)</f>
        <v>27</v>
      </c>
      <c r="J10" s="352">
        <v>133</v>
      </c>
    </row>
    <row r="11" spans="3:10" ht="15" customHeight="1">
      <c r="C11" s="314"/>
      <c r="D11" s="317"/>
      <c r="E11" s="345"/>
      <c r="F11" s="23" t="s">
        <v>27</v>
      </c>
      <c r="G11" s="6" t="s">
        <v>254</v>
      </c>
      <c r="H11" s="34">
        <v>2</v>
      </c>
      <c r="I11" s="363"/>
      <c r="J11" s="330"/>
    </row>
    <row r="12" spans="3:10" ht="15" customHeight="1">
      <c r="C12" s="314"/>
      <c r="D12" s="317"/>
      <c r="E12" s="345"/>
      <c r="F12" s="24" t="s">
        <v>14</v>
      </c>
      <c r="G12" s="25" t="s">
        <v>75</v>
      </c>
      <c r="H12" s="274">
        <v>1</v>
      </c>
      <c r="I12" s="363"/>
      <c r="J12" s="330"/>
    </row>
    <row r="13" spans="3:10" ht="15" customHeight="1">
      <c r="C13" s="314"/>
      <c r="D13" s="317"/>
      <c r="E13" s="345"/>
      <c r="F13" s="24" t="s">
        <v>14</v>
      </c>
      <c r="G13" s="25" t="s">
        <v>191</v>
      </c>
      <c r="H13" s="35">
        <v>3</v>
      </c>
      <c r="I13" s="363"/>
      <c r="J13" s="330"/>
    </row>
    <row r="14" spans="3:10" ht="15" customHeight="1">
      <c r="C14" s="314"/>
      <c r="D14" s="317"/>
      <c r="E14" s="345"/>
      <c r="F14" s="24" t="s">
        <v>14</v>
      </c>
      <c r="G14" s="6" t="s">
        <v>87</v>
      </c>
      <c r="H14" s="35">
        <v>1</v>
      </c>
      <c r="I14" s="363"/>
      <c r="J14" s="330"/>
    </row>
    <row r="15" spans="3:10" ht="15" customHeight="1">
      <c r="C15" s="314"/>
      <c r="D15" s="317"/>
      <c r="E15" s="345"/>
      <c r="F15" s="26" t="s">
        <v>138</v>
      </c>
      <c r="G15" s="6" t="s">
        <v>165</v>
      </c>
      <c r="H15" s="35">
        <v>1</v>
      </c>
      <c r="I15" s="363"/>
      <c r="J15" s="330"/>
    </row>
    <row r="16" spans="3:10" ht="15" customHeight="1">
      <c r="C16" s="314"/>
      <c r="D16" s="317"/>
      <c r="E16" s="345"/>
      <c r="F16" s="26" t="s">
        <v>258</v>
      </c>
      <c r="G16" s="6" t="s">
        <v>185</v>
      </c>
      <c r="H16" s="35">
        <v>2</v>
      </c>
      <c r="I16" s="363"/>
      <c r="J16" s="330"/>
    </row>
    <row r="17" spans="3:10" ht="15" customHeight="1">
      <c r="C17" s="314"/>
      <c r="D17" s="317"/>
      <c r="E17" s="345"/>
      <c r="F17" s="24" t="s">
        <v>14</v>
      </c>
      <c r="G17" s="25" t="s">
        <v>106</v>
      </c>
      <c r="H17" s="35">
        <v>1</v>
      </c>
      <c r="I17" s="363"/>
      <c r="J17" s="330"/>
    </row>
    <row r="18" spans="3:10" ht="15" customHeight="1">
      <c r="C18" s="314"/>
      <c r="D18" s="317"/>
      <c r="E18" s="346"/>
      <c r="F18" s="27" t="s">
        <v>289</v>
      </c>
      <c r="G18" s="28" t="s">
        <v>235</v>
      </c>
      <c r="H18" s="275">
        <v>1</v>
      </c>
      <c r="I18" s="364"/>
      <c r="J18" s="330"/>
    </row>
    <row r="19" spans="3:10" ht="15" customHeight="1">
      <c r="C19" s="314"/>
      <c r="D19" s="317"/>
      <c r="E19" s="63"/>
      <c r="F19" s="63"/>
      <c r="G19" s="63"/>
      <c r="H19" s="36"/>
      <c r="I19" s="36"/>
      <c r="J19" s="330"/>
    </row>
    <row r="20" spans="3:10" ht="15" customHeight="1">
      <c r="C20" s="314"/>
      <c r="D20" s="317"/>
      <c r="E20" s="349" t="s">
        <v>260</v>
      </c>
      <c r="F20" s="21" t="s">
        <v>314</v>
      </c>
      <c r="G20" s="22" t="s">
        <v>262</v>
      </c>
      <c r="H20" s="33">
        <v>9</v>
      </c>
      <c r="I20" s="353">
        <f>SUM(H20:H25)</f>
        <v>13</v>
      </c>
      <c r="J20" s="330"/>
    </row>
    <row r="21" spans="3:10" ht="15" customHeight="1">
      <c r="C21" s="314"/>
      <c r="D21" s="317"/>
      <c r="E21" s="350"/>
      <c r="F21" s="26" t="s">
        <v>27</v>
      </c>
      <c r="G21" s="6" t="s">
        <v>203</v>
      </c>
      <c r="H21" s="35">
        <v>1</v>
      </c>
      <c r="I21" s="354"/>
      <c r="J21" s="330"/>
    </row>
    <row r="22" spans="3:10" ht="15" customHeight="1">
      <c r="C22" s="314"/>
      <c r="D22" s="317"/>
      <c r="E22" s="350"/>
      <c r="F22" s="26" t="s">
        <v>264</v>
      </c>
      <c r="G22" s="6" t="s">
        <v>115</v>
      </c>
      <c r="H22" s="35">
        <v>1</v>
      </c>
      <c r="I22" s="354"/>
      <c r="J22" s="330"/>
    </row>
    <row r="23" spans="3:10" ht="15" customHeight="1">
      <c r="C23" s="314"/>
      <c r="D23" s="317"/>
      <c r="E23" s="350"/>
      <c r="F23" s="26" t="s">
        <v>138</v>
      </c>
      <c r="G23" s="6" t="s">
        <v>165</v>
      </c>
      <c r="H23" s="274">
        <v>1</v>
      </c>
      <c r="I23" s="354"/>
      <c r="J23" s="330"/>
    </row>
    <row r="24" spans="3:10" ht="15" customHeight="1">
      <c r="C24" s="314"/>
      <c r="D24" s="317"/>
      <c r="E24" s="351"/>
      <c r="F24" s="29" t="s">
        <v>167</v>
      </c>
      <c r="G24" s="30" t="s">
        <v>167</v>
      </c>
      <c r="H24" s="37">
        <v>1</v>
      </c>
      <c r="I24" s="355"/>
      <c r="J24" s="330"/>
    </row>
    <row r="25" spans="3:10" ht="15" customHeight="1">
      <c r="C25" s="314"/>
      <c r="D25" s="317"/>
      <c r="E25" s="63"/>
      <c r="F25" s="63"/>
      <c r="G25" s="63"/>
      <c r="H25" s="36"/>
      <c r="I25" s="36"/>
      <c r="J25" s="330"/>
    </row>
    <row r="26" spans="3:10" ht="15" customHeight="1">
      <c r="C26" s="314"/>
      <c r="D26" s="317"/>
      <c r="E26" s="349" t="s">
        <v>266</v>
      </c>
      <c r="F26" s="21" t="s">
        <v>261</v>
      </c>
      <c r="G26" s="22" t="s">
        <v>262</v>
      </c>
      <c r="H26" s="33">
        <v>2</v>
      </c>
      <c r="I26" s="353">
        <f>SUM(H26:H31)</f>
        <v>10</v>
      </c>
      <c r="J26" s="330"/>
    </row>
    <row r="27" spans="3:10" ht="15" customHeight="1">
      <c r="C27" s="314"/>
      <c r="D27" s="317"/>
      <c r="E27" s="350"/>
      <c r="F27" s="23" t="s">
        <v>27</v>
      </c>
      <c r="G27" s="6" t="s">
        <v>263</v>
      </c>
      <c r="H27" s="35">
        <v>4</v>
      </c>
      <c r="I27" s="354"/>
      <c r="J27" s="330"/>
    </row>
    <row r="28" spans="3:10" ht="15" customHeight="1">
      <c r="C28" s="314"/>
      <c r="D28" s="317"/>
      <c r="E28" s="350"/>
      <c r="F28" s="23" t="s">
        <v>27</v>
      </c>
      <c r="G28" s="6" t="s">
        <v>254</v>
      </c>
      <c r="H28" s="35">
        <v>2</v>
      </c>
      <c r="I28" s="354"/>
      <c r="J28" s="330"/>
    </row>
    <row r="29" spans="3:10" ht="15" customHeight="1">
      <c r="C29" s="314"/>
      <c r="D29" s="317"/>
      <c r="E29" s="350"/>
      <c r="F29" s="26" t="s">
        <v>167</v>
      </c>
      <c r="G29" s="6" t="s">
        <v>167</v>
      </c>
      <c r="H29" s="35">
        <v>1</v>
      </c>
      <c r="I29" s="354"/>
      <c r="J29" s="330"/>
    </row>
    <row r="30" spans="3:10" ht="15" customHeight="1">
      <c r="C30" s="314"/>
      <c r="D30" s="317"/>
      <c r="E30" s="351"/>
      <c r="F30" s="29" t="s">
        <v>289</v>
      </c>
      <c r="G30" s="30" t="s">
        <v>235</v>
      </c>
      <c r="H30" s="37">
        <v>1</v>
      </c>
      <c r="I30" s="355"/>
      <c r="J30" s="330"/>
    </row>
    <row r="31" spans="3:10" ht="15" customHeight="1">
      <c r="C31" s="314"/>
      <c r="D31" s="317"/>
      <c r="E31" s="63"/>
      <c r="F31" s="63"/>
      <c r="G31" s="63"/>
      <c r="H31" s="36"/>
      <c r="I31" s="279"/>
      <c r="J31" s="330"/>
    </row>
    <row r="32" spans="3:10" ht="15" customHeight="1">
      <c r="C32" s="314"/>
      <c r="D32" s="317"/>
      <c r="E32" s="344" t="s">
        <v>270</v>
      </c>
      <c r="F32" s="21" t="s">
        <v>252</v>
      </c>
      <c r="G32" s="22" t="s">
        <v>262</v>
      </c>
      <c r="H32" s="33">
        <v>3</v>
      </c>
      <c r="I32" s="362">
        <f>SUM(H32:H37)</f>
        <v>13</v>
      </c>
      <c r="J32" s="330"/>
    </row>
    <row r="33" spans="3:10" ht="15" customHeight="1">
      <c r="C33" s="314"/>
      <c r="D33" s="317"/>
      <c r="E33" s="345"/>
      <c r="F33" s="24" t="s">
        <v>315</v>
      </c>
      <c r="G33" s="6" t="s">
        <v>155</v>
      </c>
      <c r="H33" s="34">
        <v>1</v>
      </c>
      <c r="I33" s="363"/>
      <c r="J33" s="330"/>
    </row>
    <row r="34" spans="3:10" ht="15" customHeight="1">
      <c r="C34" s="314"/>
      <c r="D34" s="317"/>
      <c r="E34" s="345"/>
      <c r="F34" s="24" t="s">
        <v>14</v>
      </c>
      <c r="G34" s="25" t="s">
        <v>68</v>
      </c>
      <c r="H34" s="35">
        <v>3</v>
      </c>
      <c r="I34" s="363"/>
      <c r="J34" s="330"/>
    </row>
    <row r="35" spans="3:10" ht="15" customHeight="1">
      <c r="C35" s="314"/>
      <c r="D35" s="317"/>
      <c r="E35" s="345"/>
      <c r="F35" s="26" t="s">
        <v>138</v>
      </c>
      <c r="G35" s="25" t="s">
        <v>165</v>
      </c>
      <c r="H35" s="35">
        <v>1</v>
      </c>
      <c r="I35" s="363"/>
      <c r="J35" s="330"/>
    </row>
    <row r="36" spans="3:10" ht="15" customHeight="1">
      <c r="C36" s="314"/>
      <c r="D36" s="317"/>
      <c r="E36" s="345"/>
      <c r="F36" s="26" t="s">
        <v>258</v>
      </c>
      <c r="G36" s="25" t="s">
        <v>185</v>
      </c>
      <c r="H36" s="38">
        <v>3</v>
      </c>
      <c r="I36" s="363"/>
      <c r="J36" s="330"/>
    </row>
    <row r="37" spans="3:10" ht="15" customHeight="1">
      <c r="C37" s="314"/>
      <c r="D37" s="317"/>
      <c r="E37" s="346"/>
      <c r="F37" s="29" t="s">
        <v>259</v>
      </c>
      <c r="G37" s="30" t="s">
        <v>203</v>
      </c>
      <c r="H37" s="275">
        <v>2</v>
      </c>
      <c r="I37" s="364"/>
      <c r="J37" s="330"/>
    </row>
    <row r="38" spans="3:10" ht="15" customHeight="1">
      <c r="C38" s="314"/>
      <c r="D38" s="317"/>
      <c r="E38" s="63"/>
      <c r="F38" s="63"/>
      <c r="G38" s="63"/>
      <c r="H38" s="36"/>
      <c r="I38" s="36"/>
      <c r="J38" s="330"/>
    </row>
    <row r="39" spans="3:10" ht="15" customHeight="1">
      <c r="C39" s="314"/>
      <c r="D39" s="339"/>
      <c r="E39" s="367" t="s">
        <v>271</v>
      </c>
      <c r="F39" s="21" t="s">
        <v>252</v>
      </c>
      <c r="G39" s="22" t="s">
        <v>262</v>
      </c>
      <c r="H39" s="33">
        <v>10</v>
      </c>
      <c r="I39" s="369">
        <f>SUM(H39:H41)</f>
        <v>12</v>
      </c>
      <c r="J39" s="317"/>
    </row>
    <row r="40" spans="3:10" ht="15" customHeight="1">
      <c r="C40" s="314"/>
      <c r="D40" s="339"/>
      <c r="E40" s="368"/>
      <c r="F40" s="64" t="s">
        <v>315</v>
      </c>
      <c r="G40" s="30" t="s">
        <v>155</v>
      </c>
      <c r="H40" s="65">
        <v>2</v>
      </c>
      <c r="I40" s="370"/>
      <c r="J40" s="317"/>
    </row>
    <row r="41" spans="3:10" ht="15" customHeight="1">
      <c r="C41" s="314"/>
      <c r="D41" s="317"/>
      <c r="E41" s="63"/>
      <c r="F41" s="63"/>
      <c r="G41" s="63"/>
      <c r="H41" s="36"/>
      <c r="I41" s="36"/>
      <c r="J41" s="330"/>
    </row>
    <row r="42" spans="3:10" ht="15" customHeight="1">
      <c r="C42" s="314"/>
      <c r="D42" s="339"/>
      <c r="E42" s="73" t="s">
        <v>269</v>
      </c>
      <c r="F42" s="39" t="s">
        <v>27</v>
      </c>
      <c r="G42" s="89" t="s">
        <v>253</v>
      </c>
      <c r="H42" s="88">
        <v>3</v>
      </c>
      <c r="I42" s="66">
        <v>3</v>
      </c>
      <c r="J42" s="330"/>
    </row>
    <row r="43" spans="3:10" ht="15" customHeight="1">
      <c r="C43" s="314"/>
      <c r="D43" s="317"/>
      <c r="E43" s="5"/>
      <c r="F43" s="5"/>
      <c r="G43" s="5"/>
      <c r="H43" s="42"/>
      <c r="I43" s="36"/>
      <c r="J43" s="330"/>
    </row>
    <row r="44" spans="3:10" ht="15" customHeight="1">
      <c r="C44" s="314"/>
      <c r="D44" s="339"/>
      <c r="E44" s="356" t="s">
        <v>272</v>
      </c>
      <c r="F44" s="75" t="s">
        <v>37</v>
      </c>
      <c r="G44" s="74" t="s">
        <v>38</v>
      </c>
      <c r="H44" s="78">
        <v>1</v>
      </c>
      <c r="I44" s="359">
        <f>SUM(H44:H46)</f>
        <v>3</v>
      </c>
      <c r="J44" s="330"/>
    </row>
    <row r="45" spans="3:10" ht="15" customHeight="1">
      <c r="C45" s="314"/>
      <c r="D45" s="339"/>
      <c r="E45" s="357"/>
      <c r="F45" s="76" t="s">
        <v>138</v>
      </c>
      <c r="G45" s="25" t="s">
        <v>218</v>
      </c>
      <c r="H45" s="79">
        <v>1</v>
      </c>
      <c r="I45" s="360"/>
      <c r="J45" s="330"/>
    </row>
    <row r="46" spans="3:10" ht="15" customHeight="1">
      <c r="C46" s="314"/>
      <c r="D46" s="339"/>
      <c r="E46" s="358"/>
      <c r="F46" s="77" t="s">
        <v>27</v>
      </c>
      <c r="G46" s="28" t="s">
        <v>128</v>
      </c>
      <c r="H46" s="80">
        <v>1</v>
      </c>
      <c r="I46" s="361"/>
      <c r="J46" s="330"/>
    </row>
    <row r="47" spans="3:10" ht="15" customHeight="1">
      <c r="C47" s="314"/>
      <c r="D47" s="317"/>
      <c r="E47" s="63"/>
      <c r="F47" s="63"/>
      <c r="G47" s="63"/>
      <c r="H47" s="36"/>
      <c r="I47" s="36"/>
      <c r="J47" s="330"/>
    </row>
    <row r="48" spans="3:10" ht="15" customHeight="1">
      <c r="C48" s="314"/>
      <c r="D48" s="317"/>
      <c r="E48" s="324" t="s">
        <v>274</v>
      </c>
      <c r="F48" s="67" t="s">
        <v>316</v>
      </c>
      <c r="G48" s="22" t="s">
        <v>262</v>
      </c>
      <c r="H48" s="68">
        <v>33</v>
      </c>
      <c r="I48" s="371">
        <f>SUM(H48:H54)</f>
        <v>40</v>
      </c>
      <c r="J48" s="330"/>
    </row>
    <row r="49" spans="3:10" ht="15" customHeight="1">
      <c r="C49" s="314"/>
      <c r="D49" s="317"/>
      <c r="E49" s="340"/>
      <c r="F49" s="76" t="s">
        <v>264</v>
      </c>
      <c r="G49" s="25" t="s">
        <v>115</v>
      </c>
      <c r="H49" s="69">
        <v>1</v>
      </c>
      <c r="I49" s="347"/>
      <c r="J49" s="330"/>
    </row>
    <row r="50" spans="3:10" ht="15" customHeight="1">
      <c r="C50" s="314"/>
      <c r="D50" s="317"/>
      <c r="E50" s="340"/>
      <c r="F50" s="76" t="s">
        <v>27</v>
      </c>
      <c r="G50" s="25" t="s">
        <v>185</v>
      </c>
      <c r="H50" s="69">
        <v>1</v>
      </c>
      <c r="I50" s="347"/>
      <c r="J50" s="330"/>
    </row>
    <row r="51" spans="3:10" ht="15" customHeight="1">
      <c r="C51" s="314"/>
      <c r="D51" s="317"/>
      <c r="E51" s="340"/>
      <c r="F51" s="76" t="s">
        <v>14</v>
      </c>
      <c r="G51" s="25" t="s">
        <v>186</v>
      </c>
      <c r="H51" s="70">
        <v>1</v>
      </c>
      <c r="I51" s="347"/>
      <c r="J51" s="330"/>
    </row>
    <row r="52" spans="3:10" ht="15" customHeight="1">
      <c r="C52" s="314"/>
      <c r="D52" s="317"/>
      <c r="E52" s="340"/>
      <c r="F52" s="76" t="s">
        <v>27</v>
      </c>
      <c r="G52" s="25" t="s">
        <v>180</v>
      </c>
      <c r="H52" s="70">
        <v>2</v>
      </c>
      <c r="I52" s="347"/>
      <c r="J52" s="330"/>
    </row>
    <row r="53" spans="3:10" ht="15" customHeight="1">
      <c r="C53" s="314"/>
      <c r="D53" s="317"/>
      <c r="E53" s="340"/>
      <c r="F53" s="81" t="s">
        <v>27</v>
      </c>
      <c r="G53" s="6" t="s">
        <v>130</v>
      </c>
      <c r="H53" s="71">
        <v>1</v>
      </c>
      <c r="I53" s="347"/>
      <c r="J53" s="330"/>
    </row>
    <row r="54" spans="3:10" ht="15" customHeight="1">
      <c r="C54" s="314"/>
      <c r="D54" s="317"/>
      <c r="E54" s="326"/>
      <c r="F54" s="82" t="s">
        <v>289</v>
      </c>
      <c r="G54" s="30" t="s">
        <v>235</v>
      </c>
      <c r="H54" s="72">
        <v>1</v>
      </c>
      <c r="I54" s="372"/>
      <c r="J54" s="330"/>
    </row>
    <row r="55" spans="3:10" ht="15" customHeight="1">
      <c r="C55" s="314"/>
      <c r="D55" s="317"/>
      <c r="E55" s="63"/>
      <c r="F55" s="63"/>
      <c r="G55" s="63"/>
      <c r="H55" s="36"/>
      <c r="I55" s="36"/>
      <c r="J55" s="330"/>
    </row>
    <row r="56" spans="3:10" ht="15" customHeight="1">
      <c r="C56" s="314"/>
      <c r="D56" s="317"/>
      <c r="E56" s="365" t="s">
        <v>280</v>
      </c>
      <c r="F56" s="83" t="s">
        <v>180</v>
      </c>
      <c r="G56" s="83" t="s">
        <v>317</v>
      </c>
      <c r="H56" s="85">
        <v>2</v>
      </c>
      <c r="I56" s="327">
        <f>SUM(H56:H57)</f>
        <v>9</v>
      </c>
      <c r="J56" s="317"/>
    </row>
    <row r="57" spans="3:10">
      <c r="C57" s="315"/>
      <c r="D57" s="331"/>
      <c r="E57" s="366"/>
      <c r="F57" s="84" t="s">
        <v>144</v>
      </c>
      <c r="G57" s="87" t="s">
        <v>317</v>
      </c>
      <c r="H57" s="86">
        <v>7</v>
      </c>
      <c r="I57" s="329"/>
      <c r="J57" s="331"/>
    </row>
  </sheetData>
  <autoFilter ref="C8:J8" xr:uid="{0ADC5A53-ED2C-40FC-AD3B-870C215674E4}"/>
  <mergeCells count="20">
    <mergeCell ref="D10:D57"/>
    <mergeCell ref="C10:C57"/>
    <mergeCell ref="I56:I57"/>
    <mergeCell ref="F4:H4"/>
    <mergeCell ref="E10:E18"/>
    <mergeCell ref="I10:I18"/>
    <mergeCell ref="E56:E57"/>
    <mergeCell ref="E32:E37"/>
    <mergeCell ref="I32:I37"/>
    <mergeCell ref="E39:E40"/>
    <mergeCell ref="I39:I40"/>
    <mergeCell ref="E48:E54"/>
    <mergeCell ref="I48:I54"/>
    <mergeCell ref="J10:J57"/>
    <mergeCell ref="E20:E24"/>
    <mergeCell ref="I20:I24"/>
    <mergeCell ref="E26:E30"/>
    <mergeCell ref="I26:I30"/>
    <mergeCell ref="E44:E46"/>
    <mergeCell ref="I44:I4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3A98-15D8-4617-9A4A-61F10ADEE2DA}">
  <dimension ref="A1:K64"/>
  <sheetViews>
    <sheetView topLeftCell="D23" workbookViewId="0">
      <selection activeCell="I66" sqref="I66"/>
    </sheetView>
  </sheetViews>
  <sheetFormatPr defaultRowHeight="15"/>
  <cols>
    <col min="1" max="6" width="27.7109375" customWidth="1"/>
    <col min="7" max="7" width="37.7109375" customWidth="1"/>
    <col min="8" max="8" width="21.85546875" customWidth="1"/>
    <col min="9" max="11" width="27.7109375" customWidth="1"/>
  </cols>
  <sheetData>
    <row r="1" spans="1:11">
      <c r="E1" s="20"/>
      <c r="F1" s="20"/>
      <c r="G1" s="20"/>
      <c r="H1" s="32"/>
      <c r="I1" s="32"/>
    </row>
    <row r="2" spans="1:11">
      <c r="E2" s="20"/>
      <c r="F2" s="20"/>
      <c r="G2" s="20"/>
      <c r="H2" s="32"/>
      <c r="I2" s="32"/>
    </row>
    <row r="3" spans="1:11">
      <c r="E3" s="20"/>
      <c r="F3" s="20"/>
      <c r="G3" s="20"/>
      <c r="H3" s="32"/>
      <c r="I3" s="32"/>
    </row>
    <row r="4" spans="1:11">
      <c r="E4" s="20"/>
      <c r="F4" s="310" t="s">
        <v>240</v>
      </c>
      <c r="G4" s="311"/>
      <c r="H4" s="312"/>
      <c r="I4" s="32"/>
    </row>
    <row r="5" spans="1:11">
      <c r="E5" s="20"/>
      <c r="F5" s="20"/>
      <c r="G5" s="20"/>
      <c r="H5" s="32"/>
      <c r="I5" s="32"/>
    </row>
    <row r="6" spans="1:11">
      <c r="E6" s="20"/>
      <c r="F6" s="20"/>
      <c r="G6" s="20"/>
      <c r="H6" s="32"/>
      <c r="I6" s="32"/>
    </row>
    <row r="7" spans="1:11">
      <c r="E7" s="20"/>
      <c r="F7" s="20"/>
      <c r="G7" s="20"/>
      <c r="H7" s="32"/>
      <c r="I7" s="32"/>
    </row>
    <row r="8" spans="1:11">
      <c r="A8" s="40"/>
      <c r="B8" s="40"/>
      <c r="C8" s="14" t="s">
        <v>241</v>
      </c>
      <c r="D8" s="15" t="s">
        <v>242</v>
      </c>
      <c r="E8" s="16" t="s">
        <v>243</v>
      </c>
      <c r="F8" s="17" t="s">
        <v>244</v>
      </c>
      <c r="G8" s="18" t="s">
        <v>245</v>
      </c>
      <c r="H8" s="18" t="s">
        <v>281</v>
      </c>
      <c r="I8" s="19" t="s">
        <v>282</v>
      </c>
      <c r="J8" s="19" t="s">
        <v>290</v>
      </c>
      <c r="K8" s="40"/>
    </row>
    <row r="9" spans="1:11">
      <c r="E9" s="20"/>
      <c r="F9" s="20"/>
      <c r="G9" s="20"/>
      <c r="H9" s="32"/>
      <c r="I9" s="32"/>
    </row>
    <row r="10" spans="1:11" ht="15" customHeight="1">
      <c r="C10" s="313" t="s">
        <v>318</v>
      </c>
      <c r="D10" s="316" t="s">
        <v>250</v>
      </c>
      <c r="E10" s="324" t="s">
        <v>251</v>
      </c>
      <c r="F10" s="91" t="s">
        <v>319</v>
      </c>
      <c r="G10" s="90" t="s">
        <v>262</v>
      </c>
      <c r="H10" s="92">
        <v>8</v>
      </c>
      <c r="I10" s="362">
        <f>SUM(H10:H15)</f>
        <v>18</v>
      </c>
      <c r="J10" s="352">
        <v>159</v>
      </c>
    </row>
    <row r="11" spans="1:11" ht="15" customHeight="1">
      <c r="C11" s="314"/>
      <c r="D11" s="317"/>
      <c r="E11" s="340"/>
      <c r="F11" s="6" t="s">
        <v>27</v>
      </c>
      <c r="G11" s="89" t="s">
        <v>55</v>
      </c>
      <c r="H11" s="93">
        <v>2</v>
      </c>
      <c r="I11" s="363"/>
      <c r="J11" s="330"/>
    </row>
    <row r="12" spans="1:11" ht="15" customHeight="1">
      <c r="C12" s="314"/>
      <c r="D12" s="317"/>
      <c r="E12" s="340"/>
      <c r="F12" s="7" t="s">
        <v>27</v>
      </c>
      <c r="G12" s="23" t="s">
        <v>43</v>
      </c>
      <c r="H12" s="277">
        <v>3</v>
      </c>
      <c r="I12" s="363"/>
      <c r="J12" s="330"/>
    </row>
    <row r="13" spans="1:11" ht="15" customHeight="1">
      <c r="C13" s="314"/>
      <c r="D13" s="317"/>
      <c r="E13" s="340"/>
      <c r="F13" s="6" t="s">
        <v>14</v>
      </c>
      <c r="G13" s="23" t="s">
        <v>146</v>
      </c>
      <c r="H13" s="94">
        <v>2</v>
      </c>
      <c r="I13" s="363"/>
      <c r="J13" s="330"/>
    </row>
    <row r="14" spans="1:11" ht="15" customHeight="1">
      <c r="C14" s="314"/>
      <c r="D14" s="317"/>
      <c r="E14" s="340"/>
      <c r="F14" s="25" t="s">
        <v>14</v>
      </c>
      <c r="G14" s="23" t="s">
        <v>220</v>
      </c>
      <c r="H14" s="94">
        <v>2</v>
      </c>
      <c r="I14" s="363"/>
      <c r="J14" s="330"/>
    </row>
    <row r="15" spans="1:11" ht="15" customHeight="1">
      <c r="C15" s="314"/>
      <c r="D15" s="317"/>
      <c r="E15" s="326"/>
      <c r="F15" s="30" t="s">
        <v>14</v>
      </c>
      <c r="G15" s="31" t="s">
        <v>186</v>
      </c>
      <c r="H15" s="95">
        <v>1</v>
      </c>
      <c r="I15" s="364"/>
      <c r="J15" s="330"/>
    </row>
    <row r="16" spans="1:11" ht="15" customHeight="1">
      <c r="C16" s="314"/>
      <c r="D16" s="317"/>
      <c r="E16" s="63"/>
      <c r="F16" s="63"/>
      <c r="G16" s="63"/>
      <c r="H16" s="36"/>
      <c r="I16" s="36"/>
      <c r="J16" s="330"/>
    </row>
    <row r="17" spans="3:10" ht="15" customHeight="1">
      <c r="C17" s="314"/>
      <c r="D17" s="317"/>
      <c r="E17" s="324" t="s">
        <v>260</v>
      </c>
      <c r="F17" s="67" t="s">
        <v>252</v>
      </c>
      <c r="G17" s="22" t="s">
        <v>262</v>
      </c>
      <c r="H17" s="33">
        <v>12</v>
      </c>
      <c r="I17" s="353">
        <f>SUM(H17:H26)</f>
        <v>22</v>
      </c>
      <c r="J17" s="330"/>
    </row>
    <row r="18" spans="3:10" ht="15" customHeight="1">
      <c r="C18" s="314"/>
      <c r="D18" s="317"/>
      <c r="E18" s="340"/>
      <c r="F18" s="81" t="s">
        <v>27</v>
      </c>
      <c r="G18" s="6" t="s">
        <v>203</v>
      </c>
      <c r="H18" s="35">
        <v>1</v>
      </c>
      <c r="I18" s="354"/>
      <c r="J18" s="330"/>
    </row>
    <row r="19" spans="3:10" ht="15" customHeight="1">
      <c r="C19" s="314"/>
      <c r="D19" s="317"/>
      <c r="E19" s="340"/>
      <c r="F19" s="76" t="s">
        <v>14</v>
      </c>
      <c r="G19" s="25" t="s">
        <v>146</v>
      </c>
      <c r="H19" s="35">
        <v>2</v>
      </c>
      <c r="I19" s="354"/>
      <c r="J19" s="330"/>
    </row>
    <row r="20" spans="3:10" ht="15" customHeight="1">
      <c r="C20" s="314"/>
      <c r="D20" s="317"/>
      <c r="E20" s="340"/>
      <c r="F20" s="76" t="s">
        <v>264</v>
      </c>
      <c r="G20" s="25" t="s">
        <v>75</v>
      </c>
      <c r="H20" s="274">
        <v>1</v>
      </c>
      <c r="I20" s="354"/>
      <c r="J20" s="330"/>
    </row>
    <row r="21" spans="3:10" ht="15" customHeight="1">
      <c r="C21" s="314"/>
      <c r="D21" s="317"/>
      <c r="E21" s="340"/>
      <c r="F21" s="76" t="s">
        <v>14</v>
      </c>
      <c r="G21" s="25" t="s">
        <v>194</v>
      </c>
      <c r="H21" s="35">
        <v>1</v>
      </c>
      <c r="I21" s="354"/>
      <c r="J21" s="330"/>
    </row>
    <row r="22" spans="3:10" ht="15" customHeight="1">
      <c r="C22" s="314"/>
      <c r="D22" s="317"/>
      <c r="E22" s="340"/>
      <c r="F22" s="76" t="s">
        <v>14</v>
      </c>
      <c r="G22" s="25" t="s">
        <v>191</v>
      </c>
      <c r="H22" s="99">
        <v>1</v>
      </c>
      <c r="I22" s="354"/>
      <c r="J22" s="330"/>
    </row>
    <row r="23" spans="3:10" ht="15" customHeight="1">
      <c r="C23" s="314"/>
      <c r="D23" s="317"/>
      <c r="E23" s="340"/>
      <c r="F23" s="76" t="s">
        <v>14</v>
      </c>
      <c r="G23" s="25" t="s">
        <v>87</v>
      </c>
      <c r="H23" s="99">
        <v>1</v>
      </c>
      <c r="I23" s="354"/>
      <c r="J23" s="330"/>
    </row>
    <row r="24" spans="3:10" ht="15" customHeight="1">
      <c r="C24" s="314"/>
      <c r="D24" s="317"/>
      <c r="E24" s="340"/>
      <c r="F24" s="76" t="s">
        <v>14</v>
      </c>
      <c r="G24" s="25" t="s">
        <v>186</v>
      </c>
      <c r="H24" s="99">
        <v>1</v>
      </c>
      <c r="I24" s="354"/>
      <c r="J24" s="330"/>
    </row>
    <row r="25" spans="3:10" ht="15" customHeight="1">
      <c r="C25" s="314"/>
      <c r="D25" s="317"/>
      <c r="E25" s="340"/>
      <c r="F25" s="81" t="s">
        <v>27</v>
      </c>
      <c r="G25" s="6" t="s">
        <v>55</v>
      </c>
      <c r="H25" s="99">
        <v>1</v>
      </c>
      <c r="I25" s="354"/>
      <c r="J25" s="330"/>
    </row>
    <row r="26" spans="3:10" ht="15" customHeight="1">
      <c r="C26" s="314"/>
      <c r="D26" s="317"/>
      <c r="E26" s="326"/>
      <c r="F26" s="82" t="s">
        <v>27</v>
      </c>
      <c r="G26" s="30" t="s">
        <v>43</v>
      </c>
      <c r="H26" s="100">
        <v>1</v>
      </c>
      <c r="I26" s="355"/>
      <c r="J26" s="330"/>
    </row>
    <row r="27" spans="3:10" ht="15" customHeight="1">
      <c r="C27" s="314"/>
      <c r="D27" s="317"/>
      <c r="E27" s="63"/>
      <c r="F27" s="63"/>
      <c r="G27" s="63"/>
      <c r="H27" s="36"/>
      <c r="I27" s="36"/>
      <c r="J27" s="330"/>
    </row>
    <row r="28" spans="3:10" ht="15" customHeight="1">
      <c r="C28" s="314"/>
      <c r="D28" s="317"/>
      <c r="E28" s="324" t="s">
        <v>266</v>
      </c>
      <c r="F28" s="22" t="s">
        <v>261</v>
      </c>
      <c r="G28" s="21" t="s">
        <v>262</v>
      </c>
      <c r="H28" s="92">
        <v>2</v>
      </c>
      <c r="I28" s="362">
        <f>SUM(H28:H35)</f>
        <v>15</v>
      </c>
      <c r="J28" s="330"/>
    </row>
    <row r="29" spans="3:10" ht="15" customHeight="1">
      <c r="C29" s="314"/>
      <c r="D29" s="317"/>
      <c r="E29" s="340"/>
      <c r="F29" s="6" t="s">
        <v>27</v>
      </c>
      <c r="G29" s="23" t="s">
        <v>263</v>
      </c>
      <c r="H29" s="94">
        <v>2</v>
      </c>
      <c r="I29" s="363"/>
      <c r="J29" s="330"/>
    </row>
    <row r="30" spans="3:10" ht="15" customHeight="1">
      <c r="C30" s="314"/>
      <c r="D30" s="317"/>
      <c r="E30" s="340"/>
      <c r="F30" s="6" t="s">
        <v>27</v>
      </c>
      <c r="G30" s="23" t="s">
        <v>254</v>
      </c>
      <c r="H30" s="94">
        <v>2</v>
      </c>
      <c r="I30" s="363"/>
      <c r="J30" s="330"/>
    </row>
    <row r="31" spans="3:10" ht="15" customHeight="1">
      <c r="C31" s="314"/>
      <c r="D31" s="317"/>
      <c r="E31" s="340"/>
      <c r="F31" s="6" t="s">
        <v>167</v>
      </c>
      <c r="G31" s="23" t="s">
        <v>167</v>
      </c>
      <c r="H31" s="101">
        <v>3</v>
      </c>
      <c r="I31" s="363"/>
      <c r="J31" s="330"/>
    </row>
    <row r="32" spans="3:10" ht="15" customHeight="1">
      <c r="C32" s="314"/>
      <c r="D32" s="317"/>
      <c r="E32" s="340"/>
      <c r="F32" s="6" t="s">
        <v>289</v>
      </c>
      <c r="G32" s="23" t="s">
        <v>235</v>
      </c>
      <c r="H32" s="94">
        <v>1</v>
      </c>
      <c r="I32" s="363"/>
      <c r="J32" s="330"/>
    </row>
    <row r="33" spans="3:10" ht="15" customHeight="1">
      <c r="C33" s="314"/>
      <c r="D33" s="317"/>
      <c r="E33" s="340"/>
      <c r="F33" s="6" t="s">
        <v>14</v>
      </c>
      <c r="G33" s="23" t="s">
        <v>146</v>
      </c>
      <c r="H33" s="96">
        <v>3</v>
      </c>
      <c r="I33" s="363"/>
      <c r="J33" s="330"/>
    </row>
    <row r="34" spans="3:10" ht="15" customHeight="1">
      <c r="C34" s="314"/>
      <c r="D34" s="317"/>
      <c r="E34" s="340"/>
      <c r="F34" s="25" t="s">
        <v>14</v>
      </c>
      <c r="G34" s="98" t="s">
        <v>99</v>
      </c>
      <c r="H34" s="96">
        <v>1</v>
      </c>
      <c r="I34" s="363"/>
      <c r="J34" s="330"/>
    </row>
    <row r="35" spans="3:10" ht="15" customHeight="1">
      <c r="C35" s="314"/>
      <c r="D35" s="317"/>
      <c r="E35" s="326"/>
      <c r="F35" s="102" t="s">
        <v>27</v>
      </c>
      <c r="G35" s="103" t="s">
        <v>180</v>
      </c>
      <c r="H35" s="97">
        <v>1</v>
      </c>
      <c r="I35" s="364"/>
      <c r="J35" s="330"/>
    </row>
    <row r="36" spans="3:10" ht="15" customHeight="1">
      <c r="C36" s="314"/>
      <c r="D36" s="317"/>
      <c r="E36" s="63"/>
      <c r="F36" s="63"/>
      <c r="G36" s="63"/>
      <c r="H36" s="36"/>
      <c r="I36" s="279"/>
      <c r="J36" s="330"/>
    </row>
    <row r="37" spans="3:10" ht="15" customHeight="1">
      <c r="C37" s="314"/>
      <c r="D37" s="317"/>
      <c r="E37" s="324" t="s">
        <v>270</v>
      </c>
      <c r="F37" s="67" t="s">
        <v>252</v>
      </c>
      <c r="G37" s="22" t="s">
        <v>262</v>
      </c>
      <c r="H37" s="68">
        <v>4</v>
      </c>
      <c r="I37" s="371">
        <f>SUM(H37:H40)</f>
        <v>13</v>
      </c>
      <c r="J37" s="330"/>
    </row>
    <row r="38" spans="3:10" ht="15" customHeight="1">
      <c r="C38" s="314"/>
      <c r="D38" s="317"/>
      <c r="E38" s="340"/>
      <c r="F38" s="81" t="s">
        <v>14</v>
      </c>
      <c r="G38" s="6" t="s">
        <v>19</v>
      </c>
      <c r="H38" s="106">
        <v>2</v>
      </c>
      <c r="I38" s="347"/>
      <c r="J38" s="330"/>
    </row>
    <row r="39" spans="3:10" ht="15" customHeight="1">
      <c r="C39" s="314"/>
      <c r="D39" s="317"/>
      <c r="E39" s="340"/>
      <c r="F39" s="81" t="s">
        <v>138</v>
      </c>
      <c r="G39" s="6" t="s">
        <v>210</v>
      </c>
      <c r="H39" s="69">
        <v>1</v>
      </c>
      <c r="I39" s="347"/>
      <c r="J39" s="330"/>
    </row>
    <row r="40" spans="3:10" ht="15" customHeight="1">
      <c r="C40" s="314"/>
      <c r="D40" s="317"/>
      <c r="E40" s="326"/>
      <c r="F40" s="82" t="s">
        <v>138</v>
      </c>
      <c r="G40" s="30" t="s">
        <v>165</v>
      </c>
      <c r="H40" s="107">
        <v>6</v>
      </c>
      <c r="I40" s="372"/>
      <c r="J40" s="330"/>
    </row>
    <row r="41" spans="3:10" ht="15" customHeight="1">
      <c r="C41" s="314"/>
      <c r="D41" s="317"/>
      <c r="E41" s="63"/>
      <c r="F41" s="63"/>
      <c r="G41" s="63"/>
      <c r="H41" s="36"/>
      <c r="I41" s="36"/>
      <c r="J41" s="330"/>
    </row>
    <row r="42" spans="3:10" ht="15" customHeight="1">
      <c r="C42" s="314"/>
      <c r="D42" s="317"/>
      <c r="E42" s="344" t="s">
        <v>271</v>
      </c>
      <c r="F42" s="21" t="s">
        <v>252</v>
      </c>
      <c r="G42" s="67" t="s">
        <v>262</v>
      </c>
      <c r="H42" s="104">
        <v>10</v>
      </c>
      <c r="I42" s="380">
        <f>SUM(H42:H48)</f>
        <v>19</v>
      </c>
      <c r="J42" s="330"/>
    </row>
    <row r="43" spans="3:10" ht="15" customHeight="1">
      <c r="C43" s="314"/>
      <c r="D43" s="317"/>
      <c r="E43" s="345"/>
      <c r="F43" s="98" t="s">
        <v>315</v>
      </c>
      <c r="G43" s="81" t="s">
        <v>155</v>
      </c>
      <c r="H43" s="105">
        <v>2</v>
      </c>
      <c r="I43" s="381"/>
      <c r="J43" s="330"/>
    </row>
    <row r="44" spans="3:10" ht="15" customHeight="1">
      <c r="C44" s="314"/>
      <c r="D44" s="317"/>
      <c r="E44" s="345"/>
      <c r="F44" s="23" t="s">
        <v>259</v>
      </c>
      <c r="G44" s="81" t="s">
        <v>253</v>
      </c>
      <c r="H44" s="108">
        <v>1</v>
      </c>
      <c r="I44" s="381"/>
      <c r="J44" s="330"/>
    </row>
    <row r="45" spans="3:10" ht="15" customHeight="1">
      <c r="C45" s="314"/>
      <c r="D45" s="317"/>
      <c r="E45" s="345"/>
      <c r="F45" s="23" t="s">
        <v>14</v>
      </c>
      <c r="G45" s="81" t="s">
        <v>19</v>
      </c>
      <c r="H45" s="108">
        <v>1</v>
      </c>
      <c r="I45" s="381"/>
      <c r="J45" s="330"/>
    </row>
    <row r="46" spans="3:10" ht="15" customHeight="1">
      <c r="C46" s="314"/>
      <c r="D46" s="317"/>
      <c r="E46" s="345"/>
      <c r="F46" s="23" t="s">
        <v>138</v>
      </c>
      <c r="G46" s="81" t="s">
        <v>165</v>
      </c>
      <c r="H46" s="108">
        <v>2</v>
      </c>
      <c r="I46" s="381"/>
      <c r="J46" s="330"/>
    </row>
    <row r="47" spans="3:10" ht="15" customHeight="1">
      <c r="C47" s="314"/>
      <c r="D47" s="317"/>
      <c r="E47" s="345"/>
      <c r="F47" s="23" t="s">
        <v>167</v>
      </c>
      <c r="G47" s="81" t="s">
        <v>167</v>
      </c>
      <c r="H47" s="108">
        <v>2</v>
      </c>
      <c r="I47" s="381"/>
      <c r="J47" s="330"/>
    </row>
    <row r="48" spans="3:10" ht="15" customHeight="1">
      <c r="C48" s="314"/>
      <c r="D48" s="317"/>
      <c r="E48" s="346"/>
      <c r="F48" s="31" t="s">
        <v>27</v>
      </c>
      <c r="G48" s="82" t="s">
        <v>203</v>
      </c>
      <c r="H48" s="86">
        <v>1</v>
      </c>
      <c r="I48" s="382"/>
      <c r="J48" s="330"/>
    </row>
    <row r="49" spans="3:10" ht="15" customHeight="1">
      <c r="C49" s="314"/>
      <c r="D49" s="317"/>
      <c r="E49" s="63"/>
      <c r="F49" s="5"/>
      <c r="G49" s="5"/>
      <c r="H49" s="36"/>
      <c r="I49" s="36"/>
      <c r="J49" s="330"/>
    </row>
    <row r="50" spans="3:10" ht="15" customHeight="1">
      <c r="C50" s="314"/>
      <c r="D50" s="317"/>
      <c r="E50" s="374" t="s">
        <v>272</v>
      </c>
      <c r="F50" s="74" t="s">
        <v>37</v>
      </c>
      <c r="G50" s="109" t="s">
        <v>38</v>
      </c>
      <c r="H50" s="116">
        <v>1</v>
      </c>
      <c r="I50" s="377">
        <f>SUM(H50:H52)</f>
        <v>3</v>
      </c>
      <c r="J50" s="330"/>
    </row>
    <row r="51" spans="3:10">
      <c r="C51" s="314"/>
      <c r="D51" s="317"/>
      <c r="E51" s="375"/>
      <c r="F51" s="25" t="s">
        <v>138</v>
      </c>
      <c r="G51" s="110" t="s">
        <v>218</v>
      </c>
      <c r="H51" s="99">
        <v>1</v>
      </c>
      <c r="I51" s="378"/>
      <c r="J51" s="330"/>
    </row>
    <row r="52" spans="3:10">
      <c r="C52" s="314"/>
      <c r="D52" s="317"/>
      <c r="E52" s="376"/>
      <c r="F52" s="28" t="s">
        <v>27</v>
      </c>
      <c r="G52" s="111" t="s">
        <v>128</v>
      </c>
      <c r="H52" s="100">
        <v>1</v>
      </c>
      <c r="I52" s="379"/>
      <c r="J52" s="330"/>
    </row>
    <row r="53" spans="3:10">
      <c r="C53" s="314"/>
      <c r="D53" s="317"/>
      <c r="E53" s="63"/>
      <c r="F53" s="63"/>
      <c r="G53" s="63"/>
      <c r="H53" s="36"/>
      <c r="I53" s="36"/>
      <c r="J53" s="330"/>
    </row>
    <row r="54" spans="3:10">
      <c r="C54" s="314"/>
      <c r="D54" s="317"/>
      <c r="E54" s="324" t="s">
        <v>274</v>
      </c>
      <c r="F54" s="67" t="s">
        <v>252</v>
      </c>
      <c r="G54" s="22" t="s">
        <v>262</v>
      </c>
      <c r="H54" s="68">
        <v>33</v>
      </c>
      <c r="I54" s="380">
        <f>SUM(H54:H61)</f>
        <v>52</v>
      </c>
      <c r="J54" s="330"/>
    </row>
    <row r="55" spans="3:10">
      <c r="C55" s="314"/>
      <c r="D55" s="317"/>
      <c r="E55" s="340"/>
      <c r="F55" s="81" t="s">
        <v>27</v>
      </c>
      <c r="G55" s="6" t="s">
        <v>55</v>
      </c>
      <c r="H55" s="69">
        <v>3</v>
      </c>
      <c r="I55" s="381"/>
      <c r="J55" s="330"/>
    </row>
    <row r="56" spans="3:10">
      <c r="C56" s="314"/>
      <c r="D56" s="317"/>
      <c r="E56" s="340"/>
      <c r="F56" s="81" t="s">
        <v>264</v>
      </c>
      <c r="G56" s="6" t="s">
        <v>115</v>
      </c>
      <c r="H56" s="69">
        <v>1</v>
      </c>
      <c r="I56" s="381"/>
      <c r="J56" s="330"/>
    </row>
    <row r="57" spans="3:10">
      <c r="C57" s="314"/>
      <c r="D57" s="317"/>
      <c r="E57" s="340"/>
      <c r="F57" s="81" t="s">
        <v>21</v>
      </c>
      <c r="G57" s="6" t="s">
        <v>136</v>
      </c>
      <c r="H57" s="70">
        <v>1</v>
      </c>
      <c r="I57" s="381"/>
      <c r="J57" s="330"/>
    </row>
    <row r="58" spans="3:10">
      <c r="C58" s="314"/>
      <c r="D58" s="317"/>
      <c r="E58" s="340"/>
      <c r="F58" s="81" t="s">
        <v>138</v>
      </c>
      <c r="G58" s="6" t="s">
        <v>165</v>
      </c>
      <c r="H58" s="70">
        <v>10</v>
      </c>
      <c r="I58" s="381"/>
      <c r="J58" s="330"/>
    </row>
    <row r="59" spans="3:10">
      <c r="C59" s="314"/>
      <c r="D59" s="317"/>
      <c r="E59" s="340"/>
      <c r="F59" s="81" t="s">
        <v>14</v>
      </c>
      <c r="G59" s="6" t="s">
        <v>186</v>
      </c>
      <c r="H59" s="70">
        <v>1</v>
      </c>
      <c r="I59" s="381"/>
      <c r="J59" s="330"/>
    </row>
    <row r="60" spans="3:10">
      <c r="C60" s="314"/>
      <c r="D60" s="317"/>
      <c r="E60" s="340"/>
      <c r="F60" s="81" t="s">
        <v>27</v>
      </c>
      <c r="G60" s="25" t="s">
        <v>128</v>
      </c>
      <c r="H60" s="70">
        <v>1</v>
      </c>
      <c r="I60" s="381"/>
      <c r="J60" s="330"/>
    </row>
    <row r="61" spans="3:10">
      <c r="C61" s="314"/>
      <c r="D61" s="317"/>
      <c r="E61" s="326"/>
      <c r="F61" s="82" t="s">
        <v>27</v>
      </c>
      <c r="G61" s="28" t="s">
        <v>180</v>
      </c>
      <c r="H61" s="80">
        <v>2</v>
      </c>
      <c r="I61" s="382"/>
      <c r="J61" s="330"/>
    </row>
    <row r="62" spans="3:10">
      <c r="C62" s="314"/>
      <c r="D62" s="317"/>
      <c r="E62" s="63"/>
      <c r="F62" s="5"/>
      <c r="G62" s="114"/>
      <c r="H62" s="36"/>
      <c r="I62" s="36"/>
      <c r="J62" s="330"/>
    </row>
    <row r="63" spans="3:10">
      <c r="C63" s="315"/>
      <c r="D63" s="331"/>
      <c r="E63" s="115" t="s">
        <v>280</v>
      </c>
      <c r="F63" s="112" t="s">
        <v>320</v>
      </c>
      <c r="G63" s="113" t="s">
        <v>180</v>
      </c>
      <c r="H63" s="56">
        <v>3</v>
      </c>
      <c r="I63" s="117">
        <f>SUM(H63:H63)</f>
        <v>3</v>
      </c>
      <c r="J63" s="373"/>
    </row>
    <row r="64" spans="3:10">
      <c r="E64" s="20"/>
      <c r="F64" s="20"/>
      <c r="G64" s="20"/>
      <c r="H64" s="32"/>
      <c r="I64" s="32"/>
    </row>
  </sheetData>
  <autoFilter ref="C8:J8" xr:uid="{A9483A98-15D8-4617-9A4A-61F10ADEE2DA}"/>
  <mergeCells count="18">
    <mergeCell ref="F4:H4"/>
    <mergeCell ref="E10:E15"/>
    <mergeCell ref="I10:I15"/>
    <mergeCell ref="D10:D63"/>
    <mergeCell ref="C10:C63"/>
    <mergeCell ref="J10:J63"/>
    <mergeCell ref="E37:E40"/>
    <mergeCell ref="I37:I40"/>
    <mergeCell ref="E50:E52"/>
    <mergeCell ref="I50:I52"/>
    <mergeCell ref="I54:I61"/>
    <mergeCell ref="E54:E61"/>
    <mergeCell ref="I17:I26"/>
    <mergeCell ref="E17:E26"/>
    <mergeCell ref="I28:I35"/>
    <mergeCell ref="E28:E35"/>
    <mergeCell ref="I42:I48"/>
    <mergeCell ref="E42:E4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9E17-5DD3-4BD6-9789-8802D6A0DC0B}">
  <dimension ref="A1:K69"/>
  <sheetViews>
    <sheetView topLeftCell="F4" workbookViewId="0">
      <selection activeCell="I19" sqref="I19:I28"/>
    </sheetView>
  </sheetViews>
  <sheetFormatPr defaultRowHeight="15"/>
  <cols>
    <col min="1" max="6" width="28" customWidth="1"/>
    <col min="7" max="7" width="34.28515625" customWidth="1"/>
    <col min="8" max="8" width="21.42578125" customWidth="1"/>
    <col min="9" max="9" width="26.5703125" customWidth="1"/>
    <col min="10" max="11" width="28" customWidth="1"/>
  </cols>
  <sheetData>
    <row r="1" spans="1:11">
      <c r="E1" s="20"/>
      <c r="F1" s="20"/>
      <c r="G1" s="20"/>
      <c r="H1" s="32"/>
      <c r="I1" s="32"/>
    </row>
    <row r="2" spans="1:11">
      <c r="E2" s="20"/>
      <c r="F2" s="20"/>
      <c r="G2" s="20"/>
      <c r="H2" s="32"/>
      <c r="I2" s="32"/>
    </row>
    <row r="3" spans="1:11">
      <c r="E3" s="20"/>
      <c r="F3" s="20"/>
      <c r="G3" s="20"/>
      <c r="H3" s="32"/>
      <c r="I3" s="32"/>
    </row>
    <row r="4" spans="1:11">
      <c r="E4" s="20"/>
      <c r="F4" s="310" t="s">
        <v>240</v>
      </c>
      <c r="G4" s="311"/>
      <c r="H4" s="312"/>
      <c r="I4" s="32"/>
    </row>
    <row r="5" spans="1:11">
      <c r="E5" s="20"/>
      <c r="F5" s="20"/>
      <c r="G5" s="20"/>
      <c r="H5" s="32"/>
      <c r="I5" s="32"/>
    </row>
    <row r="6" spans="1:11">
      <c r="E6" s="20"/>
      <c r="F6" s="20"/>
      <c r="G6" s="20"/>
      <c r="H6" s="32"/>
      <c r="I6" s="32"/>
    </row>
    <row r="7" spans="1:11">
      <c r="E7" s="20"/>
      <c r="F7" s="20"/>
      <c r="G7" s="20"/>
      <c r="H7" s="32"/>
      <c r="I7" s="32"/>
    </row>
    <row r="8" spans="1:11">
      <c r="A8" s="40"/>
      <c r="B8" s="40"/>
      <c r="C8" s="122" t="s">
        <v>241</v>
      </c>
      <c r="D8" s="9" t="s">
        <v>242</v>
      </c>
      <c r="E8" s="10" t="s">
        <v>243</v>
      </c>
      <c r="F8" s="123" t="s">
        <v>244</v>
      </c>
      <c r="G8" s="13" t="s">
        <v>245</v>
      </c>
      <c r="H8" s="13" t="s">
        <v>281</v>
      </c>
      <c r="I8" s="12" t="s">
        <v>282</v>
      </c>
      <c r="J8" s="12" t="s">
        <v>290</v>
      </c>
      <c r="K8" s="40"/>
    </row>
    <row r="9" spans="1:11">
      <c r="E9" s="20"/>
      <c r="F9" s="20"/>
      <c r="G9" s="20"/>
      <c r="H9" s="32"/>
      <c r="I9" s="32"/>
    </row>
    <row r="10" spans="1:11">
      <c r="C10" s="313" t="s">
        <v>321</v>
      </c>
      <c r="D10" s="316" t="s">
        <v>250</v>
      </c>
      <c r="E10" s="324" t="s">
        <v>251</v>
      </c>
      <c r="F10" s="67" t="s">
        <v>322</v>
      </c>
      <c r="G10" s="22" t="s">
        <v>262</v>
      </c>
      <c r="H10" s="68">
        <v>15</v>
      </c>
      <c r="I10" s="380">
        <f>SUM(H10:H17)</f>
        <v>28</v>
      </c>
      <c r="J10" s="352">
        <f>SUM(I10,I19,I30,I39,I47,I54,I56,I68)</f>
        <v>182</v>
      </c>
    </row>
    <row r="11" spans="1:11">
      <c r="C11" s="314"/>
      <c r="D11" s="317"/>
      <c r="E11" s="340"/>
      <c r="F11" s="81" t="s">
        <v>27</v>
      </c>
      <c r="G11" s="6" t="s">
        <v>55</v>
      </c>
      <c r="H11" s="69">
        <v>2</v>
      </c>
      <c r="I11" s="381"/>
      <c r="J11" s="330"/>
    </row>
    <row r="12" spans="1:11">
      <c r="C12" s="314"/>
      <c r="D12" s="317"/>
      <c r="E12" s="340"/>
      <c r="F12" s="81" t="s">
        <v>27</v>
      </c>
      <c r="G12" s="6" t="s">
        <v>43</v>
      </c>
      <c r="H12" s="70">
        <v>3</v>
      </c>
      <c r="I12" s="381"/>
      <c r="J12" s="330"/>
    </row>
    <row r="13" spans="1:11">
      <c r="C13" s="314"/>
      <c r="D13" s="317"/>
      <c r="E13" s="340"/>
      <c r="F13" s="76" t="s">
        <v>138</v>
      </c>
      <c r="G13" s="25" t="s">
        <v>165</v>
      </c>
      <c r="H13" s="69">
        <v>2</v>
      </c>
      <c r="I13" s="381"/>
      <c r="J13" s="330"/>
    </row>
    <row r="14" spans="1:11">
      <c r="C14" s="314"/>
      <c r="D14" s="317"/>
      <c r="E14" s="340"/>
      <c r="F14" s="76" t="s">
        <v>167</v>
      </c>
      <c r="G14" s="25" t="s">
        <v>167</v>
      </c>
      <c r="H14" s="69">
        <v>2</v>
      </c>
      <c r="I14" s="381"/>
      <c r="J14" s="330"/>
    </row>
    <row r="15" spans="1:11">
      <c r="C15" s="314"/>
      <c r="D15" s="317"/>
      <c r="E15" s="340"/>
      <c r="F15" s="81" t="s">
        <v>24</v>
      </c>
      <c r="G15" s="25" t="s">
        <v>218</v>
      </c>
      <c r="H15" s="69">
        <v>1</v>
      </c>
      <c r="I15" s="381"/>
      <c r="J15" s="330"/>
    </row>
    <row r="16" spans="1:11">
      <c r="C16" s="314"/>
      <c r="D16" s="317"/>
      <c r="E16" s="340"/>
      <c r="F16" s="81" t="s">
        <v>14</v>
      </c>
      <c r="G16" s="6" t="s">
        <v>19</v>
      </c>
      <c r="H16" s="79">
        <v>2</v>
      </c>
      <c r="I16" s="381"/>
      <c r="J16" s="330"/>
    </row>
    <row r="17" spans="3:10">
      <c r="C17" s="314"/>
      <c r="D17" s="317"/>
      <c r="E17" s="326"/>
      <c r="F17" s="77" t="s">
        <v>14</v>
      </c>
      <c r="G17" s="28" t="s">
        <v>106</v>
      </c>
      <c r="H17" s="80">
        <v>1</v>
      </c>
      <c r="I17" s="382"/>
      <c r="J17" s="330"/>
    </row>
    <row r="18" spans="3:10">
      <c r="C18" s="314"/>
      <c r="D18" s="317"/>
      <c r="E18" s="20"/>
      <c r="F18" s="20"/>
      <c r="G18" s="20"/>
      <c r="H18" s="32"/>
      <c r="I18" s="32"/>
      <c r="J18" s="330"/>
    </row>
    <row r="19" spans="3:10" ht="15" customHeight="1">
      <c r="C19" s="314"/>
      <c r="D19" s="317"/>
      <c r="E19" s="324" t="s">
        <v>260</v>
      </c>
      <c r="F19" s="67" t="s">
        <v>252</v>
      </c>
      <c r="G19" s="22" t="s">
        <v>262</v>
      </c>
      <c r="H19" s="33">
        <v>13</v>
      </c>
      <c r="I19" s="353">
        <f>SUM(H19:H28)</f>
        <v>23</v>
      </c>
      <c r="J19" s="330"/>
    </row>
    <row r="20" spans="3:10" ht="15" customHeight="1">
      <c r="C20" s="314"/>
      <c r="D20" s="317"/>
      <c r="E20" s="325"/>
      <c r="F20" s="81" t="s">
        <v>27</v>
      </c>
      <c r="G20" s="6" t="s">
        <v>203</v>
      </c>
      <c r="H20" s="35">
        <v>1</v>
      </c>
      <c r="I20" s="354"/>
      <c r="J20" s="330"/>
    </row>
    <row r="21" spans="3:10" ht="15" customHeight="1">
      <c r="C21" s="314"/>
      <c r="D21" s="317"/>
      <c r="E21" s="325"/>
      <c r="F21" s="76" t="s">
        <v>14</v>
      </c>
      <c r="G21" s="25" t="s">
        <v>146</v>
      </c>
      <c r="H21" s="35">
        <v>2</v>
      </c>
      <c r="I21" s="354"/>
      <c r="J21" s="330"/>
    </row>
    <row r="22" spans="3:10" ht="15" customHeight="1">
      <c r="C22" s="314"/>
      <c r="D22" s="317"/>
      <c r="E22" s="325"/>
      <c r="F22" s="76" t="s">
        <v>264</v>
      </c>
      <c r="G22" s="25" t="s">
        <v>75</v>
      </c>
      <c r="H22" s="274">
        <v>1</v>
      </c>
      <c r="I22" s="354"/>
      <c r="J22" s="330"/>
    </row>
    <row r="23" spans="3:10" ht="15" customHeight="1">
      <c r="C23" s="314"/>
      <c r="D23" s="317"/>
      <c r="E23" s="325"/>
      <c r="F23" s="76" t="s">
        <v>14</v>
      </c>
      <c r="G23" s="25" t="s">
        <v>194</v>
      </c>
      <c r="H23" s="35">
        <v>1</v>
      </c>
      <c r="I23" s="354"/>
      <c r="J23" s="330"/>
    </row>
    <row r="24" spans="3:10" ht="15" customHeight="1">
      <c r="C24" s="314"/>
      <c r="D24" s="317"/>
      <c r="E24" s="325"/>
      <c r="F24" s="76" t="s">
        <v>14</v>
      </c>
      <c r="G24" s="25" t="s">
        <v>191</v>
      </c>
      <c r="H24" s="99">
        <v>1</v>
      </c>
      <c r="I24" s="354"/>
      <c r="J24" s="330"/>
    </row>
    <row r="25" spans="3:10" ht="15" customHeight="1">
      <c r="C25" s="314"/>
      <c r="D25" s="317"/>
      <c r="E25" s="325"/>
      <c r="F25" s="76" t="s">
        <v>14</v>
      </c>
      <c r="G25" s="25" t="s">
        <v>87</v>
      </c>
      <c r="H25" s="99">
        <v>1</v>
      </c>
      <c r="I25" s="354"/>
      <c r="J25" s="330"/>
    </row>
    <row r="26" spans="3:10" ht="15" customHeight="1">
      <c r="C26" s="314"/>
      <c r="D26" s="317"/>
      <c r="E26" s="325"/>
      <c r="F26" s="76" t="s">
        <v>14</v>
      </c>
      <c r="G26" s="25" t="s">
        <v>186</v>
      </c>
      <c r="H26" s="99">
        <v>1</v>
      </c>
      <c r="I26" s="354"/>
      <c r="J26" s="330"/>
    </row>
    <row r="27" spans="3:10" ht="15" customHeight="1">
      <c r="C27" s="314"/>
      <c r="D27" s="317"/>
      <c r="E27" s="325"/>
      <c r="F27" s="81" t="s">
        <v>27</v>
      </c>
      <c r="G27" s="6" t="s">
        <v>55</v>
      </c>
      <c r="H27" s="99">
        <v>1</v>
      </c>
      <c r="I27" s="354"/>
      <c r="J27" s="330"/>
    </row>
    <row r="28" spans="3:10" ht="15" customHeight="1">
      <c r="C28" s="314"/>
      <c r="D28" s="317"/>
      <c r="E28" s="326"/>
      <c r="F28" s="82" t="s">
        <v>27</v>
      </c>
      <c r="G28" s="30" t="s">
        <v>43</v>
      </c>
      <c r="H28" s="100">
        <v>1</v>
      </c>
      <c r="I28" s="355"/>
      <c r="J28" s="330"/>
    </row>
    <row r="29" spans="3:10" ht="15" customHeight="1">
      <c r="C29" s="314"/>
      <c r="D29" s="317"/>
      <c r="E29" s="20"/>
      <c r="F29" s="20"/>
      <c r="G29" s="20"/>
      <c r="H29" s="32"/>
      <c r="I29" s="32"/>
      <c r="J29" s="330"/>
    </row>
    <row r="30" spans="3:10" ht="15" customHeight="1">
      <c r="C30" s="314"/>
      <c r="D30" s="317"/>
      <c r="E30" s="324" t="s">
        <v>266</v>
      </c>
      <c r="F30" s="74" t="s">
        <v>261</v>
      </c>
      <c r="G30" s="21" t="s">
        <v>262</v>
      </c>
      <c r="H30" s="92">
        <v>2</v>
      </c>
      <c r="I30" s="362">
        <f>SUM(H30:H37)</f>
        <v>18</v>
      </c>
      <c r="J30" s="330"/>
    </row>
    <row r="31" spans="3:10" ht="15" customHeight="1">
      <c r="C31" s="314"/>
      <c r="D31" s="317"/>
      <c r="E31" s="325"/>
      <c r="F31" s="25" t="s">
        <v>27</v>
      </c>
      <c r="G31" s="23" t="s">
        <v>263</v>
      </c>
      <c r="H31" s="94">
        <v>3</v>
      </c>
      <c r="I31" s="363"/>
      <c r="J31" s="330"/>
    </row>
    <row r="32" spans="3:10" ht="15" customHeight="1">
      <c r="C32" s="314"/>
      <c r="D32" s="317"/>
      <c r="E32" s="325"/>
      <c r="F32" s="25" t="s">
        <v>27</v>
      </c>
      <c r="G32" s="23" t="s">
        <v>254</v>
      </c>
      <c r="H32" s="94">
        <v>2</v>
      </c>
      <c r="I32" s="363"/>
      <c r="J32" s="330"/>
    </row>
    <row r="33" spans="3:10" ht="15" customHeight="1">
      <c r="C33" s="314"/>
      <c r="D33" s="317"/>
      <c r="E33" s="325"/>
      <c r="F33" s="25" t="s">
        <v>167</v>
      </c>
      <c r="G33" s="23" t="s">
        <v>167</v>
      </c>
      <c r="H33" s="101">
        <v>2</v>
      </c>
      <c r="I33" s="363"/>
      <c r="J33" s="330"/>
    </row>
    <row r="34" spans="3:10" ht="15" customHeight="1">
      <c r="C34" s="314"/>
      <c r="D34" s="317"/>
      <c r="E34" s="325"/>
      <c r="F34" s="25" t="s">
        <v>21</v>
      </c>
      <c r="G34" s="47" t="s">
        <v>136</v>
      </c>
      <c r="H34" s="94">
        <v>2</v>
      </c>
      <c r="I34" s="363"/>
      <c r="J34" s="330"/>
    </row>
    <row r="35" spans="3:10" ht="15" customHeight="1">
      <c r="C35" s="314"/>
      <c r="D35" s="317"/>
      <c r="E35" s="325"/>
      <c r="F35" s="25" t="s">
        <v>14</v>
      </c>
      <c r="G35" s="23" t="s">
        <v>146</v>
      </c>
      <c r="H35" s="96">
        <v>3</v>
      </c>
      <c r="I35" s="363"/>
      <c r="J35" s="330"/>
    </row>
    <row r="36" spans="3:10" ht="15" customHeight="1">
      <c r="C36" s="314"/>
      <c r="D36" s="317"/>
      <c r="E36" s="325"/>
      <c r="F36" s="6" t="s">
        <v>14</v>
      </c>
      <c r="G36" s="47" t="s">
        <v>19</v>
      </c>
      <c r="H36" s="96">
        <v>1</v>
      </c>
      <c r="I36" s="363"/>
      <c r="J36" s="330"/>
    </row>
    <row r="37" spans="3:10" ht="15" customHeight="1">
      <c r="C37" s="314"/>
      <c r="D37" s="317"/>
      <c r="E37" s="326"/>
      <c r="F37" s="125" t="s">
        <v>27</v>
      </c>
      <c r="G37" s="103" t="s">
        <v>180</v>
      </c>
      <c r="H37" s="97">
        <v>3</v>
      </c>
      <c r="I37" s="364"/>
      <c r="J37" s="330"/>
    </row>
    <row r="38" spans="3:10" ht="15" customHeight="1">
      <c r="C38" s="314"/>
      <c r="D38" s="317"/>
      <c r="E38" s="20"/>
      <c r="F38" s="20"/>
      <c r="G38" s="20"/>
      <c r="H38" s="32"/>
      <c r="I38" s="124"/>
      <c r="J38" s="330"/>
    </row>
    <row r="39" spans="3:10" ht="15" customHeight="1">
      <c r="C39" s="314"/>
      <c r="D39" s="317"/>
      <c r="E39" s="324" t="s">
        <v>270</v>
      </c>
      <c r="F39" s="67" t="s">
        <v>252</v>
      </c>
      <c r="G39" s="22" t="s">
        <v>262</v>
      </c>
      <c r="H39" s="68">
        <v>15</v>
      </c>
      <c r="I39" s="380">
        <f>SUM(H39:H45)</f>
        <v>32</v>
      </c>
      <c r="J39" s="330"/>
    </row>
    <row r="40" spans="3:10" ht="15" customHeight="1">
      <c r="C40" s="314"/>
      <c r="D40" s="317"/>
      <c r="E40" s="340"/>
      <c r="F40" s="81" t="s">
        <v>14</v>
      </c>
      <c r="G40" s="6" t="s">
        <v>146</v>
      </c>
      <c r="H40" s="69">
        <v>1</v>
      </c>
      <c r="I40" s="381"/>
      <c r="J40" s="330"/>
    </row>
    <row r="41" spans="3:10" ht="15" customHeight="1">
      <c r="C41" s="314"/>
      <c r="D41" s="317"/>
      <c r="E41" s="340"/>
      <c r="F41" s="81" t="s">
        <v>14</v>
      </c>
      <c r="G41" s="6" t="s">
        <v>153</v>
      </c>
      <c r="H41" s="69">
        <v>1</v>
      </c>
      <c r="I41" s="381"/>
      <c r="J41" s="330"/>
    </row>
    <row r="42" spans="3:10" ht="15" customHeight="1">
      <c r="C42" s="314"/>
      <c r="D42" s="317"/>
      <c r="E42" s="340"/>
      <c r="F42" s="81" t="s">
        <v>138</v>
      </c>
      <c r="G42" s="6" t="s">
        <v>165</v>
      </c>
      <c r="H42" s="69">
        <v>6</v>
      </c>
      <c r="I42" s="381"/>
      <c r="J42" s="330"/>
    </row>
    <row r="43" spans="3:10" ht="15" customHeight="1">
      <c r="C43" s="314"/>
      <c r="D43" s="317"/>
      <c r="E43" s="340"/>
      <c r="F43" s="76" t="s">
        <v>14</v>
      </c>
      <c r="G43" s="6" t="s">
        <v>87</v>
      </c>
      <c r="H43" s="79">
        <v>1</v>
      </c>
      <c r="I43" s="381"/>
      <c r="J43" s="330"/>
    </row>
    <row r="44" spans="3:10" ht="15" customHeight="1">
      <c r="C44" s="314"/>
      <c r="D44" s="317"/>
      <c r="E44" s="340"/>
      <c r="F44" s="81" t="s">
        <v>138</v>
      </c>
      <c r="G44" s="6" t="s">
        <v>165</v>
      </c>
      <c r="H44" s="79">
        <v>5</v>
      </c>
      <c r="I44" s="381"/>
      <c r="J44" s="330"/>
    </row>
    <row r="45" spans="3:10" ht="15" customHeight="1">
      <c r="C45" s="314"/>
      <c r="D45" s="317"/>
      <c r="E45" s="326"/>
      <c r="F45" s="82" t="s">
        <v>258</v>
      </c>
      <c r="G45" s="30" t="s">
        <v>185</v>
      </c>
      <c r="H45" s="80">
        <v>3</v>
      </c>
      <c r="I45" s="382"/>
      <c r="J45" s="330"/>
    </row>
    <row r="46" spans="3:10" ht="15" customHeight="1">
      <c r="C46" s="314"/>
      <c r="D46" s="317"/>
      <c r="E46" s="20"/>
      <c r="F46" s="20"/>
      <c r="G46" s="20"/>
      <c r="H46" s="32"/>
      <c r="I46" s="32"/>
      <c r="J46" s="330"/>
    </row>
    <row r="47" spans="3:10" ht="15" customHeight="1">
      <c r="C47" s="314"/>
      <c r="D47" s="317"/>
      <c r="E47" s="324" t="s">
        <v>271</v>
      </c>
      <c r="F47" s="74" t="s">
        <v>252</v>
      </c>
      <c r="G47" s="126" t="s">
        <v>262</v>
      </c>
      <c r="H47" s="276">
        <v>9</v>
      </c>
      <c r="I47" s="353">
        <f>SUM(H47:H52)</f>
        <v>21</v>
      </c>
      <c r="J47" s="330"/>
    </row>
    <row r="48" spans="3:10" ht="15" customHeight="1">
      <c r="C48" s="314"/>
      <c r="D48" s="317"/>
      <c r="E48" s="340"/>
      <c r="F48" s="25" t="s">
        <v>27</v>
      </c>
      <c r="G48" s="43" t="s">
        <v>43</v>
      </c>
      <c r="H48" s="277">
        <v>1</v>
      </c>
      <c r="I48" s="354"/>
      <c r="J48" s="330"/>
    </row>
    <row r="49" spans="3:10" ht="15" customHeight="1">
      <c r="C49" s="314"/>
      <c r="D49" s="317"/>
      <c r="E49" s="340"/>
      <c r="F49" s="25" t="s">
        <v>14</v>
      </c>
      <c r="G49" s="43" t="s">
        <v>146</v>
      </c>
      <c r="H49" s="128">
        <v>3</v>
      </c>
      <c r="I49" s="354"/>
      <c r="J49" s="330"/>
    </row>
    <row r="50" spans="3:10" ht="15" customHeight="1">
      <c r="C50" s="314"/>
      <c r="D50" s="317"/>
      <c r="E50" s="340"/>
      <c r="F50" s="25" t="s">
        <v>14</v>
      </c>
      <c r="G50" s="43" t="s">
        <v>191</v>
      </c>
      <c r="H50" s="128">
        <v>2</v>
      </c>
      <c r="I50" s="354"/>
      <c r="J50" s="330"/>
    </row>
    <row r="51" spans="3:10" ht="15" customHeight="1">
      <c r="C51" s="314"/>
      <c r="D51" s="317"/>
      <c r="E51" s="340"/>
      <c r="F51" s="25" t="s">
        <v>138</v>
      </c>
      <c r="G51" s="43" t="s">
        <v>165</v>
      </c>
      <c r="H51" s="128">
        <v>4</v>
      </c>
      <c r="I51" s="354"/>
      <c r="J51" s="330"/>
    </row>
    <row r="52" spans="3:10" ht="15" customHeight="1">
      <c r="C52" s="314"/>
      <c r="D52" s="317"/>
      <c r="E52" s="326"/>
      <c r="F52" s="28" t="s">
        <v>27</v>
      </c>
      <c r="G52" s="58" t="s">
        <v>203</v>
      </c>
      <c r="H52" s="129">
        <v>2</v>
      </c>
      <c r="I52" s="355"/>
      <c r="J52" s="330"/>
    </row>
    <row r="53" spans="3:10" ht="15" customHeight="1">
      <c r="C53" s="314"/>
      <c r="D53" s="317"/>
      <c r="E53" s="20"/>
      <c r="F53" s="118"/>
      <c r="G53" s="118"/>
      <c r="H53" s="32"/>
      <c r="I53" s="32"/>
      <c r="J53" s="330"/>
    </row>
    <row r="54" spans="3:10" ht="15" customHeight="1">
      <c r="C54" s="314"/>
      <c r="D54" s="317"/>
      <c r="E54" s="146" t="s">
        <v>272</v>
      </c>
      <c r="F54" s="130" t="s">
        <v>37</v>
      </c>
      <c r="G54" s="140" t="s">
        <v>38</v>
      </c>
      <c r="H54" s="66">
        <v>2</v>
      </c>
      <c r="I54" s="143">
        <f>SUM(H54:H54)</f>
        <v>2</v>
      </c>
      <c r="J54" s="330"/>
    </row>
    <row r="55" spans="3:10" ht="15" customHeight="1">
      <c r="C55" s="314"/>
      <c r="D55" s="317"/>
      <c r="E55" s="20"/>
      <c r="F55" s="20"/>
      <c r="G55" s="20"/>
      <c r="H55" s="32"/>
      <c r="I55" s="32"/>
      <c r="J55" s="330"/>
    </row>
    <row r="56" spans="3:10" ht="15" customHeight="1">
      <c r="C56" s="314"/>
      <c r="D56" s="317"/>
      <c r="E56" s="324" t="s">
        <v>274</v>
      </c>
      <c r="F56" s="132" t="s">
        <v>323</v>
      </c>
      <c r="G56" s="131" t="s">
        <v>262</v>
      </c>
      <c r="H56" s="92">
        <v>33</v>
      </c>
      <c r="I56" s="353">
        <f>SUM(H56:H66)</f>
        <v>54</v>
      </c>
      <c r="J56" s="330"/>
    </row>
    <row r="57" spans="3:10" ht="15" customHeight="1">
      <c r="C57" s="314"/>
      <c r="D57" s="317"/>
      <c r="E57" s="340"/>
      <c r="F57" s="134" t="s">
        <v>27</v>
      </c>
      <c r="G57" s="133" t="s">
        <v>55</v>
      </c>
      <c r="H57" s="94">
        <v>3</v>
      </c>
      <c r="I57" s="354"/>
      <c r="J57" s="330"/>
    </row>
    <row r="58" spans="3:10" ht="15" customHeight="1">
      <c r="C58" s="314"/>
      <c r="D58" s="317"/>
      <c r="E58" s="340"/>
      <c r="F58" s="134" t="s">
        <v>264</v>
      </c>
      <c r="G58" s="133" t="s">
        <v>115</v>
      </c>
      <c r="H58" s="94">
        <v>1</v>
      </c>
      <c r="I58" s="354"/>
      <c r="J58" s="330"/>
    </row>
    <row r="59" spans="3:10" ht="15" customHeight="1">
      <c r="C59" s="314"/>
      <c r="D59" s="317"/>
      <c r="E59" s="340"/>
      <c r="F59" s="134" t="s">
        <v>264</v>
      </c>
      <c r="G59" s="133" t="s">
        <v>115</v>
      </c>
      <c r="H59" s="277">
        <v>1</v>
      </c>
      <c r="I59" s="354"/>
      <c r="J59" s="330"/>
    </row>
    <row r="60" spans="3:10">
      <c r="C60" s="314"/>
      <c r="D60" s="317"/>
      <c r="E60" s="340"/>
      <c r="F60" s="134" t="s">
        <v>199</v>
      </c>
      <c r="G60" s="133" t="s">
        <v>200</v>
      </c>
      <c r="H60" s="277">
        <v>1</v>
      </c>
      <c r="I60" s="354"/>
      <c r="J60" s="330"/>
    </row>
    <row r="61" spans="3:10">
      <c r="C61" s="314"/>
      <c r="D61" s="317"/>
      <c r="E61" s="340"/>
      <c r="F61" s="134" t="s">
        <v>14</v>
      </c>
      <c r="G61" s="133" t="s">
        <v>153</v>
      </c>
      <c r="H61" s="277">
        <v>1</v>
      </c>
      <c r="I61" s="354"/>
      <c r="J61" s="330"/>
    </row>
    <row r="62" spans="3:10">
      <c r="C62" s="314"/>
      <c r="D62" s="317"/>
      <c r="E62" s="340"/>
      <c r="F62" s="134" t="s">
        <v>21</v>
      </c>
      <c r="G62" s="133" t="s">
        <v>136</v>
      </c>
      <c r="H62" s="277">
        <v>3</v>
      </c>
      <c r="I62" s="354"/>
      <c r="J62" s="330"/>
    </row>
    <row r="63" spans="3:10">
      <c r="C63" s="314"/>
      <c r="D63" s="317"/>
      <c r="E63" s="340"/>
      <c r="F63" s="134" t="s">
        <v>138</v>
      </c>
      <c r="G63" s="133" t="s">
        <v>165</v>
      </c>
      <c r="H63" s="96">
        <v>2</v>
      </c>
      <c r="I63" s="354"/>
      <c r="J63" s="330"/>
    </row>
    <row r="64" spans="3:10">
      <c r="C64" s="314"/>
      <c r="D64" s="317"/>
      <c r="E64" s="340"/>
      <c r="F64" s="134" t="s">
        <v>14</v>
      </c>
      <c r="G64" s="133" t="s">
        <v>186</v>
      </c>
      <c r="H64" s="96">
        <v>2</v>
      </c>
      <c r="I64" s="354"/>
      <c r="J64" s="330"/>
    </row>
    <row r="65" spans="3:10">
      <c r="C65" s="314"/>
      <c r="D65" s="317"/>
      <c r="E65" s="340"/>
      <c r="F65" s="134" t="s">
        <v>27</v>
      </c>
      <c r="G65" s="141" t="s">
        <v>128</v>
      </c>
      <c r="H65" s="96">
        <v>3</v>
      </c>
      <c r="I65" s="354"/>
      <c r="J65" s="330"/>
    </row>
    <row r="66" spans="3:10">
      <c r="C66" s="314"/>
      <c r="D66" s="317"/>
      <c r="E66" s="326"/>
      <c r="F66" s="136" t="s">
        <v>27</v>
      </c>
      <c r="G66" s="142" t="s">
        <v>180</v>
      </c>
      <c r="H66" s="97">
        <v>4</v>
      </c>
      <c r="I66" s="355"/>
      <c r="J66" s="330"/>
    </row>
    <row r="67" spans="3:10">
      <c r="C67" s="314"/>
      <c r="D67" s="317"/>
      <c r="E67" s="20"/>
      <c r="F67" s="118"/>
      <c r="G67" s="119"/>
      <c r="H67" s="32"/>
      <c r="I67" s="32"/>
      <c r="J67" s="330"/>
    </row>
    <row r="68" spans="3:10">
      <c r="C68" s="314"/>
      <c r="D68" s="317"/>
      <c r="E68" s="383" t="s">
        <v>280</v>
      </c>
      <c r="F68" s="21" t="s">
        <v>27</v>
      </c>
      <c r="G68" s="74" t="s">
        <v>144</v>
      </c>
      <c r="H68" s="159">
        <v>2</v>
      </c>
      <c r="I68" s="353">
        <f>SUM(H68:H69)</f>
        <v>4</v>
      </c>
      <c r="J68" s="330"/>
    </row>
    <row r="69" spans="3:10">
      <c r="C69" s="315"/>
      <c r="D69" s="331"/>
      <c r="E69" s="384"/>
      <c r="F69" s="31" t="s">
        <v>27</v>
      </c>
      <c r="G69" s="28" t="s">
        <v>180</v>
      </c>
      <c r="H69" s="160">
        <v>2</v>
      </c>
      <c r="I69" s="355"/>
      <c r="J69" s="373"/>
    </row>
  </sheetData>
  <autoFilter ref="C8:J8" xr:uid="{24339E17-5DD3-4BD6-9789-8802D6A0DC0B}"/>
  <mergeCells count="18">
    <mergeCell ref="F4:H4"/>
    <mergeCell ref="I68:I69"/>
    <mergeCell ref="J10:J69"/>
    <mergeCell ref="E68:E69"/>
    <mergeCell ref="D10:D69"/>
    <mergeCell ref="C10:C69"/>
    <mergeCell ref="E19:E28"/>
    <mergeCell ref="I19:I28"/>
    <mergeCell ref="E30:E37"/>
    <mergeCell ref="I30:I37"/>
    <mergeCell ref="I10:I17"/>
    <mergeCell ref="E10:E17"/>
    <mergeCell ref="E47:E52"/>
    <mergeCell ref="I47:I52"/>
    <mergeCell ref="E56:E66"/>
    <mergeCell ref="I56:I66"/>
    <mergeCell ref="E39:E45"/>
    <mergeCell ref="I39:I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0C4A-17BD-4A94-A15E-31E5111B3AF4}">
  <dimension ref="A1:K69"/>
  <sheetViews>
    <sheetView topLeftCell="B1" workbookViewId="0">
      <selection activeCell="B9" sqref="A1:XFD1048576"/>
    </sheetView>
  </sheetViews>
  <sheetFormatPr defaultRowHeight="15"/>
  <cols>
    <col min="1" max="5" width="23.5703125" customWidth="1"/>
    <col min="6" max="6" width="21" customWidth="1"/>
    <col min="7" max="7" width="44.7109375" customWidth="1"/>
    <col min="8" max="8" width="20" customWidth="1"/>
    <col min="9" max="11" width="23.5703125" customWidth="1"/>
  </cols>
  <sheetData>
    <row r="1" spans="1:11">
      <c r="E1" s="20"/>
      <c r="F1" s="20"/>
      <c r="G1" s="20"/>
      <c r="H1" s="32"/>
      <c r="I1" s="32"/>
    </row>
    <row r="2" spans="1:11">
      <c r="E2" s="20"/>
      <c r="F2" s="20"/>
      <c r="G2" s="20"/>
      <c r="H2" s="32"/>
      <c r="I2" s="32"/>
    </row>
    <row r="3" spans="1:11">
      <c r="E3" s="20"/>
      <c r="F3" s="20"/>
      <c r="G3" s="20"/>
      <c r="H3" s="32"/>
      <c r="I3" s="32"/>
    </row>
    <row r="4" spans="1:11">
      <c r="E4" s="20"/>
      <c r="F4" s="310" t="s">
        <v>240</v>
      </c>
      <c r="G4" s="311"/>
      <c r="H4" s="312"/>
      <c r="I4" s="32"/>
    </row>
    <row r="5" spans="1:11">
      <c r="E5" s="20"/>
      <c r="F5" s="20"/>
      <c r="G5" s="20"/>
      <c r="H5" s="32"/>
      <c r="I5" s="32"/>
    </row>
    <row r="6" spans="1:11">
      <c r="E6" s="20"/>
      <c r="F6" s="20"/>
      <c r="G6" s="20"/>
      <c r="H6" s="32"/>
      <c r="I6" s="32"/>
    </row>
    <row r="7" spans="1:11">
      <c r="E7" s="20"/>
      <c r="F7" s="20"/>
      <c r="G7" s="20"/>
      <c r="H7" s="32"/>
      <c r="I7" s="32"/>
    </row>
    <row r="8" spans="1:11">
      <c r="A8" s="40"/>
      <c r="B8" s="40"/>
      <c r="C8" s="157" t="s">
        <v>241</v>
      </c>
      <c r="D8" s="15" t="s">
        <v>242</v>
      </c>
      <c r="E8" s="16" t="s">
        <v>243</v>
      </c>
      <c r="F8" s="158" t="s">
        <v>244</v>
      </c>
      <c r="G8" s="18" t="s">
        <v>245</v>
      </c>
      <c r="H8" s="18" t="s">
        <v>281</v>
      </c>
      <c r="I8" s="19" t="s">
        <v>282</v>
      </c>
      <c r="J8" s="19" t="s">
        <v>290</v>
      </c>
      <c r="K8" s="40"/>
    </row>
    <row r="9" spans="1:11">
      <c r="E9" s="20"/>
      <c r="F9" s="20"/>
      <c r="G9" s="20"/>
      <c r="H9" s="32"/>
      <c r="I9" s="32"/>
    </row>
    <row r="10" spans="1:11" ht="15" customHeight="1">
      <c r="C10" s="313" t="s">
        <v>324</v>
      </c>
      <c r="D10" s="316" t="s">
        <v>250</v>
      </c>
      <c r="E10" s="324" t="s">
        <v>251</v>
      </c>
      <c r="F10" s="67" t="s">
        <v>322</v>
      </c>
      <c r="G10" s="67" t="s">
        <v>262</v>
      </c>
      <c r="H10" s="92">
        <v>14</v>
      </c>
      <c r="I10" s="369">
        <f>SUM(H10:H18)</f>
        <v>24</v>
      </c>
      <c r="J10" s="316">
        <f>SUM(I10,I20,I29,I36,I44,I52,I54,I67)</f>
        <v>149</v>
      </c>
    </row>
    <row r="11" spans="1:11" ht="15" customHeight="1">
      <c r="C11" s="314"/>
      <c r="D11" s="317"/>
      <c r="E11" s="340"/>
      <c r="F11" s="81" t="s">
        <v>27</v>
      </c>
      <c r="G11" s="81" t="s">
        <v>55</v>
      </c>
      <c r="H11" s="94">
        <v>1</v>
      </c>
      <c r="I11" s="385"/>
      <c r="J11" s="317"/>
    </row>
    <row r="12" spans="1:11" ht="15" customHeight="1">
      <c r="C12" s="314"/>
      <c r="D12" s="317"/>
      <c r="E12" s="340"/>
      <c r="F12" s="148" t="s">
        <v>27</v>
      </c>
      <c r="G12" s="148" t="s">
        <v>43</v>
      </c>
      <c r="H12" s="277">
        <v>3</v>
      </c>
      <c r="I12" s="385"/>
      <c r="J12" s="317"/>
    </row>
    <row r="13" spans="1:11" ht="15" customHeight="1">
      <c r="C13" s="314"/>
      <c r="D13" s="317"/>
      <c r="E13" s="340"/>
      <c r="F13" s="149" t="s">
        <v>138</v>
      </c>
      <c r="G13" s="149" t="s">
        <v>165</v>
      </c>
      <c r="H13" s="94">
        <v>1</v>
      </c>
      <c r="I13" s="385"/>
      <c r="J13" s="317"/>
    </row>
    <row r="14" spans="1:11" ht="15" customHeight="1">
      <c r="C14" s="314"/>
      <c r="D14" s="317"/>
      <c r="E14" s="340"/>
      <c r="F14" s="149" t="s">
        <v>14</v>
      </c>
      <c r="G14" s="149" t="s">
        <v>198</v>
      </c>
      <c r="H14" s="94">
        <v>1</v>
      </c>
      <c r="I14" s="385"/>
      <c r="J14" s="317"/>
    </row>
    <row r="15" spans="1:11" ht="15" customHeight="1">
      <c r="C15" s="314"/>
      <c r="D15" s="317"/>
      <c r="E15" s="340"/>
      <c r="F15" s="135" t="s">
        <v>24</v>
      </c>
      <c r="G15" s="149" t="s">
        <v>218</v>
      </c>
      <c r="H15" s="94">
        <v>1</v>
      </c>
      <c r="I15" s="385"/>
      <c r="J15" s="317"/>
    </row>
    <row r="16" spans="1:11" ht="15" customHeight="1">
      <c r="C16" s="314"/>
      <c r="D16" s="317"/>
      <c r="E16" s="340"/>
      <c r="F16" s="149" t="s">
        <v>14</v>
      </c>
      <c r="G16" s="149" t="s">
        <v>87</v>
      </c>
      <c r="H16" s="96">
        <v>1</v>
      </c>
      <c r="I16" s="385"/>
      <c r="J16" s="317"/>
    </row>
    <row r="17" spans="3:10" ht="15" customHeight="1">
      <c r="C17" s="314"/>
      <c r="D17" s="317"/>
      <c r="E17" s="340"/>
      <c r="F17" s="149" t="s">
        <v>14</v>
      </c>
      <c r="G17" s="149" t="s">
        <v>106</v>
      </c>
      <c r="H17" s="96">
        <v>1</v>
      </c>
      <c r="I17" s="385"/>
      <c r="J17" s="317"/>
    </row>
    <row r="18" spans="3:10" ht="15" customHeight="1">
      <c r="C18" s="314"/>
      <c r="D18" s="317"/>
      <c r="E18" s="326"/>
      <c r="F18" s="150" t="s">
        <v>27</v>
      </c>
      <c r="G18" s="150" t="s">
        <v>203</v>
      </c>
      <c r="H18" s="97">
        <v>1</v>
      </c>
      <c r="I18" s="370"/>
      <c r="J18" s="317"/>
    </row>
    <row r="19" spans="3:10" ht="15" customHeight="1">
      <c r="C19" s="314"/>
      <c r="D19" s="317"/>
      <c r="E19" s="20"/>
      <c r="F19" s="20"/>
      <c r="G19" s="20"/>
      <c r="H19" s="32"/>
      <c r="I19" s="32"/>
      <c r="J19" s="330"/>
    </row>
    <row r="20" spans="3:10" ht="15" customHeight="1">
      <c r="C20" s="314"/>
      <c r="D20" s="317"/>
      <c r="E20" s="324" t="s">
        <v>260</v>
      </c>
      <c r="F20" s="22" t="s">
        <v>252</v>
      </c>
      <c r="G20" s="21" t="s">
        <v>262</v>
      </c>
      <c r="H20" s="104">
        <v>6</v>
      </c>
      <c r="I20" s="380">
        <f>SUM(H20:H27)</f>
        <v>16</v>
      </c>
      <c r="J20" s="330"/>
    </row>
    <row r="21" spans="3:10" ht="15" customHeight="1">
      <c r="C21" s="314"/>
      <c r="D21" s="317"/>
      <c r="E21" s="325"/>
      <c r="F21" s="6" t="s">
        <v>27</v>
      </c>
      <c r="G21" s="23" t="s">
        <v>203</v>
      </c>
      <c r="H21" s="105">
        <v>1</v>
      </c>
      <c r="I21" s="381"/>
      <c r="J21" s="330"/>
    </row>
    <row r="22" spans="3:10" ht="15" customHeight="1">
      <c r="C22" s="314"/>
      <c r="D22" s="317"/>
      <c r="E22" s="325"/>
      <c r="F22" s="25" t="s">
        <v>14</v>
      </c>
      <c r="G22" s="98" t="s">
        <v>146</v>
      </c>
      <c r="H22" s="105">
        <v>2</v>
      </c>
      <c r="I22" s="381"/>
      <c r="J22" s="330"/>
    </row>
    <row r="23" spans="3:10" ht="15" customHeight="1">
      <c r="C23" s="314"/>
      <c r="D23" s="317"/>
      <c r="E23" s="325"/>
      <c r="F23" s="25" t="s">
        <v>264</v>
      </c>
      <c r="G23" s="98" t="s">
        <v>75</v>
      </c>
      <c r="H23" s="127">
        <v>1</v>
      </c>
      <c r="I23" s="381"/>
      <c r="J23" s="330"/>
    </row>
    <row r="24" spans="3:10" ht="15" customHeight="1">
      <c r="C24" s="314"/>
      <c r="D24" s="317"/>
      <c r="E24" s="325"/>
      <c r="F24" s="6" t="s">
        <v>14</v>
      </c>
      <c r="G24" s="23" t="s">
        <v>208</v>
      </c>
      <c r="H24" s="105">
        <v>1</v>
      </c>
      <c r="I24" s="381"/>
      <c r="J24" s="330"/>
    </row>
    <row r="25" spans="3:10" ht="15" customHeight="1">
      <c r="C25" s="314"/>
      <c r="D25" s="317"/>
      <c r="E25" s="325"/>
      <c r="F25" s="6" t="s">
        <v>14</v>
      </c>
      <c r="G25" s="23" t="s">
        <v>19</v>
      </c>
      <c r="H25" s="108">
        <v>3</v>
      </c>
      <c r="I25" s="381"/>
      <c r="J25" s="330"/>
    </row>
    <row r="26" spans="3:10" ht="15" customHeight="1">
      <c r="C26" s="314"/>
      <c r="D26" s="317"/>
      <c r="E26" s="325"/>
      <c r="F26" s="6" t="s">
        <v>27</v>
      </c>
      <c r="G26" s="23" t="s">
        <v>55</v>
      </c>
      <c r="H26" s="108">
        <v>1</v>
      </c>
      <c r="I26" s="381"/>
      <c r="J26" s="330"/>
    </row>
    <row r="27" spans="3:10" ht="15" customHeight="1">
      <c r="C27" s="314"/>
      <c r="D27" s="317"/>
      <c r="E27" s="326"/>
      <c r="F27" s="30" t="s">
        <v>27</v>
      </c>
      <c r="G27" s="31" t="s">
        <v>43</v>
      </c>
      <c r="H27" s="86">
        <v>1</v>
      </c>
      <c r="I27" s="382"/>
      <c r="J27" s="330"/>
    </row>
    <row r="28" spans="3:10" ht="15" customHeight="1">
      <c r="C28" s="314"/>
      <c r="D28" s="317"/>
      <c r="E28" s="20"/>
      <c r="F28" s="20"/>
      <c r="G28" s="20"/>
      <c r="H28" s="32"/>
      <c r="I28" s="32"/>
      <c r="J28" s="330"/>
    </row>
    <row r="29" spans="3:10" ht="15" customHeight="1">
      <c r="C29" s="314"/>
      <c r="D29" s="317"/>
      <c r="E29" s="324" t="s">
        <v>266</v>
      </c>
      <c r="F29" s="75" t="s">
        <v>261</v>
      </c>
      <c r="G29" s="67" t="s">
        <v>262</v>
      </c>
      <c r="H29" s="92">
        <v>3</v>
      </c>
      <c r="I29" s="362">
        <f>SUM(H29:H34)</f>
        <v>12</v>
      </c>
      <c r="J29" s="330"/>
    </row>
    <row r="30" spans="3:10" ht="15" customHeight="1">
      <c r="C30" s="314"/>
      <c r="D30" s="317"/>
      <c r="E30" s="340"/>
      <c r="F30" s="76" t="s">
        <v>27</v>
      </c>
      <c r="G30" s="81" t="s">
        <v>263</v>
      </c>
      <c r="H30" s="94">
        <v>2</v>
      </c>
      <c r="I30" s="363"/>
      <c r="J30" s="330"/>
    </row>
    <row r="31" spans="3:10" ht="15" customHeight="1">
      <c r="C31" s="314"/>
      <c r="D31" s="317"/>
      <c r="E31" s="340"/>
      <c r="F31" s="76" t="s">
        <v>27</v>
      </c>
      <c r="G31" s="81" t="s">
        <v>254</v>
      </c>
      <c r="H31" s="94">
        <v>2</v>
      </c>
      <c r="I31" s="363"/>
      <c r="J31" s="330"/>
    </row>
    <row r="32" spans="3:10" ht="15" customHeight="1">
      <c r="C32" s="314"/>
      <c r="D32" s="317"/>
      <c r="E32" s="340"/>
      <c r="F32" s="76" t="s">
        <v>14</v>
      </c>
      <c r="G32" s="76" t="s">
        <v>99</v>
      </c>
      <c r="H32" s="101">
        <v>1</v>
      </c>
      <c r="I32" s="363"/>
      <c r="J32" s="330"/>
    </row>
    <row r="33" spans="3:10" ht="15" customHeight="1">
      <c r="C33" s="314"/>
      <c r="D33" s="317"/>
      <c r="E33" s="340"/>
      <c r="F33" s="76" t="s">
        <v>138</v>
      </c>
      <c r="G33" s="76" t="s">
        <v>165</v>
      </c>
      <c r="H33" s="94">
        <v>3</v>
      </c>
      <c r="I33" s="363"/>
      <c r="J33" s="330"/>
    </row>
    <row r="34" spans="3:10" ht="15" customHeight="1">
      <c r="C34" s="314"/>
      <c r="D34" s="317"/>
      <c r="E34" s="326"/>
      <c r="F34" s="77" t="s">
        <v>27</v>
      </c>
      <c r="G34" s="77" t="s">
        <v>203</v>
      </c>
      <c r="H34" s="97">
        <v>1</v>
      </c>
      <c r="I34" s="364"/>
      <c r="J34" s="330"/>
    </row>
    <row r="35" spans="3:10" ht="15" customHeight="1">
      <c r="C35" s="314"/>
      <c r="D35" s="317"/>
      <c r="E35" s="20"/>
      <c r="F35" s="20"/>
      <c r="G35" s="20"/>
      <c r="H35" s="32"/>
      <c r="I35" s="124"/>
      <c r="J35" s="330"/>
    </row>
    <row r="36" spans="3:10" ht="15" customHeight="1">
      <c r="C36" s="314"/>
      <c r="D36" s="317"/>
      <c r="E36" s="324" t="s">
        <v>270</v>
      </c>
      <c r="F36" s="132" t="s">
        <v>252</v>
      </c>
      <c r="G36" s="137" t="s">
        <v>262</v>
      </c>
      <c r="H36" s="68">
        <v>8</v>
      </c>
      <c r="I36" s="380">
        <f>SUM(H36:H42)</f>
        <v>16</v>
      </c>
      <c r="J36" s="330"/>
    </row>
    <row r="37" spans="3:10" ht="15" customHeight="1">
      <c r="C37" s="314"/>
      <c r="D37" s="317"/>
      <c r="E37" s="340"/>
      <c r="F37" s="147" t="s">
        <v>14</v>
      </c>
      <c r="G37" s="139" t="s">
        <v>15</v>
      </c>
      <c r="H37" s="69">
        <v>1</v>
      </c>
      <c r="I37" s="381"/>
      <c r="J37" s="330"/>
    </row>
    <row r="38" spans="3:10" ht="15" customHeight="1">
      <c r="C38" s="314"/>
      <c r="D38" s="317"/>
      <c r="E38" s="340"/>
      <c r="F38" s="147" t="s">
        <v>14</v>
      </c>
      <c r="G38" s="139" t="s">
        <v>198</v>
      </c>
      <c r="H38" s="69">
        <v>1</v>
      </c>
      <c r="I38" s="381"/>
      <c r="J38" s="330"/>
    </row>
    <row r="39" spans="3:10" ht="15" customHeight="1">
      <c r="C39" s="314"/>
      <c r="D39" s="317"/>
      <c r="E39" s="340"/>
      <c r="F39" s="134" t="s">
        <v>138</v>
      </c>
      <c r="G39" s="138" t="s">
        <v>165</v>
      </c>
      <c r="H39" s="69">
        <v>2</v>
      </c>
      <c r="I39" s="381"/>
      <c r="J39" s="330"/>
    </row>
    <row r="40" spans="3:10" ht="15" customHeight="1">
      <c r="C40" s="314"/>
      <c r="D40" s="317"/>
      <c r="E40" s="340"/>
      <c r="F40" s="147" t="s">
        <v>14</v>
      </c>
      <c r="G40" s="139" t="s">
        <v>68</v>
      </c>
      <c r="H40" s="79">
        <v>1</v>
      </c>
      <c r="I40" s="381"/>
      <c r="J40" s="330"/>
    </row>
    <row r="41" spans="3:10" ht="15" customHeight="1">
      <c r="C41" s="314"/>
      <c r="D41" s="317"/>
      <c r="E41" s="340"/>
      <c r="F41" s="25" t="s">
        <v>27</v>
      </c>
      <c r="G41" s="110" t="s">
        <v>180</v>
      </c>
      <c r="H41" s="79">
        <v>1</v>
      </c>
      <c r="I41" s="381"/>
      <c r="J41" s="330"/>
    </row>
    <row r="42" spans="3:10" ht="15" customHeight="1">
      <c r="C42" s="314"/>
      <c r="D42" s="317"/>
      <c r="E42" s="326"/>
      <c r="F42" s="136" t="s">
        <v>258</v>
      </c>
      <c r="G42" s="151" t="s">
        <v>185</v>
      </c>
      <c r="H42" s="80">
        <v>2</v>
      </c>
      <c r="I42" s="382"/>
      <c r="J42" s="330"/>
    </row>
    <row r="43" spans="3:10" ht="15" customHeight="1">
      <c r="C43" s="314"/>
      <c r="D43" s="317"/>
      <c r="E43" s="20"/>
      <c r="F43" s="20"/>
      <c r="G43" s="20"/>
      <c r="H43" s="32"/>
      <c r="I43" s="32"/>
      <c r="J43" s="330"/>
    </row>
    <row r="44" spans="3:10" ht="15" customHeight="1">
      <c r="C44" s="314"/>
      <c r="D44" s="317"/>
      <c r="E44" s="344" t="s">
        <v>271</v>
      </c>
      <c r="F44" s="153" t="s">
        <v>252</v>
      </c>
      <c r="G44" s="152" t="s">
        <v>262</v>
      </c>
      <c r="H44" s="276">
        <v>7</v>
      </c>
      <c r="I44" s="369">
        <f>SUM(H44:H50)</f>
        <v>13</v>
      </c>
      <c r="J44" s="317"/>
    </row>
    <row r="45" spans="3:10" ht="15" customHeight="1">
      <c r="C45" s="314"/>
      <c r="D45" s="317"/>
      <c r="E45" s="345"/>
      <c r="F45" s="139" t="s">
        <v>27</v>
      </c>
      <c r="G45" s="141" t="s">
        <v>43</v>
      </c>
      <c r="H45" s="277">
        <v>1</v>
      </c>
      <c r="I45" s="385"/>
      <c r="J45" s="317"/>
    </row>
    <row r="46" spans="3:10" ht="15" customHeight="1">
      <c r="C46" s="314"/>
      <c r="D46" s="317"/>
      <c r="E46" s="345"/>
      <c r="F46" s="138" t="s">
        <v>27</v>
      </c>
      <c r="G46" s="133" t="s">
        <v>55</v>
      </c>
      <c r="H46" s="128">
        <v>1</v>
      </c>
      <c r="I46" s="385"/>
      <c r="J46" s="317"/>
    </row>
    <row r="47" spans="3:10" ht="15" customHeight="1">
      <c r="C47" s="314"/>
      <c r="D47" s="317"/>
      <c r="E47" s="345"/>
      <c r="F47" s="138" t="s">
        <v>14</v>
      </c>
      <c r="G47" s="141" t="s">
        <v>75</v>
      </c>
      <c r="H47" s="128">
        <v>1</v>
      </c>
      <c r="I47" s="385"/>
      <c r="J47" s="317"/>
    </row>
    <row r="48" spans="3:10" ht="15" customHeight="1">
      <c r="C48" s="314"/>
      <c r="D48" s="317"/>
      <c r="E48" s="345"/>
      <c r="F48" s="139" t="s">
        <v>138</v>
      </c>
      <c r="G48" s="141" t="s">
        <v>165</v>
      </c>
      <c r="H48" s="128">
        <v>1</v>
      </c>
      <c r="I48" s="385"/>
      <c r="J48" s="317"/>
    </row>
    <row r="49" spans="3:10" ht="15" customHeight="1">
      <c r="C49" s="314"/>
      <c r="D49" s="317"/>
      <c r="E49" s="345"/>
      <c r="F49" s="139" t="s">
        <v>27</v>
      </c>
      <c r="G49" s="141" t="s">
        <v>203</v>
      </c>
      <c r="H49" s="128">
        <v>1</v>
      </c>
      <c r="I49" s="385"/>
      <c r="J49" s="317"/>
    </row>
    <row r="50" spans="3:10" ht="15" customHeight="1">
      <c r="C50" s="314"/>
      <c r="D50" s="317"/>
      <c r="E50" s="346"/>
      <c r="F50" s="154" t="s">
        <v>14</v>
      </c>
      <c r="G50" s="142" t="s">
        <v>221</v>
      </c>
      <c r="H50" s="97">
        <v>1</v>
      </c>
      <c r="I50" s="370"/>
      <c r="J50" s="317"/>
    </row>
    <row r="51" spans="3:10" ht="15" customHeight="1">
      <c r="C51" s="314"/>
      <c r="D51" s="317"/>
      <c r="E51" s="20"/>
      <c r="F51" s="118"/>
      <c r="G51" s="118"/>
      <c r="H51" s="32"/>
      <c r="I51" s="32"/>
      <c r="J51" s="330"/>
    </row>
    <row r="52" spans="3:10" ht="15" customHeight="1">
      <c r="C52" s="314"/>
      <c r="D52" s="317"/>
      <c r="E52" s="146" t="s">
        <v>272</v>
      </c>
      <c r="F52" s="130" t="s">
        <v>37</v>
      </c>
      <c r="G52" s="140" t="s">
        <v>38</v>
      </c>
      <c r="H52" s="66">
        <v>2</v>
      </c>
      <c r="I52" s="143">
        <f>SUM(H52:H52)</f>
        <v>2</v>
      </c>
      <c r="J52" s="330"/>
    </row>
    <row r="53" spans="3:10" ht="15" customHeight="1">
      <c r="C53" s="314"/>
      <c r="D53" s="317"/>
      <c r="E53" s="20"/>
      <c r="F53" s="20"/>
      <c r="G53" s="20"/>
      <c r="H53" s="32"/>
      <c r="I53" s="32"/>
      <c r="J53" s="330"/>
    </row>
    <row r="54" spans="3:10" ht="15" customHeight="1">
      <c r="C54" s="314"/>
      <c r="D54" s="339"/>
      <c r="E54" s="367" t="s">
        <v>274</v>
      </c>
      <c r="F54" s="120" t="s">
        <v>325</v>
      </c>
      <c r="G54" s="21" t="s">
        <v>262</v>
      </c>
      <c r="H54" s="92">
        <v>20</v>
      </c>
      <c r="I54" s="353">
        <f>SUM(H54:H65)</f>
        <v>40</v>
      </c>
      <c r="J54" s="330"/>
    </row>
    <row r="55" spans="3:10" ht="15" customHeight="1">
      <c r="C55" s="314"/>
      <c r="D55" s="339"/>
      <c r="E55" s="387"/>
      <c r="F55" s="121" t="s">
        <v>14</v>
      </c>
      <c r="G55" s="98" t="s">
        <v>146</v>
      </c>
      <c r="H55" s="94">
        <v>2</v>
      </c>
      <c r="I55" s="354"/>
      <c r="J55" s="330"/>
    </row>
    <row r="56" spans="3:10" ht="15" customHeight="1">
      <c r="C56" s="314"/>
      <c r="D56" s="339"/>
      <c r="E56" s="387"/>
      <c r="F56" s="121" t="s">
        <v>264</v>
      </c>
      <c r="G56" s="98" t="s">
        <v>75</v>
      </c>
      <c r="H56" s="94">
        <v>1</v>
      </c>
      <c r="I56" s="354"/>
      <c r="J56" s="330"/>
    </row>
    <row r="57" spans="3:10" ht="15" customHeight="1">
      <c r="C57" s="314"/>
      <c r="D57" s="339"/>
      <c r="E57" s="387"/>
      <c r="F57" s="110" t="s">
        <v>14</v>
      </c>
      <c r="G57" s="98" t="s">
        <v>200</v>
      </c>
      <c r="H57" s="277">
        <v>1</v>
      </c>
      <c r="I57" s="354"/>
      <c r="J57" s="330"/>
    </row>
    <row r="58" spans="3:10" ht="15" customHeight="1">
      <c r="C58" s="314"/>
      <c r="D58" s="339"/>
      <c r="E58" s="387"/>
      <c r="F58" s="121" t="s">
        <v>199</v>
      </c>
      <c r="G58" s="98" t="s">
        <v>15</v>
      </c>
      <c r="H58" s="277">
        <v>1</v>
      </c>
      <c r="I58" s="354"/>
      <c r="J58" s="330"/>
    </row>
    <row r="59" spans="3:10" ht="15" customHeight="1">
      <c r="C59" s="314"/>
      <c r="D59" s="339"/>
      <c r="E59" s="387"/>
      <c r="F59" s="121" t="s">
        <v>14</v>
      </c>
      <c r="G59" s="98" t="s">
        <v>17</v>
      </c>
      <c r="H59" s="277">
        <v>2</v>
      </c>
      <c r="I59" s="354"/>
      <c r="J59" s="330"/>
    </row>
    <row r="60" spans="3:10" ht="15" customHeight="1">
      <c r="C60" s="314"/>
      <c r="D60" s="339"/>
      <c r="E60" s="387"/>
      <c r="F60" s="121" t="s">
        <v>14</v>
      </c>
      <c r="G60" s="98" t="s">
        <v>194</v>
      </c>
      <c r="H60" s="277">
        <v>1</v>
      </c>
      <c r="I60" s="354"/>
      <c r="J60" s="330"/>
    </row>
    <row r="61" spans="3:10" ht="15" customHeight="1">
      <c r="C61" s="314"/>
      <c r="D61" s="339"/>
      <c r="E61" s="387"/>
      <c r="F61" s="121" t="s">
        <v>21</v>
      </c>
      <c r="G61" s="98" t="s">
        <v>136</v>
      </c>
      <c r="H61" s="96">
        <v>3</v>
      </c>
      <c r="I61" s="354"/>
      <c r="J61" s="330"/>
    </row>
    <row r="62" spans="3:10" ht="15" customHeight="1">
      <c r="C62" s="314"/>
      <c r="D62" s="339"/>
      <c r="E62" s="387"/>
      <c r="F62" s="121" t="s">
        <v>138</v>
      </c>
      <c r="G62" s="98" t="s">
        <v>165</v>
      </c>
      <c r="H62" s="96">
        <v>3</v>
      </c>
      <c r="I62" s="354"/>
      <c r="J62" s="330"/>
    </row>
    <row r="63" spans="3:10" ht="15" customHeight="1">
      <c r="C63" s="314"/>
      <c r="D63" s="339"/>
      <c r="E63" s="387"/>
      <c r="F63" s="121" t="s">
        <v>27</v>
      </c>
      <c r="G63" s="98" t="s">
        <v>128</v>
      </c>
      <c r="H63" s="96">
        <v>3</v>
      </c>
      <c r="I63" s="354"/>
      <c r="J63" s="330"/>
    </row>
    <row r="64" spans="3:10" ht="15" customHeight="1">
      <c r="C64" s="314"/>
      <c r="D64" s="339"/>
      <c r="E64" s="387"/>
      <c r="F64" s="121" t="s">
        <v>27</v>
      </c>
      <c r="G64" s="98" t="s">
        <v>144</v>
      </c>
      <c r="H64" s="155">
        <v>1</v>
      </c>
      <c r="I64" s="354"/>
      <c r="J64" s="330"/>
    </row>
    <row r="65" spans="3:10" ht="15" customHeight="1">
      <c r="C65" s="314"/>
      <c r="D65" s="339"/>
      <c r="E65" s="368"/>
      <c r="F65" s="156" t="s">
        <v>27</v>
      </c>
      <c r="G65" s="64" t="s">
        <v>180</v>
      </c>
      <c r="H65" s="97">
        <v>2</v>
      </c>
      <c r="I65" s="355"/>
      <c r="J65" s="330"/>
    </row>
    <row r="66" spans="3:10" ht="15" customHeight="1">
      <c r="C66" s="314"/>
      <c r="D66" s="317"/>
      <c r="E66" s="20"/>
      <c r="F66" s="118"/>
      <c r="G66" s="119"/>
      <c r="H66" s="32"/>
      <c r="I66" s="32"/>
      <c r="J66" s="330"/>
    </row>
    <row r="67" spans="3:10">
      <c r="C67" s="314"/>
      <c r="D67" s="317"/>
      <c r="E67" s="383" t="s">
        <v>280</v>
      </c>
      <c r="F67" s="120" t="s">
        <v>326</v>
      </c>
      <c r="G67" s="126" t="s">
        <v>180</v>
      </c>
      <c r="H67" s="144">
        <v>15</v>
      </c>
      <c r="I67" s="353">
        <f>SUM(H67:H69)</f>
        <v>26</v>
      </c>
      <c r="J67" s="330"/>
    </row>
    <row r="68" spans="3:10">
      <c r="C68" s="314"/>
      <c r="D68" s="317"/>
      <c r="E68" s="386"/>
      <c r="F68" s="110" t="s">
        <v>27</v>
      </c>
      <c r="G68" s="98" t="s">
        <v>130</v>
      </c>
      <c r="H68" s="128">
        <v>7</v>
      </c>
      <c r="I68" s="354"/>
      <c r="J68" s="330"/>
    </row>
    <row r="69" spans="3:10">
      <c r="C69" s="315"/>
      <c r="D69" s="331"/>
      <c r="E69" s="384"/>
      <c r="F69" s="111" t="s">
        <v>14</v>
      </c>
      <c r="G69" s="64" t="s">
        <v>151</v>
      </c>
      <c r="H69" s="145">
        <v>4</v>
      </c>
      <c r="I69" s="355"/>
      <c r="J69" s="373"/>
    </row>
  </sheetData>
  <autoFilter ref="C8:J8" xr:uid="{35840C4A-17BD-4A94-A15E-31E5111B3AF4}"/>
  <mergeCells count="18">
    <mergeCell ref="D10:D69"/>
    <mergeCell ref="C10:C69"/>
    <mergeCell ref="F4:H4"/>
    <mergeCell ref="E20:E27"/>
    <mergeCell ref="I20:I27"/>
    <mergeCell ref="E29:E34"/>
    <mergeCell ref="I29:I34"/>
    <mergeCell ref="J10:J69"/>
    <mergeCell ref="I44:I50"/>
    <mergeCell ref="E67:E69"/>
    <mergeCell ref="I67:I69"/>
    <mergeCell ref="E10:E18"/>
    <mergeCell ref="I10:I18"/>
    <mergeCell ref="E36:E42"/>
    <mergeCell ref="I36:I42"/>
    <mergeCell ref="E44:E50"/>
    <mergeCell ref="I54:I65"/>
    <mergeCell ref="E54:E6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C7988-082B-48D2-BEFC-15EF2297AF6D}">
  <dimension ref="C2:J60"/>
  <sheetViews>
    <sheetView topLeftCell="B1" workbookViewId="0">
      <selection activeCell="F50" sqref="F50"/>
    </sheetView>
  </sheetViews>
  <sheetFormatPr defaultRowHeight="15"/>
  <cols>
    <col min="3" max="6" width="24" customWidth="1"/>
    <col min="7" max="7" width="34.85546875" customWidth="1"/>
    <col min="8" max="8" width="19.7109375" customWidth="1"/>
    <col min="9" max="10" width="24" customWidth="1"/>
  </cols>
  <sheetData>
    <row r="2" spans="3:10">
      <c r="E2" s="20"/>
      <c r="F2" s="20"/>
      <c r="G2" s="20"/>
      <c r="H2" s="32"/>
      <c r="I2" s="32"/>
    </row>
    <row r="3" spans="3:10">
      <c r="E3" s="20"/>
      <c r="F3" s="310" t="s">
        <v>240</v>
      </c>
      <c r="G3" s="311"/>
      <c r="H3" s="312"/>
      <c r="I3" s="32"/>
    </row>
    <row r="4" spans="3:10">
      <c r="E4" s="20"/>
      <c r="F4" s="20"/>
      <c r="G4" s="20"/>
      <c r="H4" s="32"/>
      <c r="I4" s="32"/>
    </row>
    <row r="5" spans="3:10">
      <c r="E5" s="20"/>
      <c r="F5" s="20"/>
      <c r="G5" s="20"/>
      <c r="H5" s="32"/>
      <c r="I5" s="32"/>
    </row>
    <row r="6" spans="3:10">
      <c r="E6" s="20"/>
      <c r="F6" s="20"/>
      <c r="G6" s="20"/>
      <c r="H6" s="32"/>
      <c r="I6" s="32"/>
    </row>
    <row r="7" spans="3:10">
      <c r="C7" s="221" t="s">
        <v>241</v>
      </c>
      <c r="D7" s="220" t="s">
        <v>242</v>
      </c>
      <c r="E7" s="16" t="s">
        <v>243</v>
      </c>
      <c r="F7" s="158" t="s">
        <v>244</v>
      </c>
      <c r="G7" s="18" t="s">
        <v>245</v>
      </c>
      <c r="H7" s="18" t="s">
        <v>281</v>
      </c>
      <c r="I7" s="19" t="s">
        <v>282</v>
      </c>
      <c r="J7" s="222" t="s">
        <v>290</v>
      </c>
    </row>
    <row r="8" spans="3:10" ht="15" customHeight="1">
      <c r="C8" s="389" t="s">
        <v>327</v>
      </c>
      <c r="D8" s="316" t="s">
        <v>250</v>
      </c>
      <c r="E8" s="324" t="s">
        <v>251</v>
      </c>
      <c r="F8" s="67" t="s">
        <v>322</v>
      </c>
      <c r="G8" s="67" t="s">
        <v>262</v>
      </c>
      <c r="H8" s="92">
        <v>14</v>
      </c>
      <c r="I8" s="353">
        <f>SUM(H8:H16)</f>
        <v>26</v>
      </c>
      <c r="J8" s="352">
        <f>SUM(I8,I18,I25,I34,I40,I47,I49,I59)</f>
        <v>130</v>
      </c>
    </row>
    <row r="9" spans="3:10" ht="15" customHeight="1">
      <c r="C9" s="390"/>
      <c r="D9" s="317"/>
      <c r="E9" s="340"/>
      <c r="F9" s="81" t="s">
        <v>27</v>
      </c>
      <c r="G9" s="81" t="s">
        <v>55</v>
      </c>
      <c r="H9" s="94">
        <v>1</v>
      </c>
      <c r="I9" s="354"/>
      <c r="J9" s="330"/>
    </row>
    <row r="10" spans="3:10" ht="15" customHeight="1">
      <c r="C10" s="390"/>
      <c r="D10" s="317"/>
      <c r="E10" s="340"/>
      <c r="F10" s="148" t="s">
        <v>27</v>
      </c>
      <c r="G10" s="148" t="s">
        <v>43</v>
      </c>
      <c r="H10" s="277">
        <v>2</v>
      </c>
      <c r="I10" s="354"/>
      <c r="J10" s="330"/>
    </row>
    <row r="11" spans="3:10" ht="15" customHeight="1">
      <c r="C11" s="390"/>
      <c r="D11" s="317"/>
      <c r="E11" s="340"/>
      <c r="F11" s="149" t="s">
        <v>138</v>
      </c>
      <c r="G11" s="149" t="s">
        <v>165</v>
      </c>
      <c r="H11" s="94">
        <v>3</v>
      </c>
      <c r="I11" s="354"/>
      <c r="J11" s="330"/>
    </row>
    <row r="12" spans="3:10" ht="15" customHeight="1">
      <c r="C12" s="390"/>
      <c r="D12" s="317"/>
      <c r="E12" s="340"/>
      <c r="F12" s="149" t="s">
        <v>14</v>
      </c>
      <c r="G12" s="149" t="s">
        <v>198</v>
      </c>
      <c r="H12" s="94">
        <v>1</v>
      </c>
      <c r="I12" s="354"/>
      <c r="J12" s="330"/>
    </row>
    <row r="13" spans="3:10" ht="15" customHeight="1">
      <c r="C13" s="390"/>
      <c r="D13" s="317"/>
      <c r="E13" s="340"/>
      <c r="F13" s="135" t="s">
        <v>24</v>
      </c>
      <c r="G13" s="149" t="s">
        <v>218</v>
      </c>
      <c r="H13" s="94">
        <v>1</v>
      </c>
      <c r="I13" s="354"/>
      <c r="J13" s="330"/>
    </row>
    <row r="14" spans="3:10" ht="15" customHeight="1">
      <c r="C14" s="390"/>
      <c r="D14" s="317"/>
      <c r="E14" s="340"/>
      <c r="F14" s="149" t="s">
        <v>14</v>
      </c>
      <c r="G14" s="149" t="s">
        <v>87</v>
      </c>
      <c r="H14" s="96">
        <v>1</v>
      </c>
      <c r="I14" s="354"/>
      <c r="J14" s="330"/>
    </row>
    <row r="15" spans="3:10" ht="15" customHeight="1">
      <c r="C15" s="390"/>
      <c r="D15" s="317"/>
      <c r="E15" s="340"/>
      <c r="F15" s="149" t="s">
        <v>14</v>
      </c>
      <c r="G15" s="149" t="s">
        <v>106</v>
      </c>
      <c r="H15" s="96">
        <v>1</v>
      </c>
      <c r="I15" s="354"/>
      <c r="J15" s="330"/>
    </row>
    <row r="16" spans="3:10" ht="15" customHeight="1">
      <c r="C16" s="390"/>
      <c r="D16" s="317"/>
      <c r="E16" s="326"/>
      <c r="F16" s="150" t="s">
        <v>27</v>
      </c>
      <c r="G16" s="150" t="s">
        <v>203</v>
      </c>
      <c r="H16" s="97">
        <v>2</v>
      </c>
      <c r="I16" s="355"/>
      <c r="J16" s="330"/>
    </row>
    <row r="17" spans="3:10" ht="15" customHeight="1">
      <c r="C17" s="390"/>
      <c r="D17" s="317"/>
      <c r="E17" s="20"/>
      <c r="F17" s="20"/>
      <c r="G17" s="20"/>
      <c r="H17" s="32"/>
      <c r="I17" s="32"/>
      <c r="J17" s="330"/>
    </row>
    <row r="18" spans="3:10" ht="15" customHeight="1">
      <c r="C18" s="390"/>
      <c r="D18" s="317"/>
      <c r="E18" s="324" t="s">
        <v>260</v>
      </c>
      <c r="F18" s="22" t="s">
        <v>252</v>
      </c>
      <c r="G18" s="21" t="s">
        <v>262</v>
      </c>
      <c r="H18" s="104">
        <v>7</v>
      </c>
      <c r="I18" s="380">
        <f>SUM(H18:H23)</f>
        <v>13</v>
      </c>
      <c r="J18" s="330"/>
    </row>
    <row r="19" spans="3:10" ht="15" customHeight="1">
      <c r="C19" s="390"/>
      <c r="D19" s="317"/>
      <c r="E19" s="340"/>
      <c r="F19" s="6" t="s">
        <v>27</v>
      </c>
      <c r="G19" s="47" t="s">
        <v>55</v>
      </c>
      <c r="H19" s="105">
        <v>1</v>
      </c>
      <c r="I19" s="381"/>
      <c r="J19" s="330"/>
    </row>
    <row r="20" spans="3:10" ht="15" customHeight="1">
      <c r="C20" s="390"/>
      <c r="D20" s="317"/>
      <c r="E20" s="340"/>
      <c r="F20" s="6" t="s">
        <v>27</v>
      </c>
      <c r="G20" s="47" t="s">
        <v>43</v>
      </c>
      <c r="H20" s="105">
        <v>2</v>
      </c>
      <c r="I20" s="381"/>
      <c r="J20" s="330"/>
    </row>
    <row r="21" spans="3:10" ht="15" customHeight="1">
      <c r="C21" s="390"/>
      <c r="D21" s="317"/>
      <c r="E21" s="340"/>
      <c r="F21" s="6" t="s">
        <v>14</v>
      </c>
      <c r="G21" s="47" t="s">
        <v>146</v>
      </c>
      <c r="H21" s="127">
        <v>1</v>
      </c>
      <c r="I21" s="381"/>
      <c r="J21" s="330"/>
    </row>
    <row r="22" spans="3:10" ht="15" customHeight="1">
      <c r="C22" s="390"/>
      <c r="D22" s="317"/>
      <c r="E22" s="340"/>
      <c r="F22" s="6" t="s">
        <v>138</v>
      </c>
      <c r="G22" s="47" t="s">
        <v>165</v>
      </c>
      <c r="H22" s="105">
        <v>1</v>
      </c>
      <c r="I22" s="381"/>
      <c r="J22" s="330"/>
    </row>
    <row r="23" spans="3:10" ht="15" customHeight="1">
      <c r="C23" s="390"/>
      <c r="D23" s="317"/>
      <c r="E23" s="326"/>
      <c r="F23" s="28" t="s">
        <v>27</v>
      </c>
      <c r="G23" s="58" t="s">
        <v>180</v>
      </c>
      <c r="H23" s="86">
        <v>1</v>
      </c>
      <c r="I23" s="382"/>
      <c r="J23" s="330"/>
    </row>
    <row r="24" spans="3:10" ht="15" customHeight="1">
      <c r="C24" s="390"/>
      <c r="D24" s="317"/>
      <c r="E24" s="20"/>
      <c r="F24" s="20"/>
      <c r="G24" s="20"/>
      <c r="H24" s="32"/>
      <c r="I24" s="32"/>
      <c r="J24" s="330"/>
    </row>
    <row r="25" spans="3:10" ht="15" customHeight="1">
      <c r="C25" s="390"/>
      <c r="D25" s="317"/>
      <c r="E25" s="324" t="s">
        <v>328</v>
      </c>
      <c r="F25" s="75" t="s">
        <v>261</v>
      </c>
      <c r="G25" s="67" t="s">
        <v>262</v>
      </c>
      <c r="H25" s="218">
        <v>7</v>
      </c>
      <c r="I25" s="380">
        <f>SUM(H25:H32)</f>
        <v>19</v>
      </c>
      <c r="J25" s="330"/>
    </row>
    <row r="26" spans="3:10" ht="15" customHeight="1">
      <c r="C26" s="390"/>
      <c r="D26" s="317"/>
      <c r="E26" s="340"/>
      <c r="F26" s="216" t="s">
        <v>14</v>
      </c>
      <c r="G26" s="24" t="s">
        <v>146</v>
      </c>
      <c r="H26" s="105">
        <v>2</v>
      </c>
      <c r="I26" s="381"/>
      <c r="J26" s="330"/>
    </row>
    <row r="27" spans="3:10" ht="15" customHeight="1">
      <c r="C27" s="390"/>
      <c r="D27" s="317"/>
      <c r="E27" s="340"/>
      <c r="F27" s="216" t="s">
        <v>199</v>
      </c>
      <c r="G27" s="24" t="s">
        <v>153</v>
      </c>
      <c r="H27" s="105">
        <v>2</v>
      </c>
      <c r="I27" s="381"/>
      <c r="J27" s="330"/>
    </row>
    <row r="28" spans="3:10" ht="15" customHeight="1">
      <c r="C28" s="390"/>
      <c r="D28" s="317"/>
      <c r="E28" s="340"/>
      <c r="F28" s="216" t="s">
        <v>14</v>
      </c>
      <c r="G28" s="24" t="s">
        <v>191</v>
      </c>
      <c r="H28" s="105">
        <v>1</v>
      </c>
      <c r="I28" s="381"/>
      <c r="J28" s="330"/>
    </row>
    <row r="29" spans="3:10" ht="15" customHeight="1">
      <c r="C29" s="390"/>
      <c r="D29" s="317"/>
      <c r="E29" s="340"/>
      <c r="F29" s="216" t="s">
        <v>14</v>
      </c>
      <c r="G29" s="24" t="s">
        <v>68</v>
      </c>
      <c r="H29" s="105">
        <v>3</v>
      </c>
      <c r="I29" s="381"/>
      <c r="J29" s="330"/>
    </row>
    <row r="30" spans="3:10" ht="15" customHeight="1">
      <c r="C30" s="390"/>
      <c r="D30" s="317"/>
      <c r="E30" s="340"/>
      <c r="F30" s="216" t="s">
        <v>138</v>
      </c>
      <c r="G30" s="24" t="s">
        <v>210</v>
      </c>
      <c r="H30" s="108">
        <v>1</v>
      </c>
      <c r="I30" s="381"/>
      <c r="J30" s="330"/>
    </row>
    <row r="31" spans="3:10" ht="15" customHeight="1">
      <c r="C31" s="390"/>
      <c r="D31" s="317"/>
      <c r="E31" s="340"/>
      <c r="F31" s="216" t="s">
        <v>138</v>
      </c>
      <c r="G31" s="24" t="s">
        <v>165</v>
      </c>
      <c r="H31" s="219">
        <v>1</v>
      </c>
      <c r="I31" s="381"/>
      <c r="J31" s="330"/>
    </row>
    <row r="32" spans="3:10" ht="15" customHeight="1">
      <c r="C32" s="390"/>
      <c r="D32" s="317"/>
      <c r="E32" s="326"/>
      <c r="F32" s="217" t="s">
        <v>258</v>
      </c>
      <c r="G32" s="27" t="s">
        <v>185</v>
      </c>
      <c r="H32" s="86">
        <v>2</v>
      </c>
      <c r="I32" s="382"/>
      <c r="J32" s="330"/>
    </row>
    <row r="33" spans="3:10" ht="15" customHeight="1">
      <c r="C33" s="390"/>
      <c r="D33" s="317"/>
      <c r="E33" s="20"/>
      <c r="F33" s="20"/>
      <c r="G33" s="20"/>
      <c r="H33" s="32"/>
      <c r="I33" s="124"/>
      <c r="J33" s="330"/>
    </row>
    <row r="34" spans="3:10" ht="15" customHeight="1">
      <c r="C34" s="390"/>
      <c r="D34" s="317"/>
      <c r="E34" s="324" t="s">
        <v>266</v>
      </c>
      <c r="F34" s="132" t="s">
        <v>252</v>
      </c>
      <c r="G34" s="131" t="s">
        <v>262</v>
      </c>
      <c r="H34" s="104">
        <v>7</v>
      </c>
      <c r="I34" s="380">
        <f>SUM(H34:H38)</f>
        <v>15</v>
      </c>
      <c r="J34" s="330"/>
    </row>
    <row r="35" spans="3:10" ht="15" customHeight="1">
      <c r="C35" s="390"/>
      <c r="D35" s="317"/>
      <c r="E35" s="340"/>
      <c r="F35" s="6" t="s">
        <v>27</v>
      </c>
      <c r="G35" s="23" t="s">
        <v>55</v>
      </c>
      <c r="H35" s="105">
        <v>5</v>
      </c>
      <c r="I35" s="381"/>
      <c r="J35" s="330"/>
    </row>
    <row r="36" spans="3:10" ht="15" customHeight="1">
      <c r="C36" s="390"/>
      <c r="D36" s="317"/>
      <c r="E36" s="340"/>
      <c r="F36" s="6" t="s">
        <v>27</v>
      </c>
      <c r="G36" s="23" t="s">
        <v>43</v>
      </c>
      <c r="H36" s="105">
        <v>1</v>
      </c>
      <c r="I36" s="381"/>
      <c r="J36" s="330"/>
    </row>
    <row r="37" spans="3:10" ht="15" customHeight="1">
      <c r="C37" s="390"/>
      <c r="D37" s="317"/>
      <c r="E37" s="340"/>
      <c r="F37" s="6" t="s">
        <v>138</v>
      </c>
      <c r="G37" s="23" t="s">
        <v>165</v>
      </c>
      <c r="H37" s="105">
        <v>1</v>
      </c>
      <c r="I37" s="381"/>
      <c r="J37" s="330"/>
    </row>
    <row r="38" spans="3:10" ht="15" customHeight="1">
      <c r="C38" s="390"/>
      <c r="D38" s="317"/>
      <c r="E38" s="326"/>
      <c r="F38" s="30" t="s">
        <v>167</v>
      </c>
      <c r="G38" s="31" t="s">
        <v>167</v>
      </c>
      <c r="H38" s="86">
        <v>1</v>
      </c>
      <c r="I38" s="382"/>
      <c r="J38" s="330"/>
    </row>
    <row r="39" spans="3:10" ht="15" customHeight="1">
      <c r="C39" s="390"/>
      <c r="D39" s="317"/>
      <c r="E39" s="20"/>
      <c r="F39" s="20"/>
      <c r="G39" s="20"/>
      <c r="H39" s="32"/>
      <c r="I39" s="32"/>
      <c r="J39" s="330"/>
    </row>
    <row r="40" spans="3:10" ht="15" customHeight="1">
      <c r="C40" s="390"/>
      <c r="D40" s="317"/>
      <c r="E40" s="344" t="s">
        <v>271</v>
      </c>
      <c r="F40" s="153" t="s">
        <v>252</v>
      </c>
      <c r="G40" s="152" t="s">
        <v>262</v>
      </c>
      <c r="H40" s="276">
        <v>6</v>
      </c>
      <c r="I40" s="353">
        <f>SUM(H40:H45)</f>
        <v>17</v>
      </c>
      <c r="J40" s="330"/>
    </row>
    <row r="41" spans="3:10" ht="15" customHeight="1">
      <c r="C41" s="390"/>
      <c r="D41" s="317"/>
      <c r="E41" s="345"/>
      <c r="F41" s="41" t="s">
        <v>27</v>
      </c>
      <c r="G41" s="41" t="s">
        <v>43</v>
      </c>
      <c r="H41" s="277">
        <v>1</v>
      </c>
      <c r="I41" s="354"/>
      <c r="J41" s="330"/>
    </row>
    <row r="42" spans="3:10" ht="15" customHeight="1">
      <c r="C42" s="390"/>
      <c r="D42" s="317"/>
      <c r="E42" s="345"/>
      <c r="F42" s="41" t="s">
        <v>14</v>
      </c>
      <c r="G42" s="41" t="s">
        <v>191</v>
      </c>
      <c r="H42" s="128">
        <v>1</v>
      </c>
      <c r="I42" s="354"/>
      <c r="J42" s="330"/>
    </row>
    <row r="43" spans="3:10" ht="15" customHeight="1">
      <c r="C43" s="390"/>
      <c r="D43" s="317"/>
      <c r="E43" s="345"/>
      <c r="F43" s="44" t="s">
        <v>14</v>
      </c>
      <c r="G43" s="41" t="s">
        <v>87</v>
      </c>
      <c r="H43" s="128">
        <v>1</v>
      </c>
      <c r="I43" s="354"/>
      <c r="J43" s="330"/>
    </row>
    <row r="44" spans="3:10" ht="15" customHeight="1">
      <c r="C44" s="390"/>
      <c r="D44" s="317"/>
      <c r="E44" s="345"/>
      <c r="F44" s="41" t="s">
        <v>138</v>
      </c>
      <c r="G44" s="41" t="s">
        <v>165</v>
      </c>
      <c r="H44" s="128">
        <v>4</v>
      </c>
      <c r="I44" s="354"/>
      <c r="J44" s="330"/>
    </row>
    <row r="45" spans="3:10" ht="15" customHeight="1">
      <c r="C45" s="390"/>
      <c r="D45" s="317"/>
      <c r="E45" s="346"/>
      <c r="F45" s="154" t="s">
        <v>27</v>
      </c>
      <c r="G45" s="142" t="s">
        <v>203</v>
      </c>
      <c r="H45" s="129">
        <v>4</v>
      </c>
      <c r="I45" s="355"/>
      <c r="J45" s="330"/>
    </row>
    <row r="46" spans="3:10" ht="15" customHeight="1">
      <c r="C46" s="390"/>
      <c r="D46" s="317"/>
      <c r="E46" s="20"/>
      <c r="F46" s="118"/>
      <c r="G46" s="118"/>
      <c r="H46" s="32"/>
      <c r="I46" s="32"/>
      <c r="J46" s="330"/>
    </row>
    <row r="47" spans="3:10" ht="15" customHeight="1">
      <c r="C47" s="390"/>
      <c r="D47" s="317"/>
      <c r="E47" s="146" t="s">
        <v>272</v>
      </c>
      <c r="F47" s="39" t="s">
        <v>37</v>
      </c>
      <c r="G47" s="52" t="s">
        <v>38</v>
      </c>
      <c r="H47" s="66">
        <v>1</v>
      </c>
      <c r="I47" s="143">
        <f>SUM(H47:H47)</f>
        <v>1</v>
      </c>
      <c r="J47" s="330"/>
    </row>
    <row r="48" spans="3:10" ht="15" customHeight="1">
      <c r="C48" s="390"/>
      <c r="D48" s="317"/>
      <c r="E48" s="20"/>
      <c r="F48" s="20"/>
      <c r="G48" s="20"/>
      <c r="H48" s="32"/>
      <c r="I48" s="32"/>
      <c r="J48" s="330"/>
    </row>
    <row r="49" spans="3:10" ht="15" customHeight="1">
      <c r="C49" s="390"/>
      <c r="D49" s="317"/>
      <c r="E49" s="324" t="s">
        <v>274</v>
      </c>
      <c r="F49" s="22" t="s">
        <v>325</v>
      </c>
      <c r="G49" s="21" t="s">
        <v>262</v>
      </c>
      <c r="H49" s="92">
        <v>21</v>
      </c>
      <c r="I49" s="353">
        <f>SUM(H49:H57)</f>
        <v>34</v>
      </c>
      <c r="J49" s="330"/>
    </row>
    <row r="50" spans="3:10" ht="15" customHeight="1">
      <c r="C50" s="390"/>
      <c r="D50" s="317"/>
      <c r="E50" s="340"/>
      <c r="F50" s="6" t="s">
        <v>27</v>
      </c>
      <c r="G50" s="47" t="s">
        <v>55</v>
      </c>
      <c r="H50" s="94">
        <v>1</v>
      </c>
      <c r="I50" s="354"/>
      <c r="J50" s="330"/>
    </row>
    <row r="51" spans="3:10" ht="15" customHeight="1">
      <c r="C51" s="390"/>
      <c r="D51" s="317"/>
      <c r="E51" s="340"/>
      <c r="F51" s="6" t="s">
        <v>14</v>
      </c>
      <c r="G51" s="47" t="s">
        <v>146</v>
      </c>
      <c r="H51" s="94">
        <v>2</v>
      </c>
      <c r="I51" s="354"/>
      <c r="J51" s="330"/>
    </row>
    <row r="52" spans="3:10" ht="15" customHeight="1">
      <c r="C52" s="390"/>
      <c r="D52" s="317"/>
      <c r="E52" s="340"/>
      <c r="F52" s="6" t="s">
        <v>14</v>
      </c>
      <c r="G52" s="47" t="s">
        <v>194</v>
      </c>
      <c r="H52" s="277">
        <v>1</v>
      </c>
      <c r="I52" s="354"/>
      <c r="J52" s="330"/>
    </row>
    <row r="53" spans="3:10" ht="15" customHeight="1">
      <c r="C53" s="390"/>
      <c r="D53" s="317"/>
      <c r="E53" s="340"/>
      <c r="F53" s="6" t="s">
        <v>21</v>
      </c>
      <c r="G53" s="47" t="s">
        <v>136</v>
      </c>
      <c r="H53" s="277">
        <v>3</v>
      </c>
      <c r="I53" s="354"/>
      <c r="J53" s="330"/>
    </row>
    <row r="54" spans="3:10" ht="15" customHeight="1">
      <c r="C54" s="390"/>
      <c r="D54" s="317"/>
      <c r="E54" s="340"/>
      <c r="F54" s="25" t="s">
        <v>14</v>
      </c>
      <c r="G54" s="43" t="s">
        <v>99</v>
      </c>
      <c r="H54" s="277">
        <v>1</v>
      </c>
      <c r="I54" s="354"/>
      <c r="J54" s="330"/>
    </row>
    <row r="55" spans="3:10" ht="15" customHeight="1">
      <c r="C55" s="390"/>
      <c r="D55" s="317"/>
      <c r="E55" s="340"/>
      <c r="F55" s="25" t="s">
        <v>259</v>
      </c>
      <c r="G55" s="43" t="s">
        <v>203</v>
      </c>
      <c r="H55" s="277">
        <v>1</v>
      </c>
      <c r="I55" s="354"/>
      <c r="J55" s="330"/>
    </row>
    <row r="56" spans="3:10" ht="15" customHeight="1">
      <c r="C56" s="390"/>
      <c r="D56" s="317"/>
      <c r="E56" s="340"/>
      <c r="F56" s="25" t="s">
        <v>27</v>
      </c>
      <c r="G56" s="43" t="s">
        <v>128</v>
      </c>
      <c r="H56" s="96">
        <v>3</v>
      </c>
      <c r="I56" s="354"/>
      <c r="J56" s="330"/>
    </row>
    <row r="57" spans="3:10" ht="15" customHeight="1">
      <c r="C57" s="390"/>
      <c r="D57" s="317"/>
      <c r="E57" s="326"/>
      <c r="F57" s="28" t="s">
        <v>27</v>
      </c>
      <c r="G57" s="58" t="s">
        <v>180</v>
      </c>
      <c r="H57" s="97">
        <v>1</v>
      </c>
      <c r="I57" s="355"/>
      <c r="J57" s="330"/>
    </row>
    <row r="58" spans="3:10" ht="15" customHeight="1">
      <c r="C58" s="390"/>
      <c r="D58" s="317"/>
      <c r="E58" s="20"/>
      <c r="F58" s="118"/>
      <c r="G58" s="119"/>
      <c r="H58" s="32"/>
      <c r="I58" s="32"/>
      <c r="J58" s="330"/>
    </row>
    <row r="59" spans="3:10" ht="15" customHeight="1">
      <c r="C59" s="390"/>
      <c r="D59" s="339"/>
      <c r="E59" s="392" t="s">
        <v>280</v>
      </c>
      <c r="F59" s="74" t="s">
        <v>27</v>
      </c>
      <c r="G59" s="223" t="s">
        <v>144</v>
      </c>
      <c r="H59" s="144">
        <v>4</v>
      </c>
      <c r="I59" s="353">
        <f>SUM(H59:H60)</f>
        <v>5</v>
      </c>
      <c r="J59" s="330"/>
    </row>
    <row r="60" spans="3:10">
      <c r="C60" s="391"/>
      <c r="D60" s="388"/>
      <c r="E60" s="393"/>
      <c r="F60" s="28" t="s">
        <v>27</v>
      </c>
      <c r="G60" s="58" t="s">
        <v>180</v>
      </c>
      <c r="H60" s="129">
        <v>1</v>
      </c>
      <c r="I60" s="355"/>
      <c r="J60" s="373"/>
    </row>
  </sheetData>
  <autoFilter ref="C7:J7" xr:uid="{0A6C7988-082B-48D2-BEFC-15EF2297AF6D}"/>
  <mergeCells count="18">
    <mergeCell ref="I8:I16"/>
    <mergeCell ref="J8:J60"/>
    <mergeCell ref="I49:I57"/>
    <mergeCell ref="E59:E60"/>
    <mergeCell ref="E25:E32"/>
    <mergeCell ref="I25:I32"/>
    <mergeCell ref="I59:I60"/>
    <mergeCell ref="I18:I23"/>
    <mergeCell ref="E34:E38"/>
    <mergeCell ref="I34:I38"/>
    <mergeCell ref="E40:E45"/>
    <mergeCell ref="I40:I45"/>
    <mergeCell ref="E8:E16"/>
    <mergeCell ref="D8:D60"/>
    <mergeCell ref="C8:C60"/>
    <mergeCell ref="F3:H3"/>
    <mergeCell ref="E18:E23"/>
    <mergeCell ref="E49:E5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B5C-0A29-4248-ABB9-049F6B6A8CE9}">
  <dimension ref="A1:K59"/>
  <sheetViews>
    <sheetView workbookViewId="0"/>
  </sheetViews>
  <sheetFormatPr defaultRowHeight="15"/>
  <cols>
    <col min="2" max="6" width="27.140625" customWidth="1"/>
    <col min="7" max="7" width="29.85546875" customWidth="1"/>
    <col min="8" max="8" width="27.140625" customWidth="1"/>
    <col min="9" max="9" width="27.5703125" customWidth="1"/>
    <col min="10" max="11" width="27.140625" customWidth="1"/>
  </cols>
  <sheetData>
    <row r="1" spans="1:11">
      <c r="E1" s="20"/>
      <c r="F1" s="20"/>
      <c r="G1" s="20"/>
      <c r="H1" s="32"/>
      <c r="I1" s="32"/>
    </row>
    <row r="2" spans="1:11">
      <c r="E2" s="20"/>
      <c r="F2" s="20"/>
      <c r="G2" s="20"/>
      <c r="H2" s="32"/>
      <c r="I2" s="32"/>
    </row>
    <row r="3" spans="1:11">
      <c r="E3" s="20"/>
      <c r="F3" s="20"/>
      <c r="G3" s="20"/>
      <c r="H3" s="32"/>
      <c r="I3" s="32"/>
    </row>
    <row r="4" spans="1:11">
      <c r="E4" s="20"/>
      <c r="F4" s="310" t="s">
        <v>240</v>
      </c>
      <c r="G4" s="311"/>
      <c r="H4" s="312"/>
      <c r="I4" s="32"/>
    </row>
    <row r="5" spans="1:11">
      <c r="E5" s="20"/>
      <c r="F5" s="20"/>
      <c r="G5" s="20"/>
      <c r="H5" s="32"/>
      <c r="I5" s="32"/>
    </row>
    <row r="6" spans="1:11">
      <c r="E6" s="20"/>
      <c r="F6" s="20"/>
      <c r="G6" s="20"/>
      <c r="H6" s="32"/>
      <c r="I6" s="32"/>
    </row>
    <row r="7" spans="1:11">
      <c r="E7" s="20"/>
      <c r="F7" s="20"/>
      <c r="G7" s="20"/>
      <c r="H7" s="32"/>
      <c r="I7" s="32"/>
    </row>
    <row r="8" spans="1:11">
      <c r="A8" s="40"/>
      <c r="B8" s="40"/>
      <c r="C8" s="122" t="s">
        <v>241</v>
      </c>
      <c r="D8" s="9" t="s">
        <v>242</v>
      </c>
      <c r="E8" s="10" t="s">
        <v>243</v>
      </c>
      <c r="F8" s="123" t="s">
        <v>244</v>
      </c>
      <c r="G8" s="13" t="s">
        <v>245</v>
      </c>
      <c r="H8" s="13" t="s">
        <v>281</v>
      </c>
      <c r="I8" s="12" t="s">
        <v>282</v>
      </c>
      <c r="J8" s="12" t="s">
        <v>290</v>
      </c>
      <c r="K8" s="40"/>
    </row>
    <row r="9" spans="1:11">
      <c r="E9" s="20"/>
      <c r="F9" s="20"/>
      <c r="G9" s="20"/>
      <c r="H9" s="32"/>
      <c r="I9" s="32"/>
    </row>
    <row r="10" spans="1:11" ht="15" customHeight="1">
      <c r="C10" s="313" t="s">
        <v>329</v>
      </c>
      <c r="D10" s="316" t="s">
        <v>250</v>
      </c>
      <c r="E10" s="324" t="s">
        <v>251</v>
      </c>
      <c r="F10" s="22" t="s">
        <v>14</v>
      </c>
      <c r="G10" s="45" t="s">
        <v>146</v>
      </c>
      <c r="H10" s="92">
        <v>1</v>
      </c>
      <c r="I10" s="353">
        <f>SUM(H10:H12)</f>
        <v>6</v>
      </c>
      <c r="J10" s="352">
        <f>SUM(I10,I14,I21,I29,I36,I42,I47,I57)</f>
        <v>90</v>
      </c>
    </row>
    <row r="11" spans="1:11" ht="15" customHeight="1">
      <c r="C11" s="314"/>
      <c r="D11" s="317"/>
      <c r="E11" s="340"/>
      <c r="F11" s="6" t="s">
        <v>14</v>
      </c>
      <c r="G11" s="47" t="s">
        <v>194</v>
      </c>
      <c r="H11" s="94">
        <v>1</v>
      </c>
      <c r="I11" s="354"/>
      <c r="J11" s="330"/>
    </row>
    <row r="12" spans="1:11" ht="15" customHeight="1">
      <c r="C12" s="314"/>
      <c r="D12" s="317"/>
      <c r="E12" s="326"/>
      <c r="F12" s="30" t="s">
        <v>138</v>
      </c>
      <c r="G12" s="224" t="s">
        <v>165</v>
      </c>
      <c r="H12" s="278">
        <v>4</v>
      </c>
      <c r="I12" s="355"/>
      <c r="J12" s="330"/>
    </row>
    <row r="13" spans="1:11" ht="15" customHeight="1">
      <c r="C13" s="314"/>
      <c r="D13" s="317"/>
      <c r="E13" s="20"/>
      <c r="F13" s="20"/>
      <c r="G13" s="20"/>
      <c r="H13" s="32"/>
      <c r="I13" s="32"/>
      <c r="J13" s="330"/>
    </row>
    <row r="14" spans="1:11" ht="15" customHeight="1">
      <c r="C14" s="314"/>
      <c r="D14" s="317"/>
      <c r="E14" s="324" t="s">
        <v>260</v>
      </c>
      <c r="F14" s="22" t="s">
        <v>252</v>
      </c>
      <c r="G14" s="21" t="s">
        <v>262</v>
      </c>
      <c r="H14" s="104">
        <v>1</v>
      </c>
      <c r="I14" s="380">
        <f>SUM(H14:H19)</f>
        <v>8</v>
      </c>
      <c r="J14" s="330"/>
    </row>
    <row r="15" spans="1:11" ht="15" customHeight="1">
      <c r="C15" s="314"/>
      <c r="D15" s="317"/>
      <c r="E15" s="340"/>
      <c r="F15" s="6" t="s">
        <v>27</v>
      </c>
      <c r="G15" s="43" t="s">
        <v>55</v>
      </c>
      <c r="H15" s="105">
        <v>2</v>
      </c>
      <c r="I15" s="381"/>
      <c r="J15" s="330"/>
    </row>
    <row r="16" spans="1:11" ht="15" customHeight="1">
      <c r="C16" s="314"/>
      <c r="D16" s="317"/>
      <c r="E16" s="340"/>
      <c r="F16" s="6" t="s">
        <v>264</v>
      </c>
      <c r="G16" s="43" t="s">
        <v>75</v>
      </c>
      <c r="H16" s="105">
        <v>1</v>
      </c>
      <c r="I16" s="381"/>
      <c r="J16" s="330"/>
    </row>
    <row r="17" spans="3:10" ht="15" customHeight="1">
      <c r="C17" s="314"/>
      <c r="D17" s="317"/>
      <c r="E17" s="340"/>
      <c r="F17" s="6" t="s">
        <v>14</v>
      </c>
      <c r="G17" s="43" t="s">
        <v>115</v>
      </c>
      <c r="H17" s="127">
        <v>2</v>
      </c>
      <c r="I17" s="381"/>
      <c r="J17" s="330"/>
    </row>
    <row r="18" spans="3:10" ht="15" customHeight="1">
      <c r="C18" s="314"/>
      <c r="D18" s="317"/>
      <c r="E18" s="340"/>
      <c r="F18" s="6" t="s">
        <v>14</v>
      </c>
      <c r="G18" s="43" t="s">
        <v>194</v>
      </c>
      <c r="H18" s="105">
        <v>1</v>
      </c>
      <c r="I18" s="381"/>
      <c r="J18" s="330"/>
    </row>
    <row r="19" spans="3:10" ht="15" customHeight="1">
      <c r="C19" s="314"/>
      <c r="D19" s="317"/>
      <c r="E19" s="326"/>
      <c r="F19" s="30" t="s">
        <v>297</v>
      </c>
      <c r="G19" s="58" t="s">
        <v>203</v>
      </c>
      <c r="H19" s="86">
        <v>1</v>
      </c>
      <c r="I19" s="382"/>
      <c r="J19" s="330"/>
    </row>
    <row r="20" spans="3:10" ht="15" customHeight="1">
      <c r="C20" s="314"/>
      <c r="D20" s="317"/>
      <c r="E20" s="20"/>
      <c r="F20" s="20"/>
      <c r="G20" s="20"/>
      <c r="H20" s="32"/>
      <c r="I20" s="32"/>
      <c r="J20" s="330"/>
    </row>
    <row r="21" spans="3:10" ht="15" customHeight="1">
      <c r="C21" s="314"/>
      <c r="D21" s="317"/>
      <c r="E21" s="324" t="s">
        <v>266</v>
      </c>
      <c r="F21" s="67" t="s">
        <v>259</v>
      </c>
      <c r="G21" s="67" t="s">
        <v>253</v>
      </c>
      <c r="H21" s="104">
        <v>1</v>
      </c>
      <c r="I21" s="380">
        <f>SUM(H21:H27)</f>
        <v>10</v>
      </c>
      <c r="J21" s="330"/>
    </row>
    <row r="22" spans="3:10" ht="15" customHeight="1">
      <c r="C22" s="314"/>
      <c r="D22" s="317"/>
      <c r="E22" s="340"/>
      <c r="F22" s="81" t="s">
        <v>27</v>
      </c>
      <c r="G22" s="81" t="s">
        <v>55</v>
      </c>
      <c r="H22" s="105">
        <v>2</v>
      </c>
      <c r="I22" s="381"/>
      <c r="J22" s="330"/>
    </row>
    <row r="23" spans="3:10" ht="15" customHeight="1">
      <c r="C23" s="314"/>
      <c r="D23" s="317"/>
      <c r="E23" s="340"/>
      <c r="F23" s="81" t="s">
        <v>27</v>
      </c>
      <c r="G23" s="81" t="s">
        <v>43</v>
      </c>
      <c r="H23" s="105">
        <v>1</v>
      </c>
      <c r="I23" s="381"/>
      <c r="J23" s="330"/>
    </row>
    <row r="24" spans="3:10" ht="15" customHeight="1">
      <c r="C24" s="314"/>
      <c r="D24" s="317"/>
      <c r="E24" s="340"/>
      <c r="F24" s="76" t="s">
        <v>14</v>
      </c>
      <c r="G24" s="76" t="s">
        <v>19</v>
      </c>
      <c r="H24" s="105">
        <v>2</v>
      </c>
      <c r="I24" s="381"/>
      <c r="J24" s="330"/>
    </row>
    <row r="25" spans="3:10" ht="15" customHeight="1">
      <c r="C25" s="314"/>
      <c r="D25" s="317"/>
      <c r="E25" s="340"/>
      <c r="F25" s="76" t="s">
        <v>14</v>
      </c>
      <c r="G25" s="76" t="s">
        <v>191</v>
      </c>
      <c r="H25" s="105">
        <v>1</v>
      </c>
      <c r="I25" s="381"/>
      <c r="J25" s="330"/>
    </row>
    <row r="26" spans="3:10" ht="15" customHeight="1">
      <c r="C26" s="314"/>
      <c r="D26" s="317"/>
      <c r="E26" s="340"/>
      <c r="F26" s="76" t="s">
        <v>14</v>
      </c>
      <c r="G26" s="76" t="s">
        <v>87</v>
      </c>
      <c r="H26" s="108">
        <v>1</v>
      </c>
      <c r="I26" s="381"/>
      <c r="J26" s="330"/>
    </row>
    <row r="27" spans="3:10" ht="15" customHeight="1">
      <c r="C27" s="314"/>
      <c r="D27" s="317"/>
      <c r="E27" s="326"/>
      <c r="F27" s="77" t="s">
        <v>138</v>
      </c>
      <c r="G27" s="77" t="s">
        <v>165</v>
      </c>
      <c r="H27" s="86">
        <v>2</v>
      </c>
      <c r="I27" s="382"/>
      <c r="J27" s="330"/>
    </row>
    <row r="28" spans="3:10" ht="15" customHeight="1">
      <c r="C28" s="314"/>
      <c r="D28" s="317"/>
      <c r="E28" s="20"/>
      <c r="F28" s="20"/>
      <c r="G28" s="20"/>
      <c r="H28" s="32"/>
      <c r="I28" s="124"/>
      <c r="J28" s="330"/>
    </row>
    <row r="29" spans="3:10" ht="15" customHeight="1">
      <c r="C29" s="314"/>
      <c r="D29" s="317"/>
      <c r="E29" s="324" t="s">
        <v>270</v>
      </c>
      <c r="F29" s="225" t="s">
        <v>252</v>
      </c>
      <c r="G29" s="132" t="s">
        <v>262</v>
      </c>
      <c r="H29" s="68">
        <v>8</v>
      </c>
      <c r="I29" s="380">
        <f>SUM(H29:H34)</f>
        <v>16</v>
      </c>
      <c r="J29" s="330"/>
    </row>
    <row r="30" spans="3:10" ht="15" customHeight="1">
      <c r="C30" s="314"/>
      <c r="D30" s="317"/>
      <c r="E30" s="340"/>
      <c r="F30" s="76" t="s">
        <v>14</v>
      </c>
      <c r="G30" s="25" t="s">
        <v>146</v>
      </c>
      <c r="H30" s="69">
        <v>1</v>
      </c>
      <c r="I30" s="381"/>
      <c r="J30" s="330"/>
    </row>
    <row r="31" spans="3:10" ht="15" customHeight="1">
      <c r="C31" s="314"/>
      <c r="D31" s="317"/>
      <c r="E31" s="340"/>
      <c r="F31" s="76" t="s">
        <v>14</v>
      </c>
      <c r="G31" s="25" t="s">
        <v>19</v>
      </c>
      <c r="H31" s="69">
        <v>2</v>
      </c>
      <c r="I31" s="381"/>
      <c r="J31" s="330"/>
    </row>
    <row r="32" spans="3:10" ht="15" customHeight="1">
      <c r="C32" s="314"/>
      <c r="D32" s="317"/>
      <c r="E32" s="340"/>
      <c r="F32" s="76" t="s">
        <v>138</v>
      </c>
      <c r="G32" s="25" t="s">
        <v>210</v>
      </c>
      <c r="H32" s="69">
        <v>1</v>
      </c>
      <c r="I32" s="381"/>
      <c r="J32" s="330"/>
    </row>
    <row r="33" spans="3:10" ht="15" customHeight="1">
      <c r="C33" s="314"/>
      <c r="D33" s="317"/>
      <c r="E33" s="340"/>
      <c r="F33" s="76" t="s">
        <v>138</v>
      </c>
      <c r="G33" s="25" t="s">
        <v>165</v>
      </c>
      <c r="H33" s="79">
        <v>3</v>
      </c>
      <c r="I33" s="381"/>
      <c r="J33" s="330"/>
    </row>
    <row r="34" spans="3:10" ht="15" customHeight="1">
      <c r="C34" s="314"/>
      <c r="D34" s="317"/>
      <c r="E34" s="326"/>
      <c r="F34" s="77" t="s">
        <v>297</v>
      </c>
      <c r="G34" s="28" t="s">
        <v>203</v>
      </c>
      <c r="H34" s="80">
        <v>1</v>
      </c>
      <c r="I34" s="382"/>
      <c r="J34" s="330"/>
    </row>
    <row r="35" spans="3:10" ht="15" customHeight="1">
      <c r="C35" s="314"/>
      <c r="D35" s="317"/>
      <c r="E35" s="20"/>
      <c r="F35" s="20"/>
      <c r="G35" s="20"/>
      <c r="H35" s="32"/>
      <c r="I35" s="32"/>
      <c r="J35" s="330"/>
    </row>
    <row r="36" spans="3:10" ht="15" customHeight="1">
      <c r="C36" s="314"/>
      <c r="D36" s="317"/>
      <c r="E36" s="324" t="s">
        <v>271</v>
      </c>
      <c r="F36" s="22" t="s">
        <v>27</v>
      </c>
      <c r="G36" s="45" t="s">
        <v>253</v>
      </c>
      <c r="H36" s="276">
        <v>1</v>
      </c>
      <c r="I36" s="353">
        <f>SUM(H36:H40)</f>
        <v>7</v>
      </c>
      <c r="J36" s="330"/>
    </row>
    <row r="37" spans="3:10" ht="15" customHeight="1">
      <c r="C37" s="314"/>
      <c r="D37" s="317"/>
      <c r="E37" s="340"/>
      <c r="F37" s="6" t="s">
        <v>14</v>
      </c>
      <c r="G37" s="47" t="s">
        <v>146</v>
      </c>
      <c r="H37" s="277">
        <v>1</v>
      </c>
      <c r="I37" s="354"/>
      <c r="J37" s="330"/>
    </row>
    <row r="38" spans="3:10" ht="15" customHeight="1">
      <c r="C38" s="314"/>
      <c r="D38" s="317"/>
      <c r="E38" s="340"/>
      <c r="F38" s="6" t="s">
        <v>14</v>
      </c>
      <c r="G38" s="47" t="s">
        <v>153</v>
      </c>
      <c r="H38" s="128">
        <v>1</v>
      </c>
      <c r="I38" s="354"/>
      <c r="J38" s="330"/>
    </row>
    <row r="39" spans="3:10" ht="15" customHeight="1">
      <c r="C39" s="314"/>
      <c r="D39" s="317"/>
      <c r="E39" s="340"/>
      <c r="F39" s="25" t="s">
        <v>14</v>
      </c>
      <c r="G39" s="43" t="s">
        <v>165</v>
      </c>
      <c r="H39" s="128">
        <v>3</v>
      </c>
      <c r="I39" s="354"/>
      <c r="J39" s="330"/>
    </row>
    <row r="40" spans="3:10" ht="15" customHeight="1">
      <c r="C40" s="314"/>
      <c r="D40" s="317"/>
      <c r="E40" s="326"/>
      <c r="F40" s="180" t="s">
        <v>27</v>
      </c>
      <c r="G40" s="226" t="s">
        <v>28</v>
      </c>
      <c r="H40" s="129">
        <v>1</v>
      </c>
      <c r="I40" s="355"/>
      <c r="J40" s="330"/>
    </row>
    <row r="41" spans="3:10" ht="15" customHeight="1">
      <c r="C41" s="314"/>
      <c r="D41" s="317"/>
      <c r="E41" s="20"/>
      <c r="F41" s="118"/>
      <c r="G41" s="118"/>
      <c r="H41" s="32"/>
      <c r="I41" s="32"/>
      <c r="J41" s="330"/>
    </row>
    <row r="42" spans="3:10" ht="15" customHeight="1">
      <c r="C42" s="314"/>
      <c r="D42" s="317"/>
      <c r="E42" s="374" t="s">
        <v>272</v>
      </c>
      <c r="F42" s="67" t="s">
        <v>27</v>
      </c>
      <c r="G42" s="22" t="s">
        <v>55</v>
      </c>
      <c r="H42" s="116">
        <v>1</v>
      </c>
      <c r="I42" s="394">
        <f>SUM(H42:H45)</f>
        <v>5</v>
      </c>
      <c r="J42" s="330"/>
    </row>
    <row r="43" spans="3:10" ht="15" customHeight="1">
      <c r="C43" s="314"/>
      <c r="D43" s="317"/>
      <c r="E43" s="375"/>
      <c r="F43" s="76" t="s">
        <v>37</v>
      </c>
      <c r="G43" s="25" t="s">
        <v>38</v>
      </c>
      <c r="H43" s="99">
        <v>1</v>
      </c>
      <c r="I43" s="395"/>
      <c r="J43" s="330"/>
    </row>
    <row r="44" spans="3:10" ht="15" customHeight="1">
      <c r="C44" s="314"/>
      <c r="D44" s="317"/>
      <c r="E44" s="375"/>
      <c r="F44" s="76" t="s">
        <v>138</v>
      </c>
      <c r="G44" s="25" t="s">
        <v>218</v>
      </c>
      <c r="H44" s="99">
        <v>1</v>
      </c>
      <c r="I44" s="395"/>
      <c r="J44" s="330"/>
    </row>
    <row r="45" spans="3:10" ht="15" customHeight="1">
      <c r="C45" s="314"/>
      <c r="D45" s="317"/>
      <c r="E45" s="376"/>
      <c r="F45" s="77" t="s">
        <v>138</v>
      </c>
      <c r="G45" s="28" t="s">
        <v>165</v>
      </c>
      <c r="H45" s="100">
        <v>2</v>
      </c>
      <c r="I45" s="396"/>
      <c r="J45" s="330"/>
    </row>
    <row r="46" spans="3:10" ht="15" customHeight="1">
      <c r="C46" s="314"/>
      <c r="D46" s="317"/>
      <c r="E46" s="20"/>
      <c r="F46" s="20"/>
      <c r="G46" s="20"/>
      <c r="H46" s="32"/>
      <c r="I46" s="32"/>
      <c r="J46" s="330"/>
    </row>
    <row r="47" spans="3:10" ht="15" customHeight="1">
      <c r="C47" s="314"/>
      <c r="D47" s="317"/>
      <c r="E47" s="324" t="s">
        <v>274</v>
      </c>
      <c r="F47" s="22" t="s">
        <v>252</v>
      </c>
      <c r="G47" s="21" t="s">
        <v>262</v>
      </c>
      <c r="H47" s="92">
        <v>24</v>
      </c>
      <c r="I47" s="353">
        <f>SUM(H47:H55)</f>
        <v>34</v>
      </c>
      <c r="J47" s="330"/>
    </row>
    <row r="48" spans="3:10" ht="15" customHeight="1">
      <c r="C48" s="314"/>
      <c r="D48" s="317"/>
      <c r="E48" s="340"/>
      <c r="F48" s="25" t="s">
        <v>27</v>
      </c>
      <c r="G48" s="43" t="s">
        <v>43</v>
      </c>
      <c r="H48" s="94">
        <v>1</v>
      </c>
      <c r="I48" s="354"/>
      <c r="J48" s="330"/>
    </row>
    <row r="49" spans="3:10" ht="15" customHeight="1">
      <c r="C49" s="314"/>
      <c r="D49" s="317"/>
      <c r="E49" s="340"/>
      <c r="F49" s="25" t="s">
        <v>14</v>
      </c>
      <c r="G49" s="43" t="s">
        <v>146</v>
      </c>
      <c r="H49" s="94">
        <v>1</v>
      </c>
      <c r="I49" s="354"/>
      <c r="J49" s="330"/>
    </row>
    <row r="50" spans="3:10" ht="15" customHeight="1">
      <c r="C50" s="314"/>
      <c r="D50" s="317"/>
      <c r="E50" s="340"/>
      <c r="F50" s="25" t="s">
        <v>264</v>
      </c>
      <c r="G50" s="43" t="s">
        <v>75</v>
      </c>
      <c r="H50" s="277">
        <v>1</v>
      </c>
      <c r="I50" s="354"/>
      <c r="J50" s="330"/>
    </row>
    <row r="51" spans="3:10" ht="15" customHeight="1">
      <c r="C51" s="314"/>
      <c r="D51" s="317"/>
      <c r="E51" s="340"/>
      <c r="F51" s="25" t="s">
        <v>14</v>
      </c>
      <c r="G51" s="43" t="s">
        <v>198</v>
      </c>
      <c r="H51" s="277">
        <v>1</v>
      </c>
      <c r="I51" s="354"/>
      <c r="J51" s="330"/>
    </row>
    <row r="52" spans="3:10" ht="15" customHeight="1">
      <c r="C52" s="314"/>
      <c r="D52" s="317"/>
      <c r="E52" s="340"/>
      <c r="F52" s="25" t="s">
        <v>14</v>
      </c>
      <c r="G52" s="43" t="s">
        <v>194</v>
      </c>
      <c r="H52" s="277">
        <v>1</v>
      </c>
      <c r="I52" s="354"/>
      <c r="J52" s="330"/>
    </row>
    <row r="53" spans="3:10" ht="15" customHeight="1">
      <c r="C53" s="314"/>
      <c r="D53" s="317"/>
      <c r="E53" s="340"/>
      <c r="F53" s="25" t="s">
        <v>24</v>
      </c>
      <c r="G53" s="43" t="s">
        <v>161</v>
      </c>
      <c r="H53" s="277">
        <v>1</v>
      </c>
      <c r="I53" s="354"/>
      <c r="J53" s="330"/>
    </row>
    <row r="54" spans="3:10" ht="15" customHeight="1">
      <c r="C54" s="314"/>
      <c r="D54" s="317"/>
      <c r="E54" s="340"/>
      <c r="F54" s="25" t="s">
        <v>21</v>
      </c>
      <c r="G54" s="43" t="s">
        <v>136</v>
      </c>
      <c r="H54" s="96">
        <v>3</v>
      </c>
      <c r="I54" s="354"/>
      <c r="J54" s="330"/>
    </row>
    <row r="55" spans="3:10" ht="15" customHeight="1">
      <c r="C55" s="314"/>
      <c r="D55" s="317"/>
      <c r="E55" s="326"/>
      <c r="F55" s="30" t="s">
        <v>138</v>
      </c>
      <c r="G55" s="64" t="s">
        <v>165</v>
      </c>
      <c r="H55" s="97">
        <v>1</v>
      </c>
      <c r="I55" s="355"/>
      <c r="J55" s="330"/>
    </row>
    <row r="56" spans="3:10">
      <c r="C56" s="314"/>
      <c r="D56" s="317"/>
      <c r="E56" s="20"/>
      <c r="F56" s="118"/>
      <c r="G56" s="119"/>
      <c r="H56" s="32"/>
      <c r="I56" s="32"/>
      <c r="J56" s="330"/>
    </row>
    <row r="57" spans="3:10">
      <c r="C57" s="314"/>
      <c r="D57" s="317"/>
      <c r="E57" s="230" t="s">
        <v>330</v>
      </c>
      <c r="F57" s="227" t="s">
        <v>27</v>
      </c>
      <c r="G57" s="227" t="s">
        <v>43</v>
      </c>
      <c r="H57" s="228">
        <v>4</v>
      </c>
      <c r="I57" s="231">
        <f>SUM(H57:H57)</f>
        <v>4</v>
      </c>
      <c r="J57" s="330"/>
    </row>
    <row r="58" spans="3:10">
      <c r="C58" s="314"/>
      <c r="D58" s="317"/>
      <c r="J58" s="330"/>
    </row>
    <row r="59" spans="3:10">
      <c r="C59" s="315"/>
      <c r="D59" s="331"/>
      <c r="E59" s="229" t="s">
        <v>269</v>
      </c>
      <c r="F59" s="73" t="s">
        <v>27</v>
      </c>
      <c r="G59" s="73" t="s">
        <v>253</v>
      </c>
      <c r="H59" s="168">
        <v>5</v>
      </c>
      <c r="I59" s="229">
        <v>5</v>
      </c>
      <c r="J59" s="373"/>
    </row>
  </sheetData>
  <autoFilter ref="C8:J8" xr:uid="{5C78CB5C-0A29-4248-ABB9-049F6B6A8CE9}"/>
  <mergeCells count="18">
    <mergeCell ref="F4:H4"/>
    <mergeCell ref="E10:E12"/>
    <mergeCell ref="I10:I12"/>
    <mergeCell ref="E14:E19"/>
    <mergeCell ref="I14:I19"/>
    <mergeCell ref="D10:D59"/>
    <mergeCell ref="C10:C59"/>
    <mergeCell ref="J10:J59"/>
    <mergeCell ref="I21:I27"/>
    <mergeCell ref="E21:E27"/>
    <mergeCell ref="I42:I45"/>
    <mergeCell ref="E42:E45"/>
    <mergeCell ref="E29:E34"/>
    <mergeCell ref="I29:I34"/>
    <mergeCell ref="E36:E40"/>
    <mergeCell ref="I36:I40"/>
    <mergeCell ref="E47:E55"/>
    <mergeCell ref="I47:I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7CD5-0AC9-49A8-8C8F-B7ACCD80DE5A}">
  <dimension ref="A1:K52"/>
  <sheetViews>
    <sheetView topLeftCell="E1" workbookViewId="0">
      <selection activeCell="E10" sqref="E10:E16"/>
    </sheetView>
  </sheetViews>
  <sheetFormatPr defaultRowHeight="15"/>
  <cols>
    <col min="3" max="6" width="30.7109375" customWidth="1"/>
    <col min="7" max="7" width="33.7109375" customWidth="1"/>
    <col min="8" max="11" width="30.7109375" customWidth="1"/>
  </cols>
  <sheetData>
    <row r="1" spans="1:11">
      <c r="E1" s="20"/>
      <c r="F1" s="20"/>
      <c r="G1" s="20"/>
      <c r="H1" s="32"/>
      <c r="I1" s="32"/>
    </row>
    <row r="2" spans="1:11">
      <c r="E2" s="20"/>
      <c r="F2" s="20"/>
      <c r="G2" s="20"/>
      <c r="H2" s="32"/>
      <c r="I2" s="32"/>
    </row>
    <row r="3" spans="1:11">
      <c r="E3" s="20"/>
      <c r="F3" s="20"/>
      <c r="G3" s="20"/>
      <c r="H3" s="32"/>
      <c r="I3" s="32"/>
    </row>
    <row r="4" spans="1:11">
      <c r="E4" s="20"/>
      <c r="F4" s="310" t="s">
        <v>240</v>
      </c>
      <c r="G4" s="311"/>
      <c r="H4" s="312"/>
      <c r="I4" s="32"/>
    </row>
    <row r="5" spans="1:11">
      <c r="E5" s="20"/>
      <c r="F5" s="20"/>
      <c r="G5" s="20"/>
      <c r="H5" s="32"/>
      <c r="I5" s="32"/>
    </row>
    <row r="6" spans="1:11">
      <c r="E6" s="20"/>
      <c r="F6" s="20"/>
      <c r="G6" s="20"/>
      <c r="H6" s="32"/>
      <c r="I6" s="32"/>
    </row>
    <row r="7" spans="1:11">
      <c r="E7" s="20"/>
      <c r="F7" s="20"/>
      <c r="G7" s="20"/>
      <c r="H7" s="32"/>
      <c r="I7" s="32"/>
    </row>
    <row r="8" spans="1:11">
      <c r="A8" s="40"/>
      <c r="B8" s="40"/>
      <c r="C8" s="157" t="s">
        <v>241</v>
      </c>
      <c r="D8" s="15" t="s">
        <v>242</v>
      </c>
      <c r="E8" s="16" t="s">
        <v>243</v>
      </c>
      <c r="F8" s="158" t="s">
        <v>244</v>
      </c>
      <c r="G8" s="18" t="s">
        <v>245</v>
      </c>
      <c r="H8" s="18" t="s">
        <v>281</v>
      </c>
      <c r="I8" s="19" t="s">
        <v>282</v>
      </c>
      <c r="J8" s="19" t="s">
        <v>290</v>
      </c>
      <c r="K8" s="40"/>
    </row>
    <row r="9" spans="1:11">
      <c r="E9" s="20"/>
      <c r="F9" s="20"/>
      <c r="G9" s="20"/>
      <c r="H9" s="32"/>
      <c r="I9" s="32"/>
    </row>
    <row r="10" spans="1:11" ht="15" customHeight="1">
      <c r="C10" s="313" t="s">
        <v>331</v>
      </c>
      <c r="D10" s="338" t="s">
        <v>250</v>
      </c>
      <c r="E10" s="367" t="s">
        <v>251</v>
      </c>
      <c r="F10" s="126" t="s">
        <v>27</v>
      </c>
      <c r="G10" s="74" t="s">
        <v>253</v>
      </c>
      <c r="H10" s="33">
        <v>13</v>
      </c>
      <c r="I10" s="353">
        <f>SUM(H10:H16)</f>
        <v>19</v>
      </c>
      <c r="J10" s="352">
        <f>SUM(I10,I18,I21,I26,I30,I36,I38,I46,I48)</f>
        <v>86</v>
      </c>
    </row>
    <row r="11" spans="1:11" ht="15" customHeight="1">
      <c r="C11" s="314"/>
      <c r="D11" s="339"/>
      <c r="E11" s="387"/>
      <c r="F11" s="98" t="s">
        <v>27</v>
      </c>
      <c r="G11" s="25" t="s">
        <v>55</v>
      </c>
      <c r="H11" s="35">
        <v>1</v>
      </c>
      <c r="I11" s="354"/>
      <c r="J11" s="330"/>
    </row>
    <row r="12" spans="1:11" ht="15" customHeight="1">
      <c r="C12" s="314"/>
      <c r="D12" s="339"/>
      <c r="E12" s="387"/>
      <c r="F12" s="98" t="s">
        <v>24</v>
      </c>
      <c r="G12" s="25" t="s">
        <v>218</v>
      </c>
      <c r="H12" s="274">
        <v>1</v>
      </c>
      <c r="I12" s="354"/>
      <c r="J12" s="330"/>
    </row>
    <row r="13" spans="1:11" ht="15" customHeight="1">
      <c r="C13" s="314"/>
      <c r="D13" s="339"/>
      <c r="E13" s="387"/>
      <c r="F13" s="98" t="s">
        <v>14</v>
      </c>
      <c r="G13" s="25" t="s">
        <v>87</v>
      </c>
      <c r="H13" s="99">
        <v>1</v>
      </c>
      <c r="I13" s="354"/>
      <c r="J13" s="330"/>
    </row>
    <row r="14" spans="1:11" ht="15" customHeight="1">
      <c r="C14" s="314"/>
      <c r="D14" s="339"/>
      <c r="E14" s="387"/>
      <c r="F14" s="98" t="s">
        <v>27</v>
      </c>
      <c r="G14" s="25" t="s">
        <v>203</v>
      </c>
      <c r="H14" s="99">
        <v>1</v>
      </c>
      <c r="I14" s="354"/>
      <c r="J14" s="330"/>
    </row>
    <row r="15" spans="1:11" ht="15" customHeight="1">
      <c r="C15" s="314"/>
      <c r="D15" s="339"/>
      <c r="E15" s="387"/>
      <c r="F15" s="98" t="s">
        <v>14</v>
      </c>
      <c r="G15" s="25" t="s">
        <v>106</v>
      </c>
      <c r="H15" s="99">
        <v>1</v>
      </c>
      <c r="I15" s="354"/>
      <c r="J15" s="330"/>
    </row>
    <row r="16" spans="1:11" ht="15" customHeight="1">
      <c r="C16" s="314"/>
      <c r="D16" s="339"/>
      <c r="E16" s="368"/>
      <c r="F16" s="248" t="s">
        <v>14</v>
      </c>
      <c r="G16" s="247" t="s">
        <v>75</v>
      </c>
      <c r="H16" s="100">
        <v>1</v>
      </c>
      <c r="I16" s="355"/>
      <c r="J16" s="330"/>
    </row>
    <row r="17" spans="3:10" ht="15" customHeight="1">
      <c r="C17" s="314"/>
      <c r="D17" s="317"/>
      <c r="E17" s="20"/>
      <c r="F17" s="232"/>
      <c r="G17" s="232"/>
      <c r="H17" s="32"/>
      <c r="I17" s="32"/>
      <c r="J17" s="330"/>
    </row>
    <row r="18" spans="3:10" ht="15" customHeight="1">
      <c r="C18" s="314"/>
      <c r="D18" s="317"/>
      <c r="E18" s="324" t="s">
        <v>260</v>
      </c>
      <c r="F18" s="132" t="s">
        <v>252</v>
      </c>
      <c r="G18" s="137" t="s">
        <v>262</v>
      </c>
      <c r="H18" s="68">
        <v>4</v>
      </c>
      <c r="I18" s="380">
        <f>SUM(H18:H19)</f>
        <v>5</v>
      </c>
      <c r="J18" s="330"/>
    </row>
    <row r="19" spans="3:10" ht="15" customHeight="1">
      <c r="C19" s="314"/>
      <c r="D19" s="317"/>
      <c r="E19" s="326"/>
      <c r="F19" s="136" t="s">
        <v>27</v>
      </c>
      <c r="G19" s="151" t="s">
        <v>55</v>
      </c>
      <c r="H19" s="107">
        <v>1</v>
      </c>
      <c r="I19" s="382"/>
      <c r="J19" s="330"/>
    </row>
    <row r="20" spans="3:10" ht="15" customHeight="1">
      <c r="C20" s="314"/>
      <c r="D20" s="317"/>
      <c r="E20" s="20"/>
      <c r="F20" s="20"/>
      <c r="G20" s="20"/>
      <c r="H20" s="32"/>
      <c r="I20" s="32"/>
      <c r="J20" s="330"/>
    </row>
    <row r="21" spans="3:10" ht="15" customHeight="1">
      <c r="C21" s="314"/>
      <c r="D21" s="317"/>
      <c r="E21" s="324" t="s">
        <v>266</v>
      </c>
      <c r="F21" s="22" t="s">
        <v>259</v>
      </c>
      <c r="G21" s="21" t="s">
        <v>253</v>
      </c>
      <c r="H21" s="104">
        <v>2</v>
      </c>
      <c r="I21" s="380">
        <f>SUM(H21:H24)</f>
        <v>7</v>
      </c>
      <c r="J21" s="330"/>
    </row>
    <row r="22" spans="3:10" ht="15" customHeight="1">
      <c r="C22" s="314"/>
      <c r="D22" s="317"/>
      <c r="E22" s="340"/>
      <c r="F22" s="6" t="s">
        <v>27</v>
      </c>
      <c r="G22" s="23" t="s">
        <v>55</v>
      </c>
      <c r="H22" s="105">
        <v>1</v>
      </c>
      <c r="I22" s="381"/>
      <c r="J22" s="330"/>
    </row>
    <row r="23" spans="3:10" ht="15" customHeight="1">
      <c r="C23" s="314"/>
      <c r="D23" s="317"/>
      <c r="E23" s="340"/>
      <c r="F23" s="6" t="s">
        <v>27</v>
      </c>
      <c r="G23" s="23" t="s">
        <v>43</v>
      </c>
      <c r="H23" s="105">
        <v>2</v>
      </c>
      <c r="I23" s="381"/>
      <c r="J23" s="330"/>
    </row>
    <row r="24" spans="3:10" ht="15" customHeight="1">
      <c r="C24" s="314"/>
      <c r="D24" s="317"/>
      <c r="E24" s="326"/>
      <c r="F24" s="30" t="s">
        <v>167</v>
      </c>
      <c r="G24" s="224" t="s">
        <v>167</v>
      </c>
      <c r="H24" s="209">
        <v>2</v>
      </c>
      <c r="I24" s="382"/>
      <c r="J24" s="330"/>
    </row>
    <row r="25" spans="3:10" ht="15" customHeight="1">
      <c r="C25" s="314"/>
      <c r="D25" s="317"/>
      <c r="E25" s="20"/>
      <c r="F25" s="20"/>
      <c r="G25" s="20"/>
      <c r="H25" s="32"/>
      <c r="I25" s="124"/>
      <c r="J25" s="330"/>
    </row>
    <row r="26" spans="3:10" ht="15" customHeight="1">
      <c r="C26" s="314"/>
      <c r="D26" s="317"/>
      <c r="E26" s="324" t="s">
        <v>270</v>
      </c>
      <c r="F26" s="75" t="s">
        <v>259</v>
      </c>
      <c r="G26" s="74" t="s">
        <v>253</v>
      </c>
      <c r="H26" s="68">
        <v>9</v>
      </c>
      <c r="I26" s="380">
        <f>SUM(H26:H28)</f>
        <v>13</v>
      </c>
      <c r="J26" s="330"/>
    </row>
    <row r="27" spans="3:10" ht="15" customHeight="1">
      <c r="C27" s="314"/>
      <c r="D27" s="317"/>
      <c r="E27" s="340"/>
      <c r="F27" s="76" t="s">
        <v>14</v>
      </c>
      <c r="G27" s="25" t="s">
        <v>75</v>
      </c>
      <c r="H27" s="69">
        <v>3</v>
      </c>
      <c r="I27" s="381"/>
      <c r="J27" s="330"/>
    </row>
    <row r="28" spans="3:10" ht="15" customHeight="1">
      <c r="C28" s="314"/>
      <c r="D28" s="317"/>
      <c r="E28" s="326"/>
      <c r="F28" s="77" t="s">
        <v>138</v>
      </c>
      <c r="G28" s="28" t="s">
        <v>165</v>
      </c>
      <c r="H28" s="107">
        <v>1</v>
      </c>
      <c r="I28" s="382"/>
      <c r="J28" s="330"/>
    </row>
    <row r="29" spans="3:10" ht="15" customHeight="1">
      <c r="C29" s="314"/>
      <c r="D29" s="317"/>
      <c r="E29" s="20"/>
      <c r="F29" s="20"/>
      <c r="G29" s="20"/>
      <c r="H29" s="32"/>
      <c r="I29" s="32"/>
      <c r="J29" s="330"/>
    </row>
    <row r="30" spans="3:10" ht="15" customHeight="1">
      <c r="C30" s="314"/>
      <c r="D30" s="317"/>
      <c r="E30" s="324" t="s">
        <v>271</v>
      </c>
      <c r="F30" s="22" t="s">
        <v>27</v>
      </c>
      <c r="G30" s="45" t="s">
        <v>253</v>
      </c>
      <c r="H30" s="276">
        <v>3</v>
      </c>
      <c r="I30" s="353">
        <f>SUM(H30:H34)</f>
        <v>7</v>
      </c>
      <c r="J30" s="330"/>
    </row>
    <row r="31" spans="3:10" ht="15" customHeight="1">
      <c r="C31" s="314"/>
      <c r="D31" s="317"/>
      <c r="E31" s="340"/>
      <c r="F31" s="25" t="s">
        <v>27</v>
      </c>
      <c r="G31" s="43" t="s">
        <v>55</v>
      </c>
      <c r="H31" s="277">
        <v>1</v>
      </c>
      <c r="I31" s="354"/>
      <c r="J31" s="330"/>
    </row>
    <row r="32" spans="3:10" ht="15" customHeight="1">
      <c r="C32" s="314"/>
      <c r="D32" s="317"/>
      <c r="E32" s="340"/>
      <c r="F32" s="25" t="s">
        <v>14</v>
      </c>
      <c r="G32" s="43" t="s">
        <v>208</v>
      </c>
      <c r="H32" s="128">
        <v>1</v>
      </c>
      <c r="I32" s="354"/>
      <c r="J32" s="330"/>
    </row>
    <row r="33" spans="3:10" ht="15" customHeight="1">
      <c r="C33" s="314"/>
      <c r="D33" s="317"/>
      <c r="E33" s="340"/>
      <c r="F33" s="25" t="s">
        <v>14</v>
      </c>
      <c r="G33" s="43" t="s">
        <v>165</v>
      </c>
      <c r="H33" s="128">
        <v>1</v>
      </c>
      <c r="I33" s="354"/>
      <c r="J33" s="330"/>
    </row>
    <row r="34" spans="3:10" ht="15" customHeight="1">
      <c r="C34" s="314"/>
      <c r="D34" s="317"/>
      <c r="E34" s="326"/>
      <c r="F34" s="28" t="s">
        <v>258</v>
      </c>
      <c r="G34" s="58" t="s">
        <v>185</v>
      </c>
      <c r="H34" s="129">
        <v>1</v>
      </c>
      <c r="I34" s="355"/>
      <c r="J34" s="330"/>
    </row>
    <row r="35" spans="3:10" ht="15" customHeight="1">
      <c r="C35" s="314"/>
      <c r="D35" s="317"/>
      <c r="E35" s="20"/>
      <c r="F35" s="118"/>
      <c r="G35" s="118"/>
      <c r="H35" s="32"/>
      <c r="I35" s="32"/>
      <c r="J35" s="330"/>
    </row>
    <row r="36" spans="3:10" ht="15" customHeight="1">
      <c r="C36" s="314"/>
      <c r="D36" s="317"/>
      <c r="E36" s="146" t="s">
        <v>272</v>
      </c>
      <c r="F36" s="233" t="s">
        <v>138</v>
      </c>
      <c r="G36" s="234" t="s">
        <v>165</v>
      </c>
      <c r="H36" s="66">
        <v>4</v>
      </c>
      <c r="I36" s="238">
        <v>4</v>
      </c>
      <c r="J36" s="330"/>
    </row>
    <row r="37" spans="3:10" ht="15" customHeight="1">
      <c r="C37" s="314"/>
      <c r="D37" s="317"/>
      <c r="E37" s="20"/>
      <c r="F37" s="20"/>
      <c r="G37" s="20"/>
      <c r="H37" s="32"/>
      <c r="I37" s="32"/>
      <c r="J37" s="330"/>
    </row>
    <row r="38" spans="3:10" ht="15" customHeight="1">
      <c r="C38" s="314"/>
      <c r="D38" s="317"/>
      <c r="E38" s="324" t="s">
        <v>274</v>
      </c>
      <c r="F38" s="132" t="s">
        <v>252</v>
      </c>
      <c r="G38" s="131" t="s">
        <v>262</v>
      </c>
      <c r="H38" s="92">
        <v>13</v>
      </c>
      <c r="I38" s="353">
        <f>SUM(H38:H44)</f>
        <v>23</v>
      </c>
      <c r="J38" s="330"/>
    </row>
    <row r="39" spans="3:10" ht="15" customHeight="1">
      <c r="C39" s="314"/>
      <c r="D39" s="317"/>
      <c r="E39" s="340"/>
      <c r="F39" s="147" t="s">
        <v>27</v>
      </c>
      <c r="G39" s="235" t="s">
        <v>55</v>
      </c>
      <c r="H39" s="94">
        <v>1</v>
      </c>
      <c r="I39" s="354"/>
      <c r="J39" s="330"/>
    </row>
    <row r="40" spans="3:10" ht="15" customHeight="1">
      <c r="C40" s="314"/>
      <c r="D40" s="317"/>
      <c r="E40" s="340"/>
      <c r="F40" s="147" t="s">
        <v>14</v>
      </c>
      <c r="G40" s="235" t="s">
        <v>75</v>
      </c>
      <c r="H40" s="94">
        <v>2</v>
      </c>
      <c r="I40" s="354"/>
      <c r="J40" s="330"/>
    </row>
    <row r="41" spans="3:10" ht="15" customHeight="1">
      <c r="C41" s="314"/>
      <c r="D41" s="317"/>
      <c r="E41" s="340"/>
      <c r="F41" s="147" t="s">
        <v>199</v>
      </c>
      <c r="G41" s="235" t="s">
        <v>153</v>
      </c>
      <c r="H41" s="277">
        <v>2</v>
      </c>
      <c r="I41" s="354"/>
      <c r="J41" s="330"/>
    </row>
    <row r="42" spans="3:10" ht="15" customHeight="1">
      <c r="C42" s="314"/>
      <c r="D42" s="317"/>
      <c r="E42" s="340"/>
      <c r="F42" s="147" t="s">
        <v>27</v>
      </c>
      <c r="G42" s="235" t="s">
        <v>128</v>
      </c>
      <c r="H42" s="277">
        <v>3</v>
      </c>
      <c r="I42" s="354"/>
      <c r="J42" s="330"/>
    </row>
    <row r="43" spans="3:10">
      <c r="C43" s="314"/>
      <c r="D43" s="317"/>
      <c r="E43" s="340"/>
      <c r="F43" s="147" t="s">
        <v>27</v>
      </c>
      <c r="G43" s="235" t="s">
        <v>144</v>
      </c>
      <c r="H43" s="277">
        <v>1</v>
      </c>
      <c r="I43" s="354"/>
      <c r="J43" s="330"/>
    </row>
    <row r="44" spans="3:10">
      <c r="C44" s="314"/>
      <c r="D44" s="317"/>
      <c r="E44" s="326"/>
      <c r="F44" s="236" t="s">
        <v>27</v>
      </c>
      <c r="G44" s="237" t="s">
        <v>180</v>
      </c>
      <c r="H44" s="278">
        <v>1</v>
      </c>
      <c r="I44" s="355"/>
      <c r="J44" s="330"/>
    </row>
    <row r="45" spans="3:10">
      <c r="C45" s="314"/>
      <c r="D45" s="317"/>
      <c r="E45" s="20"/>
      <c r="F45" s="118"/>
      <c r="G45" s="119"/>
      <c r="H45" s="32"/>
      <c r="I45" s="32"/>
      <c r="J45" s="330"/>
    </row>
    <row r="46" spans="3:10">
      <c r="C46" s="314"/>
      <c r="D46" s="317"/>
      <c r="E46" s="245" t="s">
        <v>330</v>
      </c>
      <c r="F46" s="244" t="s">
        <v>27</v>
      </c>
      <c r="G46" s="246" t="s">
        <v>43</v>
      </c>
      <c r="H46" s="228">
        <v>1</v>
      </c>
      <c r="I46" s="231">
        <f>SUM(H46:H46)</f>
        <v>1</v>
      </c>
      <c r="J46" s="330"/>
    </row>
    <row r="47" spans="3:10">
      <c r="C47" s="314"/>
      <c r="D47" s="317"/>
      <c r="J47" s="330"/>
    </row>
    <row r="48" spans="3:10">
      <c r="C48" s="314"/>
      <c r="D48" s="339"/>
      <c r="E48" s="335" t="s">
        <v>280</v>
      </c>
      <c r="F48" s="75" t="s">
        <v>27</v>
      </c>
      <c r="G48" s="74" t="s">
        <v>180</v>
      </c>
      <c r="H48" s="241">
        <v>2</v>
      </c>
      <c r="I48" s="353">
        <f>SUM(H48:H52)</f>
        <v>7</v>
      </c>
      <c r="J48" s="330"/>
    </row>
    <row r="49" spans="3:10">
      <c r="C49" s="314"/>
      <c r="D49" s="339"/>
      <c r="E49" s="336"/>
      <c r="F49" s="81" t="s">
        <v>34</v>
      </c>
      <c r="G49" s="239" t="s">
        <v>35</v>
      </c>
      <c r="H49" s="242">
        <v>1</v>
      </c>
      <c r="I49" s="354"/>
      <c r="J49" s="330"/>
    </row>
    <row r="50" spans="3:10">
      <c r="C50" s="314"/>
      <c r="D50" s="339"/>
      <c r="E50" s="336"/>
      <c r="F50" s="81" t="s">
        <v>175</v>
      </c>
      <c r="G50" s="239" t="s">
        <v>176</v>
      </c>
      <c r="H50" s="242">
        <v>2</v>
      </c>
      <c r="I50" s="354"/>
      <c r="J50" s="330"/>
    </row>
    <row r="51" spans="3:10">
      <c r="C51" s="314"/>
      <c r="D51" s="339"/>
      <c r="E51" s="336"/>
      <c r="F51" s="81" t="s">
        <v>141</v>
      </c>
      <c r="G51" s="6" t="s">
        <v>142</v>
      </c>
      <c r="H51" s="242">
        <v>1</v>
      </c>
      <c r="I51" s="354"/>
      <c r="J51" s="330"/>
    </row>
    <row r="52" spans="3:10">
      <c r="C52" s="315"/>
      <c r="D52" s="388"/>
      <c r="E52" s="337"/>
      <c r="F52" s="82" t="s">
        <v>332</v>
      </c>
      <c r="G52" s="240" t="s">
        <v>215</v>
      </c>
      <c r="H52" s="243">
        <v>1</v>
      </c>
      <c r="I52" s="355"/>
      <c r="J52" s="373"/>
    </row>
  </sheetData>
  <autoFilter ref="C8:J8" xr:uid="{88457CD5-0AC9-49A8-8C8F-B7ACCD80DE5A}"/>
  <mergeCells count="18">
    <mergeCell ref="E48:E52"/>
    <mergeCell ref="I48:I52"/>
    <mergeCell ref="D10:D52"/>
    <mergeCell ref="C10:C52"/>
    <mergeCell ref="J10:J52"/>
    <mergeCell ref="E18:E19"/>
    <mergeCell ref="I18:I19"/>
    <mergeCell ref="E21:E24"/>
    <mergeCell ref="I21:I24"/>
    <mergeCell ref="I10:I16"/>
    <mergeCell ref="E10:E16"/>
    <mergeCell ref="F4:H4"/>
    <mergeCell ref="E38:E44"/>
    <mergeCell ref="I38:I44"/>
    <mergeCell ref="E26:E28"/>
    <mergeCell ref="I26:I28"/>
    <mergeCell ref="E30:E34"/>
    <mergeCell ref="I30:I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479D-A864-4306-9FFA-2B3BDE2BB357}">
  <dimension ref="C2:J48"/>
  <sheetViews>
    <sheetView topLeftCell="D7" workbookViewId="0">
      <selection activeCell="D2" sqref="D2"/>
    </sheetView>
  </sheetViews>
  <sheetFormatPr defaultRowHeight="15"/>
  <cols>
    <col min="3" max="11" width="32.85546875" customWidth="1"/>
  </cols>
  <sheetData>
    <row r="2" spans="3:10">
      <c r="E2" s="310" t="s">
        <v>240</v>
      </c>
      <c r="F2" s="311"/>
      <c r="G2" s="312"/>
    </row>
    <row r="8" spans="3:10">
      <c r="C8" s="8" t="s">
        <v>241</v>
      </c>
      <c r="D8" s="9" t="s">
        <v>242</v>
      </c>
      <c r="E8" s="10" t="s">
        <v>243</v>
      </c>
      <c r="F8" s="11" t="s">
        <v>244</v>
      </c>
      <c r="G8" s="13" t="s">
        <v>245</v>
      </c>
      <c r="H8" s="13" t="s">
        <v>246</v>
      </c>
      <c r="I8" s="12" t="s">
        <v>247</v>
      </c>
      <c r="J8" s="12" t="s">
        <v>248</v>
      </c>
    </row>
    <row r="10" spans="3:10" ht="15" customHeight="1">
      <c r="C10" s="313" t="s">
        <v>333</v>
      </c>
      <c r="D10" s="316" t="s">
        <v>250</v>
      </c>
      <c r="E10" s="318" t="s">
        <v>251</v>
      </c>
      <c r="F10" s="67" t="s">
        <v>252</v>
      </c>
      <c r="G10" s="22" t="s">
        <v>253</v>
      </c>
      <c r="H10" s="68">
        <v>12</v>
      </c>
      <c r="I10" s="371">
        <f>SUM(H10:H16)</f>
        <v>19</v>
      </c>
      <c r="J10" s="352">
        <v>156</v>
      </c>
    </row>
    <row r="11" spans="3:10" ht="15" customHeight="1">
      <c r="C11" s="314"/>
      <c r="D11" s="317"/>
      <c r="E11" s="319"/>
      <c r="F11" s="81" t="s">
        <v>27</v>
      </c>
      <c r="G11" s="6" t="s">
        <v>254</v>
      </c>
      <c r="H11" s="69">
        <v>2</v>
      </c>
      <c r="I11" s="347"/>
      <c r="J11" s="330"/>
    </row>
    <row r="12" spans="3:10" ht="15" customHeight="1">
      <c r="C12" s="314"/>
      <c r="D12" s="317"/>
      <c r="E12" s="319"/>
      <c r="F12" s="76" t="s">
        <v>14</v>
      </c>
      <c r="G12" s="6" t="s">
        <v>87</v>
      </c>
      <c r="H12" s="70">
        <v>1</v>
      </c>
      <c r="I12" s="347"/>
      <c r="J12" s="330"/>
    </row>
    <row r="13" spans="3:10" ht="15" customHeight="1">
      <c r="C13" s="314"/>
      <c r="D13" s="317"/>
      <c r="E13" s="319"/>
      <c r="F13" s="81" t="s">
        <v>138</v>
      </c>
      <c r="G13" s="6" t="s">
        <v>165</v>
      </c>
      <c r="H13" s="69">
        <v>1</v>
      </c>
      <c r="I13" s="347"/>
      <c r="J13" s="330"/>
    </row>
    <row r="14" spans="3:10" ht="15" customHeight="1">
      <c r="C14" s="314"/>
      <c r="D14" s="317"/>
      <c r="E14" s="319"/>
      <c r="F14" s="81" t="s">
        <v>27</v>
      </c>
      <c r="G14" s="6" t="s">
        <v>203</v>
      </c>
      <c r="H14" s="69">
        <v>1</v>
      </c>
      <c r="I14" s="347"/>
      <c r="J14" s="330"/>
    </row>
    <row r="15" spans="3:10" ht="15" customHeight="1">
      <c r="C15" s="314"/>
      <c r="D15" s="317"/>
      <c r="E15" s="319"/>
      <c r="F15" s="76" t="s">
        <v>14</v>
      </c>
      <c r="G15" s="25" t="s">
        <v>106</v>
      </c>
      <c r="H15" s="69">
        <v>1</v>
      </c>
      <c r="I15" s="347"/>
      <c r="J15" s="330"/>
    </row>
    <row r="16" spans="3:10" ht="15" customHeight="1">
      <c r="C16" s="314"/>
      <c r="D16" s="317"/>
      <c r="E16" s="320"/>
      <c r="F16" s="82" t="s">
        <v>27</v>
      </c>
      <c r="G16" s="30" t="s">
        <v>55</v>
      </c>
      <c r="H16" s="107">
        <v>1</v>
      </c>
      <c r="I16" s="372"/>
      <c r="J16" s="330"/>
    </row>
    <row r="17" spans="3:10" ht="15" customHeight="1">
      <c r="C17" s="314"/>
      <c r="D17" s="317"/>
      <c r="E17" s="20"/>
      <c r="F17" s="20"/>
      <c r="G17" s="20"/>
      <c r="H17" s="32"/>
      <c r="I17" s="32"/>
      <c r="J17" s="330"/>
    </row>
    <row r="18" spans="3:10" ht="15" customHeight="1">
      <c r="C18" s="314"/>
      <c r="D18" s="317"/>
      <c r="E18" s="318" t="s">
        <v>260</v>
      </c>
      <c r="F18" s="22" t="s">
        <v>261</v>
      </c>
      <c r="G18" s="21" t="s">
        <v>262</v>
      </c>
      <c r="H18" s="104">
        <v>2</v>
      </c>
      <c r="I18" s="380">
        <f>SUM(H18:H20)</f>
        <v>4</v>
      </c>
      <c r="J18" s="330"/>
    </row>
    <row r="19" spans="3:10" ht="15" customHeight="1">
      <c r="C19" s="314"/>
      <c r="D19" s="317"/>
      <c r="E19" s="319"/>
      <c r="F19" s="6" t="s">
        <v>27</v>
      </c>
      <c r="G19" s="47" t="s">
        <v>43</v>
      </c>
      <c r="H19" s="105">
        <v>1</v>
      </c>
      <c r="I19" s="381"/>
      <c r="J19" s="330"/>
    </row>
    <row r="20" spans="3:10" ht="15" customHeight="1">
      <c r="C20" s="314"/>
      <c r="D20" s="317"/>
      <c r="E20" s="320"/>
      <c r="F20" s="30" t="s">
        <v>138</v>
      </c>
      <c r="G20" s="224" t="s">
        <v>165</v>
      </c>
      <c r="H20" s="209">
        <v>1</v>
      </c>
      <c r="I20" s="382"/>
      <c r="J20" s="330"/>
    </row>
    <row r="21" spans="3:10" ht="15" customHeight="1">
      <c r="C21" s="314"/>
      <c r="D21" s="317"/>
      <c r="E21" s="20"/>
      <c r="F21" s="20"/>
      <c r="G21" s="20"/>
      <c r="H21" s="32"/>
      <c r="I21" s="32"/>
      <c r="J21" s="330"/>
    </row>
    <row r="22" spans="3:10" ht="15" customHeight="1">
      <c r="C22" s="314"/>
      <c r="D22" s="317"/>
      <c r="E22" s="344" t="s">
        <v>266</v>
      </c>
      <c r="F22" s="21" t="s">
        <v>267</v>
      </c>
      <c r="G22" s="22" t="s">
        <v>262</v>
      </c>
      <c r="H22" s="68">
        <v>3</v>
      </c>
      <c r="I22" s="380">
        <f>SUM(H22:H25)</f>
        <v>11</v>
      </c>
      <c r="J22" s="330"/>
    </row>
    <row r="23" spans="3:10" ht="15" customHeight="1">
      <c r="C23" s="314"/>
      <c r="D23" s="317"/>
      <c r="E23" s="345"/>
      <c r="F23" s="23" t="s">
        <v>27</v>
      </c>
      <c r="G23" s="6" t="s">
        <v>263</v>
      </c>
      <c r="H23" s="69">
        <v>3</v>
      </c>
      <c r="I23" s="381"/>
      <c r="J23" s="330"/>
    </row>
    <row r="24" spans="3:10" ht="15" customHeight="1">
      <c r="C24" s="314"/>
      <c r="D24" s="317"/>
      <c r="E24" s="345"/>
      <c r="F24" s="23" t="s">
        <v>27</v>
      </c>
      <c r="G24" s="6" t="s">
        <v>254</v>
      </c>
      <c r="H24" s="69">
        <v>4</v>
      </c>
      <c r="I24" s="381"/>
      <c r="J24" s="330"/>
    </row>
    <row r="25" spans="3:10" ht="15" customHeight="1">
      <c r="C25" s="314"/>
      <c r="D25" s="317"/>
      <c r="E25" s="346"/>
      <c r="F25" s="31" t="s">
        <v>14</v>
      </c>
      <c r="G25" s="30" t="s">
        <v>153</v>
      </c>
      <c r="H25" s="107">
        <v>1</v>
      </c>
      <c r="I25" s="382"/>
      <c r="J25" s="330"/>
    </row>
    <row r="26" spans="3:10" ht="15" customHeight="1">
      <c r="C26" s="314"/>
      <c r="D26" s="317"/>
      <c r="E26" s="20"/>
      <c r="F26" s="20"/>
      <c r="G26" s="20"/>
      <c r="H26" s="32"/>
      <c r="I26" s="32"/>
      <c r="J26" s="330"/>
    </row>
    <row r="27" spans="3:10" ht="15" customHeight="1">
      <c r="C27" s="314"/>
      <c r="D27" s="317"/>
      <c r="E27" s="89" t="s">
        <v>269</v>
      </c>
      <c r="F27" s="233" t="s">
        <v>14</v>
      </c>
      <c r="G27" s="234" t="s">
        <v>194</v>
      </c>
      <c r="H27" s="257">
        <v>1</v>
      </c>
      <c r="I27" s="66">
        <v>1</v>
      </c>
      <c r="J27" s="330"/>
    </row>
    <row r="28" spans="3:10" ht="15" customHeight="1">
      <c r="C28" s="314"/>
      <c r="D28" s="317"/>
      <c r="E28" s="20"/>
      <c r="F28" s="20"/>
      <c r="G28" s="20"/>
      <c r="H28" s="32"/>
      <c r="I28" s="32"/>
      <c r="J28" s="330"/>
    </row>
    <row r="29" spans="3:10" ht="15" customHeight="1">
      <c r="C29" s="314"/>
      <c r="D29" s="317"/>
      <c r="E29" s="344" t="s">
        <v>270</v>
      </c>
      <c r="F29" s="21" t="s">
        <v>261</v>
      </c>
      <c r="G29" s="22" t="s">
        <v>262</v>
      </c>
      <c r="H29" s="68">
        <v>6</v>
      </c>
      <c r="I29" s="380">
        <f>SUM(H29:H31)</f>
        <v>9</v>
      </c>
      <c r="J29" s="330"/>
    </row>
    <row r="30" spans="3:10" ht="15" customHeight="1">
      <c r="C30" s="314"/>
      <c r="D30" s="317"/>
      <c r="E30" s="345"/>
      <c r="F30" s="23" t="s">
        <v>27</v>
      </c>
      <c r="G30" s="6" t="s">
        <v>263</v>
      </c>
      <c r="H30" s="69">
        <v>2</v>
      </c>
      <c r="I30" s="381"/>
      <c r="J30" s="330"/>
    </row>
    <row r="31" spans="3:10" ht="15" customHeight="1">
      <c r="C31" s="314"/>
      <c r="D31" s="317"/>
      <c r="E31" s="346"/>
      <c r="F31" s="31" t="s">
        <v>138</v>
      </c>
      <c r="G31" s="30" t="s">
        <v>165</v>
      </c>
      <c r="H31" s="107">
        <v>1</v>
      </c>
      <c r="I31" s="382"/>
      <c r="J31" s="330"/>
    </row>
    <row r="32" spans="3:10" ht="15" customHeight="1">
      <c r="C32" s="314"/>
      <c r="D32" s="317"/>
      <c r="E32" s="20"/>
      <c r="F32" s="20"/>
      <c r="G32" s="20"/>
      <c r="H32" s="32"/>
      <c r="I32" s="32"/>
      <c r="J32" s="330"/>
    </row>
    <row r="33" spans="3:10" ht="15" customHeight="1">
      <c r="C33" s="314"/>
      <c r="D33" s="317"/>
      <c r="E33" s="324" t="s">
        <v>271</v>
      </c>
      <c r="F33" s="22" t="s">
        <v>27</v>
      </c>
      <c r="G33" s="21" t="s">
        <v>262</v>
      </c>
      <c r="H33" s="104">
        <v>2</v>
      </c>
      <c r="I33" s="380">
        <f>SUM(H33:H36)</f>
        <v>6</v>
      </c>
      <c r="J33" s="330"/>
    </row>
    <row r="34" spans="3:10" ht="15" customHeight="1">
      <c r="C34" s="314"/>
      <c r="D34" s="317"/>
      <c r="E34" s="340"/>
      <c r="F34" s="6" t="s">
        <v>27</v>
      </c>
      <c r="G34" s="250" t="s">
        <v>263</v>
      </c>
      <c r="H34" s="213">
        <v>2</v>
      </c>
      <c r="I34" s="381"/>
      <c r="J34" s="330"/>
    </row>
    <row r="35" spans="3:10" ht="15" customHeight="1">
      <c r="C35" s="314"/>
      <c r="D35" s="317"/>
      <c r="E35" s="340"/>
      <c r="F35" s="6" t="s">
        <v>27</v>
      </c>
      <c r="G35" s="23" t="s">
        <v>43</v>
      </c>
      <c r="H35" s="105">
        <v>1</v>
      </c>
      <c r="I35" s="381"/>
      <c r="J35" s="330"/>
    </row>
    <row r="36" spans="3:10" ht="15" customHeight="1">
      <c r="C36" s="314"/>
      <c r="D36" s="317"/>
      <c r="E36" s="326"/>
      <c r="F36" s="30" t="s">
        <v>138</v>
      </c>
      <c r="G36" s="224" t="s">
        <v>165</v>
      </c>
      <c r="H36" s="209">
        <v>1</v>
      </c>
      <c r="I36" s="382"/>
      <c r="J36" s="330"/>
    </row>
    <row r="37" spans="3:10" ht="15" customHeight="1">
      <c r="C37" s="314"/>
      <c r="D37" s="317"/>
      <c r="E37" s="20"/>
      <c r="F37" s="20"/>
      <c r="G37" s="20"/>
      <c r="H37" s="32"/>
      <c r="I37" s="32"/>
      <c r="J37" s="330"/>
    </row>
    <row r="38" spans="3:10" ht="15" customHeight="1">
      <c r="C38" s="314"/>
      <c r="D38" s="317"/>
      <c r="E38" s="89" t="s">
        <v>272</v>
      </c>
      <c r="F38" s="234" t="s">
        <v>37</v>
      </c>
      <c r="G38" s="254" t="s">
        <v>38</v>
      </c>
      <c r="H38" s="249">
        <v>1</v>
      </c>
      <c r="I38" s="66">
        <v>1</v>
      </c>
      <c r="J38" s="330"/>
    </row>
    <row r="39" spans="3:10" ht="15" customHeight="1">
      <c r="C39" s="314"/>
      <c r="D39" s="317"/>
      <c r="E39" s="20"/>
      <c r="F39" s="20"/>
      <c r="G39" s="20"/>
      <c r="H39" s="32"/>
      <c r="I39" s="32"/>
      <c r="J39" s="330"/>
    </row>
    <row r="40" spans="3:10" ht="15" customHeight="1">
      <c r="C40" s="314"/>
      <c r="D40" s="317"/>
      <c r="E40" s="324" t="s">
        <v>274</v>
      </c>
      <c r="F40" s="225" t="s">
        <v>252</v>
      </c>
      <c r="G40" s="225" t="s">
        <v>262</v>
      </c>
      <c r="H40" s="104">
        <v>12</v>
      </c>
      <c r="I40" s="380">
        <f>SUM(H40:H46)</f>
        <v>20</v>
      </c>
      <c r="J40" s="330"/>
    </row>
    <row r="41" spans="3:10" ht="15" customHeight="1">
      <c r="C41" s="314"/>
      <c r="D41" s="317"/>
      <c r="E41" s="340"/>
      <c r="F41" s="135" t="s">
        <v>27</v>
      </c>
      <c r="G41" s="135" t="s">
        <v>43</v>
      </c>
      <c r="H41" s="105">
        <v>1</v>
      </c>
      <c r="I41" s="381"/>
      <c r="J41" s="330"/>
    </row>
    <row r="42" spans="3:10" ht="15" customHeight="1">
      <c r="C42" s="314"/>
      <c r="D42" s="317"/>
      <c r="E42" s="340"/>
      <c r="F42" s="149" t="s">
        <v>14</v>
      </c>
      <c r="G42" s="149" t="s">
        <v>75</v>
      </c>
      <c r="H42" s="105">
        <v>1</v>
      </c>
      <c r="I42" s="381"/>
      <c r="J42" s="330"/>
    </row>
    <row r="43" spans="3:10" ht="15" customHeight="1">
      <c r="C43" s="314"/>
      <c r="D43" s="317"/>
      <c r="E43" s="340"/>
      <c r="F43" s="149" t="s">
        <v>27</v>
      </c>
      <c r="G43" s="149" t="s">
        <v>144</v>
      </c>
      <c r="H43" s="127">
        <v>2</v>
      </c>
      <c r="I43" s="381"/>
      <c r="J43" s="330"/>
    </row>
    <row r="44" spans="3:10" ht="15" customHeight="1">
      <c r="C44" s="314"/>
      <c r="D44" s="317"/>
      <c r="E44" s="340"/>
      <c r="F44" s="149" t="s">
        <v>27</v>
      </c>
      <c r="G44" s="149" t="s">
        <v>180</v>
      </c>
      <c r="H44" s="105">
        <v>2</v>
      </c>
      <c r="I44" s="381"/>
      <c r="J44" s="330"/>
    </row>
    <row r="45" spans="3:10" ht="15" customHeight="1">
      <c r="C45" s="314"/>
      <c r="D45" s="317"/>
      <c r="E45" s="326"/>
      <c r="F45" s="253" t="s">
        <v>334</v>
      </c>
      <c r="G45" s="253" t="s">
        <v>235</v>
      </c>
      <c r="H45" s="209">
        <v>2</v>
      </c>
      <c r="I45" s="382"/>
      <c r="J45" s="330"/>
    </row>
    <row r="46" spans="3:10" ht="15" customHeight="1">
      <c r="C46" s="314"/>
      <c r="D46" s="317"/>
      <c r="E46" s="251"/>
      <c r="F46" s="397"/>
      <c r="G46" s="397"/>
      <c r="H46" s="397"/>
      <c r="I46" s="251"/>
      <c r="J46" s="330"/>
    </row>
    <row r="47" spans="3:10" ht="15" customHeight="1">
      <c r="C47" s="314"/>
      <c r="D47" s="317"/>
      <c r="E47" s="365" t="s">
        <v>280</v>
      </c>
      <c r="F47" s="74" t="s">
        <v>27</v>
      </c>
      <c r="G47" s="109" t="s">
        <v>180</v>
      </c>
      <c r="H47" s="255">
        <v>3</v>
      </c>
      <c r="I47" s="353">
        <f>SUM(H47:H48)</f>
        <v>4</v>
      </c>
      <c r="J47" s="330"/>
    </row>
    <row r="48" spans="3:10">
      <c r="C48" s="315"/>
      <c r="D48" s="331"/>
      <c r="E48" s="366"/>
      <c r="F48" s="30" t="s">
        <v>289</v>
      </c>
      <c r="G48" s="156" t="s">
        <v>235</v>
      </c>
      <c r="H48" s="256">
        <v>1</v>
      </c>
      <c r="I48" s="355"/>
      <c r="J48" s="373"/>
    </row>
  </sheetData>
  <autoFilter ref="C8:J8" xr:uid="{D976479D-A864-4306-9FFA-2B3BDE2BB357}"/>
  <mergeCells count="19">
    <mergeCell ref="E47:E48"/>
    <mergeCell ref="I47:I48"/>
    <mergeCell ref="J10:J48"/>
    <mergeCell ref="D10:D48"/>
    <mergeCell ref="C10:C48"/>
    <mergeCell ref="E29:E31"/>
    <mergeCell ref="I29:I31"/>
    <mergeCell ref="E33:E36"/>
    <mergeCell ref="I33:I36"/>
    <mergeCell ref="F46:H46"/>
    <mergeCell ref="E40:E45"/>
    <mergeCell ref="I40:I45"/>
    <mergeCell ref="E22:E25"/>
    <mergeCell ref="I22:I25"/>
    <mergeCell ref="E2:G2"/>
    <mergeCell ref="E10:E16"/>
    <mergeCell ref="I10:I16"/>
    <mergeCell ref="E18:E20"/>
    <mergeCell ref="I18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2026-02-05T05:35:42Z</dcterms:created>
  <dcterms:modified xsi:type="dcterms:W3CDTF">2026-05-04T15:54:59Z</dcterms:modified>
  <cp:category/>
  <cp:contentStatus/>
</cp:coreProperties>
</file>